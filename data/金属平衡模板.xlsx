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<sst xmlns="http://schemas.openxmlformats.org/spreadsheetml/2006/main" count="308" uniqueCount="104">
  <si>
    <t>设备编号</t>
  </si>
  <si>
    <t>设备名称</t>
  </si>
  <si>
    <t>数据类型</t>
  </si>
  <si>
    <t>半径m</t>
  </si>
  <si>
    <t>盘点高度m</t>
  </si>
  <si>
    <t>盘点体积m³</t>
  </si>
  <si>
    <t>化验含量g/L</t>
  </si>
  <si>
    <t>金属量t</t>
  </si>
  <si>
    <t>一效</t>
  </si>
  <si>
    <t>输入体积</t>
  </si>
  <si>
    <t>\</t>
  </si>
  <si>
    <t>二效</t>
  </si>
  <si>
    <t>合成釜 V10320A（碳酸钠溶液）</t>
  </si>
  <si>
    <t>合成釜 V10320B（碳酸钠溶液）</t>
  </si>
  <si>
    <t>合成釜 V10320C（碳酸钠溶液）</t>
  </si>
  <si>
    <t>合成釜 V10320D（碳酸钠溶液）</t>
  </si>
  <si>
    <t>合成釜 V10320E（碳酸钠溶液）</t>
  </si>
  <si>
    <t>合成釜 V10320F（碳酸钠溶液）</t>
  </si>
  <si>
    <t>合成釜 V10320A（合成前液）</t>
  </si>
  <si>
    <t>合成釜 V10320B（合成前液）</t>
  </si>
  <si>
    <t>合成釜 V10320C（合成前液）</t>
  </si>
  <si>
    <t>合成釜 V10320D（合成前液）</t>
  </si>
  <si>
    <t>合成釜 V10320E（合成前液）</t>
  </si>
  <si>
    <t>合成釜 V10320F（合成前液）</t>
  </si>
  <si>
    <t>地坑</t>
  </si>
  <si>
    <t>气浮除油后液槽B</t>
  </si>
  <si>
    <t>输入高度</t>
  </si>
  <si>
    <t>气浮除油槽V10301</t>
  </si>
  <si>
    <t>除重反应釜A V10303A</t>
  </si>
  <si>
    <t>除重反应釜B V10303B</t>
  </si>
  <si>
    <t>除重反应釜C V10303C</t>
  </si>
  <si>
    <t>除重反应釜D V10302A</t>
  </si>
  <si>
    <t>除重反应釜E V10302B</t>
  </si>
  <si>
    <t>除重反应釜F V10302C</t>
  </si>
  <si>
    <t>除氟反应釜A V10307A</t>
  </si>
  <si>
    <t>除氟反应釜B V10307B</t>
  </si>
  <si>
    <t>除氟反应釜C V10307C</t>
  </si>
  <si>
    <t>除氟反应釜D V10309A</t>
  </si>
  <si>
    <t>除氟反应釜E V10309B</t>
  </si>
  <si>
    <t>除氟反应釜F V10309C</t>
  </si>
  <si>
    <t>除氟后液槽 V10304</t>
  </si>
  <si>
    <t>原碳浆化釜 V10306A</t>
  </si>
  <si>
    <t>原碳浆化釜 V10306B</t>
  </si>
  <si>
    <t>预调反应釜 V10311A</t>
  </si>
  <si>
    <t>预调反应釜 V10311B</t>
  </si>
  <si>
    <t>预调反应釜 V10311C</t>
  </si>
  <si>
    <t>预调反应釜 V10311D</t>
  </si>
  <si>
    <t>预调滤液中转槽 V10312</t>
  </si>
  <si>
    <t>蒸发前液槽 V10335A</t>
  </si>
  <si>
    <t>蒸发前液槽 V10335B</t>
  </si>
  <si>
    <t>蒸发前液槽V10336</t>
  </si>
  <si>
    <t>缓冲罐</t>
  </si>
  <si>
    <t>母液罐</t>
  </si>
  <si>
    <t>除杂反应釜A V10314A</t>
  </si>
  <si>
    <t>除杂反应釜B V10314B</t>
  </si>
  <si>
    <t>除杂反应釜C V10316A</t>
  </si>
  <si>
    <t>除杂反应釜D V10316B</t>
  </si>
  <si>
    <t>除杂反应釜E V10321A</t>
  </si>
  <si>
    <t>除杂后液槽A V10318</t>
  </si>
  <si>
    <t>除杂后液槽B V10305A</t>
  </si>
  <si>
    <t>除杂后液槽C V10328</t>
  </si>
  <si>
    <t>精密后液槽 V10319</t>
  </si>
  <si>
    <t>合成前液槽 V10321B</t>
  </si>
  <si>
    <t>碳酸锂母液槽A V10322</t>
  </si>
  <si>
    <t>碳酸锂母液槽B V10325</t>
  </si>
  <si>
    <t>一次浆洗釜A V10323A</t>
  </si>
  <si>
    <t>一次浆洗釜B V10323B</t>
  </si>
  <si>
    <t>一次浆洗釜C V10317</t>
  </si>
  <si>
    <t>一次浆洗釜D V10310B</t>
  </si>
  <si>
    <t>一次洗液槽 V10324</t>
  </si>
  <si>
    <t>一次洗液渣浆化槽 V10305B</t>
  </si>
  <si>
    <t>二次浆洗釜A V10325A</t>
  </si>
  <si>
    <t>二次浆洗釜B V10325B</t>
  </si>
  <si>
    <t>二次浆洗釜C V10310A</t>
  </si>
  <si>
    <t>二次浆洗釜D V10315</t>
  </si>
  <si>
    <t>二次洗液储槽 V10320H</t>
  </si>
  <si>
    <t>碳酸钠配置槽A V10329A</t>
  </si>
  <si>
    <t>碳酸钠配置槽B V10329B</t>
  </si>
  <si>
    <t>碳酸钠循环槽 V10330</t>
  </si>
  <si>
    <t>碳酸钠渣槽 V10313A</t>
  </si>
  <si>
    <t>磷酸锂合成釜 V10327</t>
  </si>
  <si>
    <t>磷酸锂母液槽 V10313A</t>
  </si>
  <si>
    <t>碳酸锂压滤机 F10308A</t>
  </si>
  <si>
    <t>输入质量</t>
  </si>
  <si>
    <t>碳酸锂压滤机 F10308B</t>
  </si>
  <si>
    <t>碳酸锂压滤机 F10308C</t>
  </si>
  <si>
    <t>一次浆洗压滤机 F10309A</t>
  </si>
  <si>
    <t>一次浆洗压滤机 F10309B</t>
  </si>
  <si>
    <t>一次浆洗压滤机 F10309C</t>
  </si>
  <si>
    <t>二次洗液槽 V10320H</t>
  </si>
  <si>
    <t>碳酸锂废料</t>
  </si>
  <si>
    <t>碳酸锂在线产品</t>
  </si>
  <si>
    <t>硫酸钠在线产品</t>
  </si>
  <si>
    <t>期初金属量</t>
  </si>
  <si>
    <t>液损失金属量</t>
  </si>
  <si>
    <t>镍渣损失金属锂</t>
  </si>
  <si>
    <t>除氟剂渣损失金属锂</t>
  </si>
  <si>
    <t>碳酸锂外售金属锂</t>
  </si>
  <si>
    <t>硫酸钠外售金属锂</t>
  </si>
  <si>
    <t>投入金属量</t>
  </si>
  <si>
    <t>SQLite</t>
  </si>
  <si>
    <t>外售金属量</t>
  </si>
  <si>
    <t>直收率</t>
  </si>
  <si>
    <t>产品金属直收率=（外售金属量+硫酸钠外售金属锂+碳酸锂外售金属锂）/（期初金属量+投入金属量-期末金属量）      期末金属量=红色区域数量累加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</si>
</sst>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0_ "/>
  </numFmts>
  <fonts count="23">
    <font>
      <sz val="11"/>
      <color indexed="8"/>
      <name val="宋体"/>
      <charset val="134"/>
      <scheme val="minor"/>
    </font>
    <font>
      <b/>
      <sz val="13"/>
      <color rgb="FF000000"/>
      <name val="宋体"/>
      <charset val="0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6" borderId="6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7" borderId="9" applyNumberFormat="0" applyAlignment="0" applyProtection="0">
      <alignment vertical="center"/>
    </xf>
    <xf numFmtId="0" fontId="13" fillId="8" borderId="10" applyNumberFormat="0" applyAlignment="0" applyProtection="0">
      <alignment vertical="center"/>
    </xf>
    <xf numFmtId="0" fontId="14" fillId="8" borderId="9" applyNumberFormat="0" applyAlignment="0" applyProtection="0">
      <alignment vertical="center"/>
    </xf>
    <xf numFmtId="0" fontId="15" fillId="9" borderId="11" applyNumberFormat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7">
    <xf numFmtId="0" fontId="0" fillId="0" borderId="0" xfId="0" applyFont="1">
      <alignment vertical="center"/>
    </xf>
    <xf numFmtId="49" fontId="0" fillId="0" borderId="0" xfId="0" applyNumberFormat="1" applyFont="1" applyAlignment="1">
      <alignment horizontal="center"/>
    </xf>
    <xf numFmtId="176" fontId="0" fillId="0" borderId="0" xfId="0" applyNumberFormat="1" applyFont="1" applyAlignment="1">
      <alignment horizontal="center"/>
    </xf>
    <xf numFmtId="0" fontId="0" fillId="0" borderId="0" xfId="0" applyFont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center" vertical="center" wrapText="1"/>
    </xf>
    <xf numFmtId="176" fontId="1" fillId="2" borderId="2" xfId="0" applyNumberFormat="1" applyFont="1" applyFill="1" applyBorder="1" applyAlignment="1">
      <alignment horizontal="center" vertical="center" wrapText="1"/>
    </xf>
    <xf numFmtId="0" fontId="2" fillId="0" borderId="3" xfId="0" applyNumberFormat="1" applyFont="1" applyFill="1" applyBorder="1" applyAlignment="1">
      <alignment horizontal="center" vertical="center" wrapText="1"/>
    </xf>
    <xf numFmtId="49" fontId="2" fillId="0" borderId="3" xfId="0" applyNumberFormat="1" applyFont="1" applyFill="1" applyBorder="1" applyAlignment="1">
      <alignment horizontal="center" vertical="center" wrapText="1"/>
    </xf>
    <xf numFmtId="176" fontId="2" fillId="0" borderId="3" xfId="0" applyNumberFormat="1" applyFont="1" applyFill="1" applyBorder="1" applyAlignment="1">
      <alignment horizontal="center" vertical="center" wrapText="1"/>
    </xf>
    <xf numFmtId="0" fontId="2" fillId="3" borderId="3" xfId="0" applyNumberFormat="1" applyFont="1" applyFill="1" applyBorder="1" applyAlignment="1">
      <alignment horizontal="center" vertical="center" wrapText="1"/>
    </xf>
    <xf numFmtId="176" fontId="2" fillId="4" borderId="3" xfId="0" applyNumberFormat="1" applyFont="1" applyFill="1" applyBorder="1" applyAlignment="1">
      <alignment horizontal="center" vertical="center" wrapText="1"/>
    </xf>
    <xf numFmtId="177" fontId="2" fillId="4" borderId="3" xfId="0" applyNumberFormat="1" applyFont="1" applyFill="1" applyBorder="1" applyAlignment="1">
      <alignment horizontal="center" vertical="center" wrapText="1"/>
    </xf>
    <xf numFmtId="177" fontId="2" fillId="5" borderId="3" xfId="0" applyNumberFormat="1" applyFont="1" applyFill="1" applyBorder="1" applyAlignment="1">
      <alignment horizontal="center" vertical="center" wrapText="1"/>
    </xf>
    <xf numFmtId="49" fontId="2" fillId="0" borderId="4" xfId="0" applyNumberFormat="1" applyFont="1" applyFill="1" applyBorder="1" applyAlignment="1">
      <alignment horizontal="center" vertical="center" wrapText="1"/>
    </xf>
    <xf numFmtId="49" fontId="2" fillId="0" borderId="5" xfId="0" applyNumberFormat="1" applyFont="1" applyFill="1" applyBorder="1" applyAlignment="1">
      <alignment horizontal="center" vertical="center" wrapText="1"/>
    </xf>
    <xf numFmtId="10" fontId="2" fillId="5" borderId="3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5"/>
  <sheetViews>
    <sheetView tabSelected="1" topLeftCell="B1" workbookViewId="0">
      <pane ySplit="1" topLeftCell="A78" activePane="bottomLeft" state="frozen"/>
      <selection/>
      <selection pane="bottomLeft" activeCell="J79" sqref="J79"/>
    </sheetView>
  </sheetViews>
  <sheetFormatPr defaultColWidth="9" defaultRowHeight="13.5" outlineLevelCol="7"/>
  <cols>
    <col min="1" max="1" width="22.6583333333333" style="1" customWidth="1"/>
    <col min="2" max="2" width="29" style="1" customWidth="1"/>
    <col min="3" max="5" width="22.6583333333333" style="1" customWidth="1"/>
    <col min="6" max="6" width="22.6583333333333" style="2" customWidth="1"/>
    <col min="7" max="7" width="22.6583333333333" style="1" customWidth="1"/>
    <col min="8" max="8" width="21.625" style="3" customWidth="1"/>
    <col min="9" max="10" width="14.625" style="3" customWidth="1"/>
    <col min="11" max="16384" width="9" style="3"/>
  </cols>
  <sheetData>
    <row r="1" ht="34" customHeight="1" spans="1:8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6" t="s">
        <v>5</v>
      </c>
      <c r="G1" s="4" t="s">
        <v>6</v>
      </c>
      <c r="H1" s="4" t="s">
        <v>7</v>
      </c>
    </row>
    <row r="2" ht="30" customHeight="1" spans="1:8">
      <c r="A2" s="7">
        <v>103001</v>
      </c>
      <c r="B2" s="8" t="s">
        <v>8</v>
      </c>
      <c r="C2" s="8" t="s">
        <v>9</v>
      </c>
      <c r="D2" s="9" t="s">
        <v>10</v>
      </c>
      <c r="E2" s="7" t="s">
        <v>10</v>
      </c>
      <c r="F2" s="10">
        <v>20</v>
      </c>
      <c r="G2" s="9">
        <v>4.4</v>
      </c>
      <c r="H2" s="11">
        <f>F2*G2/1000</f>
        <v>0.088</v>
      </c>
    </row>
    <row r="3" ht="30" customHeight="1" spans="1:8">
      <c r="A3" s="7">
        <v>103002</v>
      </c>
      <c r="B3" s="8" t="s">
        <v>11</v>
      </c>
      <c r="C3" s="8" t="s">
        <v>9</v>
      </c>
      <c r="D3" s="9" t="s">
        <v>10</v>
      </c>
      <c r="E3" s="7" t="s">
        <v>10</v>
      </c>
      <c r="F3" s="10">
        <v>200</v>
      </c>
      <c r="G3" s="9">
        <v>4.4</v>
      </c>
      <c r="H3" s="11">
        <f t="shared" ref="H3:H34" si="0">F3*G3/1000</f>
        <v>0.88</v>
      </c>
    </row>
    <row r="4" ht="30" customHeight="1" spans="1:8">
      <c r="A4" s="7">
        <v>103003</v>
      </c>
      <c r="B4" s="8" t="s">
        <v>12</v>
      </c>
      <c r="C4" s="8" t="s">
        <v>9</v>
      </c>
      <c r="D4" s="9" t="s">
        <v>10</v>
      </c>
      <c r="E4" s="7" t="s">
        <v>10</v>
      </c>
      <c r="F4" s="10">
        <v>0</v>
      </c>
      <c r="G4" s="9">
        <v>0</v>
      </c>
      <c r="H4" s="11">
        <f t="shared" si="0"/>
        <v>0</v>
      </c>
    </row>
    <row r="5" ht="30" customHeight="1" spans="1:8">
      <c r="A5" s="7">
        <v>103004</v>
      </c>
      <c r="B5" s="8" t="s">
        <v>13</v>
      </c>
      <c r="C5" s="8" t="s">
        <v>9</v>
      </c>
      <c r="D5" s="9" t="s">
        <v>10</v>
      </c>
      <c r="E5" s="7" t="s">
        <v>10</v>
      </c>
      <c r="F5" s="10">
        <v>0</v>
      </c>
      <c r="G5" s="9">
        <v>0</v>
      </c>
      <c r="H5" s="11">
        <f t="shared" si="0"/>
        <v>0</v>
      </c>
    </row>
    <row r="6" ht="30" customHeight="1" spans="1:8">
      <c r="A6" s="7">
        <v>103005</v>
      </c>
      <c r="B6" s="8" t="s">
        <v>14</v>
      </c>
      <c r="C6" s="8" t="s">
        <v>9</v>
      </c>
      <c r="D6" s="9" t="s">
        <v>10</v>
      </c>
      <c r="E6" s="7" t="s">
        <v>10</v>
      </c>
      <c r="F6" s="10">
        <v>0</v>
      </c>
      <c r="G6" s="9">
        <v>0</v>
      </c>
      <c r="H6" s="11">
        <f t="shared" si="0"/>
        <v>0</v>
      </c>
    </row>
    <row r="7" ht="30" customHeight="1" spans="1:8">
      <c r="A7" s="7">
        <v>103006</v>
      </c>
      <c r="B7" s="8" t="s">
        <v>15</v>
      </c>
      <c r="C7" s="8" t="s">
        <v>9</v>
      </c>
      <c r="D7" s="9" t="s">
        <v>10</v>
      </c>
      <c r="E7" s="7" t="s">
        <v>10</v>
      </c>
      <c r="F7" s="10">
        <v>0</v>
      </c>
      <c r="G7" s="9">
        <v>0</v>
      </c>
      <c r="H7" s="11">
        <f t="shared" si="0"/>
        <v>0</v>
      </c>
    </row>
    <row r="8" ht="30" customHeight="1" spans="1:8">
      <c r="A8" s="7">
        <v>103007</v>
      </c>
      <c r="B8" s="8" t="s">
        <v>16</v>
      </c>
      <c r="C8" s="8" t="s">
        <v>9</v>
      </c>
      <c r="D8" s="9" t="s">
        <v>10</v>
      </c>
      <c r="E8" s="7" t="s">
        <v>10</v>
      </c>
      <c r="F8" s="10">
        <v>0</v>
      </c>
      <c r="G8" s="9">
        <v>0</v>
      </c>
      <c r="H8" s="11">
        <f t="shared" si="0"/>
        <v>0</v>
      </c>
    </row>
    <row r="9" ht="30" customHeight="1" spans="1:8">
      <c r="A9" s="7">
        <v>103008</v>
      </c>
      <c r="B9" s="8" t="s">
        <v>17</v>
      </c>
      <c r="C9" s="8" t="s">
        <v>9</v>
      </c>
      <c r="D9" s="9" t="s">
        <v>10</v>
      </c>
      <c r="E9" s="7" t="s">
        <v>10</v>
      </c>
      <c r="F9" s="10">
        <v>0</v>
      </c>
      <c r="G9" s="9">
        <v>0</v>
      </c>
      <c r="H9" s="11">
        <f t="shared" si="0"/>
        <v>0</v>
      </c>
    </row>
    <row r="10" ht="30" customHeight="1" spans="1:8">
      <c r="A10" s="7">
        <v>103009</v>
      </c>
      <c r="B10" s="8" t="s">
        <v>18</v>
      </c>
      <c r="C10" s="8" t="s">
        <v>9</v>
      </c>
      <c r="D10" s="9" t="s">
        <v>10</v>
      </c>
      <c r="E10" s="7" t="s">
        <v>10</v>
      </c>
      <c r="F10" s="10">
        <v>0</v>
      </c>
      <c r="G10" s="9">
        <v>0</v>
      </c>
      <c r="H10" s="11">
        <f t="shared" si="0"/>
        <v>0</v>
      </c>
    </row>
    <row r="11" ht="30" customHeight="1" spans="1:8">
      <c r="A11" s="7">
        <v>103010</v>
      </c>
      <c r="B11" s="8" t="s">
        <v>19</v>
      </c>
      <c r="C11" s="8" t="s">
        <v>9</v>
      </c>
      <c r="D11" s="9" t="s">
        <v>10</v>
      </c>
      <c r="E11" s="7" t="s">
        <v>10</v>
      </c>
      <c r="F11" s="10">
        <v>0</v>
      </c>
      <c r="G11" s="9">
        <v>0</v>
      </c>
      <c r="H11" s="11">
        <f t="shared" si="0"/>
        <v>0</v>
      </c>
    </row>
    <row r="12" ht="30" customHeight="1" spans="1:8">
      <c r="A12" s="7">
        <v>103011</v>
      </c>
      <c r="B12" s="8" t="s">
        <v>20</v>
      </c>
      <c r="C12" s="8" t="s">
        <v>9</v>
      </c>
      <c r="D12" s="9" t="s">
        <v>10</v>
      </c>
      <c r="E12" s="7" t="s">
        <v>10</v>
      </c>
      <c r="F12" s="10">
        <v>0</v>
      </c>
      <c r="G12" s="9">
        <v>0</v>
      </c>
      <c r="H12" s="12">
        <f t="shared" si="0"/>
        <v>0</v>
      </c>
    </row>
    <row r="13" ht="30" customHeight="1" spans="1:8">
      <c r="A13" s="7">
        <v>103012</v>
      </c>
      <c r="B13" s="8" t="s">
        <v>21</v>
      </c>
      <c r="C13" s="8" t="s">
        <v>9</v>
      </c>
      <c r="D13" s="9" t="s">
        <v>10</v>
      </c>
      <c r="E13" s="7" t="s">
        <v>10</v>
      </c>
      <c r="F13" s="10">
        <v>0</v>
      </c>
      <c r="G13" s="9">
        <v>0</v>
      </c>
      <c r="H13" s="12">
        <f t="shared" si="0"/>
        <v>0</v>
      </c>
    </row>
    <row r="14" ht="30" customHeight="1" spans="1:8">
      <c r="A14" s="7">
        <v>103013</v>
      </c>
      <c r="B14" s="8" t="s">
        <v>22</v>
      </c>
      <c r="C14" s="8" t="s">
        <v>9</v>
      </c>
      <c r="D14" s="9" t="s">
        <v>10</v>
      </c>
      <c r="E14" s="7" t="s">
        <v>10</v>
      </c>
      <c r="F14" s="10">
        <v>0</v>
      </c>
      <c r="G14" s="9">
        <v>0</v>
      </c>
      <c r="H14" s="12">
        <f t="shared" si="0"/>
        <v>0</v>
      </c>
    </row>
    <row r="15" ht="30" customHeight="1" spans="1:8">
      <c r="A15" s="7">
        <v>103014</v>
      </c>
      <c r="B15" s="8" t="s">
        <v>23</v>
      </c>
      <c r="C15" s="8" t="s">
        <v>9</v>
      </c>
      <c r="D15" s="9" t="s">
        <v>10</v>
      </c>
      <c r="E15" s="7" t="s">
        <v>10</v>
      </c>
      <c r="F15" s="10">
        <v>0</v>
      </c>
      <c r="G15" s="9">
        <v>0</v>
      </c>
      <c r="H15" s="12">
        <f t="shared" si="0"/>
        <v>0</v>
      </c>
    </row>
    <row r="16" ht="30" customHeight="1" spans="1:8">
      <c r="A16" s="7">
        <v>103015</v>
      </c>
      <c r="B16" s="8" t="s">
        <v>24</v>
      </c>
      <c r="C16" s="8" t="s">
        <v>9</v>
      </c>
      <c r="D16" s="9" t="s">
        <v>10</v>
      </c>
      <c r="E16" s="7" t="s">
        <v>10</v>
      </c>
      <c r="F16" s="10">
        <v>0</v>
      </c>
      <c r="G16" s="9">
        <v>0</v>
      </c>
      <c r="H16" s="12">
        <f t="shared" si="0"/>
        <v>0</v>
      </c>
    </row>
    <row r="17" ht="30" customHeight="1" spans="1:8">
      <c r="A17" s="7">
        <v>103016</v>
      </c>
      <c r="B17" s="8" t="s">
        <v>25</v>
      </c>
      <c r="C17" s="8" t="s">
        <v>26</v>
      </c>
      <c r="D17" s="9">
        <v>3.5</v>
      </c>
      <c r="E17" s="10">
        <v>4.24</v>
      </c>
      <c r="F17" s="9">
        <f t="shared" ref="F2:F72" si="1">3.14*D17^2*E17</f>
        <v>163.0916</v>
      </c>
      <c r="G17" s="9">
        <v>2.75</v>
      </c>
      <c r="H17" s="12">
        <f t="shared" si="0"/>
        <v>0.4485019</v>
      </c>
    </row>
    <row r="18" ht="30" customHeight="1" spans="1:8">
      <c r="A18" s="7">
        <v>103017</v>
      </c>
      <c r="B18" s="8" t="s">
        <v>27</v>
      </c>
      <c r="C18" s="8" t="s">
        <v>26</v>
      </c>
      <c r="D18" s="9">
        <v>3.5</v>
      </c>
      <c r="E18" s="10">
        <v>0.53</v>
      </c>
      <c r="F18" s="9">
        <f t="shared" si="1"/>
        <v>20.38645</v>
      </c>
      <c r="G18" s="9">
        <v>2.91</v>
      </c>
      <c r="H18" s="12">
        <f t="shared" si="0"/>
        <v>0.0593245695</v>
      </c>
    </row>
    <row r="19" ht="30" customHeight="1" spans="1:8">
      <c r="A19" s="7">
        <v>103018</v>
      </c>
      <c r="B19" s="8" t="s">
        <v>28</v>
      </c>
      <c r="C19" s="8" t="s">
        <v>26</v>
      </c>
      <c r="D19" s="9">
        <v>2</v>
      </c>
      <c r="E19" s="10">
        <v>4.08</v>
      </c>
      <c r="F19" s="9">
        <f t="shared" si="1"/>
        <v>51.2448</v>
      </c>
      <c r="G19" s="9">
        <v>2.69</v>
      </c>
      <c r="H19" s="12">
        <f t="shared" si="0"/>
        <v>0.137848512</v>
      </c>
    </row>
    <row r="20" ht="30" customHeight="1" spans="1:8">
      <c r="A20" s="7">
        <v>103019</v>
      </c>
      <c r="B20" s="8" t="s">
        <v>29</v>
      </c>
      <c r="C20" s="8" t="s">
        <v>26</v>
      </c>
      <c r="D20" s="9">
        <v>2</v>
      </c>
      <c r="E20" s="10">
        <v>0.41</v>
      </c>
      <c r="F20" s="9">
        <f t="shared" si="1"/>
        <v>5.1496</v>
      </c>
      <c r="G20" s="9">
        <v>3.04</v>
      </c>
      <c r="H20" s="12">
        <f t="shared" si="0"/>
        <v>0.015654784</v>
      </c>
    </row>
    <row r="21" ht="30" customHeight="1" spans="1:8">
      <c r="A21" s="7">
        <v>103020</v>
      </c>
      <c r="B21" s="8" t="s">
        <v>30</v>
      </c>
      <c r="C21" s="8" t="s">
        <v>26</v>
      </c>
      <c r="D21" s="9">
        <v>2</v>
      </c>
      <c r="E21" s="10">
        <v>4.22</v>
      </c>
      <c r="F21" s="9">
        <f t="shared" si="1"/>
        <v>53.0032</v>
      </c>
      <c r="G21" s="9">
        <v>3.13</v>
      </c>
      <c r="H21" s="12">
        <f t="shared" si="0"/>
        <v>0.165900016</v>
      </c>
    </row>
    <row r="22" ht="30" customHeight="1" spans="1:8">
      <c r="A22" s="7">
        <v>103021</v>
      </c>
      <c r="B22" s="8" t="s">
        <v>31</v>
      </c>
      <c r="C22" s="8" t="s">
        <v>26</v>
      </c>
      <c r="D22" s="9">
        <v>2</v>
      </c>
      <c r="E22" s="10">
        <v>4.14</v>
      </c>
      <c r="F22" s="9">
        <f t="shared" si="1"/>
        <v>51.9984</v>
      </c>
      <c r="G22" s="9">
        <v>3.27</v>
      </c>
      <c r="H22" s="12">
        <f t="shared" si="0"/>
        <v>0.170034768</v>
      </c>
    </row>
    <row r="23" ht="30" customHeight="1" spans="1:8">
      <c r="A23" s="7">
        <v>103022</v>
      </c>
      <c r="B23" s="8" t="s">
        <v>32</v>
      </c>
      <c r="C23" s="8" t="s">
        <v>26</v>
      </c>
      <c r="D23" s="9">
        <v>2</v>
      </c>
      <c r="E23" s="10">
        <v>4.2</v>
      </c>
      <c r="F23" s="9">
        <f t="shared" si="1"/>
        <v>52.752</v>
      </c>
      <c r="G23" s="9">
        <v>3.18</v>
      </c>
      <c r="H23" s="12">
        <f t="shared" si="0"/>
        <v>0.16775136</v>
      </c>
    </row>
    <row r="24" ht="30" customHeight="1" spans="1:8">
      <c r="A24" s="7">
        <v>103023</v>
      </c>
      <c r="B24" s="8" t="s">
        <v>33</v>
      </c>
      <c r="C24" s="8" t="s">
        <v>26</v>
      </c>
      <c r="D24" s="9">
        <v>2</v>
      </c>
      <c r="E24" s="10">
        <v>4.24</v>
      </c>
      <c r="F24" s="9">
        <f t="shared" si="1"/>
        <v>53.2544</v>
      </c>
      <c r="G24" s="9">
        <v>3.23</v>
      </c>
      <c r="H24" s="12">
        <f t="shared" si="0"/>
        <v>0.172011712</v>
      </c>
    </row>
    <row r="25" ht="30" customHeight="1" spans="1:8">
      <c r="A25" s="7">
        <v>103024</v>
      </c>
      <c r="B25" s="8" t="s">
        <v>34</v>
      </c>
      <c r="C25" s="8" t="s">
        <v>26</v>
      </c>
      <c r="D25" s="9">
        <v>2</v>
      </c>
      <c r="E25" s="10">
        <v>0.34</v>
      </c>
      <c r="F25" s="9">
        <f t="shared" si="1"/>
        <v>4.2704</v>
      </c>
      <c r="G25" s="9">
        <v>2.54</v>
      </c>
      <c r="H25" s="12">
        <f t="shared" si="0"/>
        <v>0.010846816</v>
      </c>
    </row>
    <row r="26" ht="30" customHeight="1" spans="1:8">
      <c r="A26" s="7">
        <v>103025</v>
      </c>
      <c r="B26" s="8" t="s">
        <v>35</v>
      </c>
      <c r="C26" s="8" t="s">
        <v>26</v>
      </c>
      <c r="D26" s="9">
        <v>2</v>
      </c>
      <c r="E26" s="10">
        <v>4.13</v>
      </c>
      <c r="F26" s="9">
        <f t="shared" si="1"/>
        <v>51.8728</v>
      </c>
      <c r="G26" s="9">
        <v>2.9</v>
      </c>
      <c r="H26" s="12">
        <f t="shared" si="0"/>
        <v>0.15043112</v>
      </c>
    </row>
    <row r="27" ht="30" customHeight="1" spans="1:8">
      <c r="A27" s="7">
        <v>103026</v>
      </c>
      <c r="B27" s="8" t="s">
        <v>36</v>
      </c>
      <c r="C27" s="8" t="s">
        <v>26</v>
      </c>
      <c r="D27" s="9">
        <v>2</v>
      </c>
      <c r="E27" s="10">
        <v>4.15</v>
      </c>
      <c r="F27" s="9">
        <f t="shared" si="1"/>
        <v>52.124</v>
      </c>
      <c r="G27" s="9">
        <v>2.85</v>
      </c>
      <c r="H27" s="12">
        <f t="shared" si="0"/>
        <v>0.1485534</v>
      </c>
    </row>
    <row r="28" ht="30" customHeight="1" spans="1:8">
      <c r="A28" s="7">
        <v>103027</v>
      </c>
      <c r="B28" s="8" t="s">
        <v>37</v>
      </c>
      <c r="C28" s="8" t="s">
        <v>26</v>
      </c>
      <c r="D28" s="9">
        <v>2</v>
      </c>
      <c r="E28" s="10">
        <v>0.63</v>
      </c>
      <c r="F28" s="9">
        <f t="shared" si="1"/>
        <v>7.9128</v>
      </c>
      <c r="G28" s="9">
        <v>3.06</v>
      </c>
      <c r="H28" s="12">
        <f t="shared" si="0"/>
        <v>0.024213168</v>
      </c>
    </row>
    <row r="29" ht="30" customHeight="1" spans="1:8">
      <c r="A29" s="7">
        <v>103028</v>
      </c>
      <c r="B29" s="8" t="s">
        <v>38</v>
      </c>
      <c r="C29" s="8" t="s">
        <v>26</v>
      </c>
      <c r="D29" s="9">
        <v>2</v>
      </c>
      <c r="E29" s="10">
        <v>0.38</v>
      </c>
      <c r="F29" s="9">
        <f t="shared" si="1"/>
        <v>4.7728</v>
      </c>
      <c r="G29" s="9">
        <v>2.79</v>
      </c>
      <c r="H29" s="12">
        <f t="shared" si="0"/>
        <v>0.013316112</v>
      </c>
    </row>
    <row r="30" ht="30" customHeight="1" spans="1:8">
      <c r="A30" s="7">
        <v>103029</v>
      </c>
      <c r="B30" s="8" t="s">
        <v>39</v>
      </c>
      <c r="C30" s="8" t="s">
        <v>26</v>
      </c>
      <c r="D30" s="9">
        <v>2</v>
      </c>
      <c r="E30" s="10">
        <v>0.41</v>
      </c>
      <c r="F30" s="9">
        <f t="shared" si="1"/>
        <v>5.1496</v>
      </c>
      <c r="G30" s="9">
        <v>3.03</v>
      </c>
      <c r="H30" s="12">
        <f t="shared" si="0"/>
        <v>0.015603288</v>
      </c>
    </row>
    <row r="31" ht="30" customHeight="1" spans="1:8">
      <c r="A31" s="7">
        <v>103030</v>
      </c>
      <c r="B31" s="8" t="s">
        <v>40</v>
      </c>
      <c r="C31" s="8" t="s">
        <v>26</v>
      </c>
      <c r="D31" s="9">
        <v>2</v>
      </c>
      <c r="E31" s="10">
        <v>0.17</v>
      </c>
      <c r="F31" s="9">
        <f t="shared" si="1"/>
        <v>2.1352</v>
      </c>
      <c r="G31" s="9">
        <v>0.35</v>
      </c>
      <c r="H31" s="12">
        <f t="shared" si="0"/>
        <v>0.00074732</v>
      </c>
    </row>
    <row r="32" ht="30" customHeight="1" spans="1:8">
      <c r="A32" s="7">
        <v>103031</v>
      </c>
      <c r="B32" s="8" t="s">
        <v>41</v>
      </c>
      <c r="C32" s="8" t="s">
        <v>26</v>
      </c>
      <c r="D32" s="9">
        <v>1.5</v>
      </c>
      <c r="E32" s="10">
        <v>1.26</v>
      </c>
      <c r="F32" s="9">
        <f t="shared" si="1"/>
        <v>8.9019</v>
      </c>
      <c r="G32" s="9">
        <v>0.55</v>
      </c>
      <c r="H32" s="12">
        <f t="shared" si="0"/>
        <v>0.004896045</v>
      </c>
    </row>
    <row r="33" ht="30" customHeight="1" spans="1:8">
      <c r="A33" s="7">
        <v>103032</v>
      </c>
      <c r="B33" s="8" t="s">
        <v>42</v>
      </c>
      <c r="C33" s="8" t="s">
        <v>26</v>
      </c>
      <c r="D33" s="9">
        <v>1.5</v>
      </c>
      <c r="E33" s="10">
        <v>2.98</v>
      </c>
      <c r="F33" s="9">
        <f t="shared" si="1"/>
        <v>21.0537</v>
      </c>
      <c r="G33" s="9">
        <v>0.71</v>
      </c>
      <c r="H33" s="12">
        <f t="shared" si="0"/>
        <v>0.014948127</v>
      </c>
    </row>
    <row r="34" ht="30" customHeight="1" spans="1:8">
      <c r="A34" s="7">
        <v>103033</v>
      </c>
      <c r="B34" s="8" t="s">
        <v>43</v>
      </c>
      <c r="C34" s="8" t="s">
        <v>26</v>
      </c>
      <c r="D34" s="9">
        <v>2</v>
      </c>
      <c r="E34" s="10">
        <v>3.77</v>
      </c>
      <c r="F34" s="9">
        <f t="shared" si="1"/>
        <v>47.3512</v>
      </c>
      <c r="G34" s="9">
        <v>2.73</v>
      </c>
      <c r="H34" s="12">
        <f t="shared" si="0"/>
        <v>0.129268776</v>
      </c>
    </row>
    <row r="35" ht="30" customHeight="1" spans="1:8">
      <c r="A35" s="7">
        <v>103034</v>
      </c>
      <c r="B35" s="8" t="s">
        <v>44</v>
      </c>
      <c r="C35" s="8" t="s">
        <v>26</v>
      </c>
      <c r="D35" s="9">
        <v>2</v>
      </c>
      <c r="E35" s="10">
        <v>0.51</v>
      </c>
      <c r="F35" s="9">
        <f t="shared" si="1"/>
        <v>6.4056</v>
      </c>
      <c r="G35" s="9">
        <v>3.14</v>
      </c>
      <c r="H35" s="12">
        <f t="shared" ref="H35:H72" si="2">F35*G35/1000</f>
        <v>0.020113584</v>
      </c>
    </row>
    <row r="36" ht="30" customHeight="1" spans="1:8">
      <c r="A36" s="7">
        <v>103035</v>
      </c>
      <c r="B36" s="8" t="s">
        <v>45</v>
      </c>
      <c r="C36" s="8" t="s">
        <v>26</v>
      </c>
      <c r="D36" s="9">
        <v>2</v>
      </c>
      <c r="E36" s="10">
        <v>0.33</v>
      </c>
      <c r="F36" s="9">
        <f t="shared" si="1"/>
        <v>4.1448</v>
      </c>
      <c r="G36" s="9">
        <v>3.09</v>
      </c>
      <c r="H36" s="12">
        <f t="shared" si="2"/>
        <v>0.012807432</v>
      </c>
    </row>
    <row r="37" ht="30" customHeight="1" spans="1:8">
      <c r="A37" s="7">
        <v>103036</v>
      </c>
      <c r="B37" s="8" t="s">
        <v>46</v>
      </c>
      <c r="C37" s="8" t="s">
        <v>26</v>
      </c>
      <c r="D37" s="9">
        <v>2</v>
      </c>
      <c r="E37" s="10">
        <v>0.22</v>
      </c>
      <c r="F37" s="9">
        <f t="shared" si="1"/>
        <v>2.7632</v>
      </c>
      <c r="G37" s="9">
        <v>3.09</v>
      </c>
      <c r="H37" s="12">
        <f t="shared" si="2"/>
        <v>0.008538288</v>
      </c>
    </row>
    <row r="38" ht="30" customHeight="1" spans="1:8">
      <c r="A38" s="7">
        <v>103037</v>
      </c>
      <c r="B38" s="8" t="s">
        <v>47</v>
      </c>
      <c r="C38" s="8" t="s">
        <v>26</v>
      </c>
      <c r="D38" s="9">
        <v>2</v>
      </c>
      <c r="E38" s="10">
        <v>0.47</v>
      </c>
      <c r="F38" s="9">
        <f t="shared" si="1"/>
        <v>5.9032</v>
      </c>
      <c r="G38" s="9">
        <v>3.09</v>
      </c>
      <c r="H38" s="12">
        <f t="shared" si="2"/>
        <v>0.018240888</v>
      </c>
    </row>
    <row r="39" ht="30" customHeight="1" spans="1:8">
      <c r="A39" s="7">
        <v>103038</v>
      </c>
      <c r="B39" s="8" t="s">
        <v>48</v>
      </c>
      <c r="C39" s="8" t="s">
        <v>26</v>
      </c>
      <c r="D39" s="9">
        <v>3.5</v>
      </c>
      <c r="E39" s="10">
        <v>2.04</v>
      </c>
      <c r="F39" s="9">
        <f t="shared" si="1"/>
        <v>78.4686</v>
      </c>
      <c r="G39" s="9">
        <v>3.66</v>
      </c>
      <c r="H39" s="12">
        <f t="shared" si="2"/>
        <v>0.287195076</v>
      </c>
    </row>
    <row r="40" ht="30" customHeight="1" spans="1:8">
      <c r="A40" s="7">
        <v>103039</v>
      </c>
      <c r="B40" s="8" t="s">
        <v>49</v>
      </c>
      <c r="C40" s="8" t="s">
        <v>26</v>
      </c>
      <c r="D40" s="9">
        <v>3.5</v>
      </c>
      <c r="E40" s="10">
        <v>1.92</v>
      </c>
      <c r="F40" s="9">
        <f t="shared" si="1"/>
        <v>73.8528</v>
      </c>
      <c r="G40" s="9">
        <v>3.66</v>
      </c>
      <c r="H40" s="12">
        <f t="shared" si="2"/>
        <v>0.270301248</v>
      </c>
    </row>
    <row r="41" ht="30" customHeight="1" spans="1:8">
      <c r="A41" s="7">
        <v>103040</v>
      </c>
      <c r="B41" s="8" t="s">
        <v>50</v>
      </c>
      <c r="C41" s="8" t="s">
        <v>26</v>
      </c>
      <c r="D41" s="9">
        <v>3.5</v>
      </c>
      <c r="E41" s="10">
        <v>2.01</v>
      </c>
      <c r="F41" s="9">
        <f t="shared" si="1"/>
        <v>77.31465</v>
      </c>
      <c r="G41" s="9">
        <v>3.66</v>
      </c>
      <c r="H41" s="12">
        <f t="shared" si="2"/>
        <v>0.282971619</v>
      </c>
    </row>
    <row r="42" ht="30" customHeight="1" spans="1:8">
      <c r="A42" s="7">
        <v>103041</v>
      </c>
      <c r="B42" s="8" t="s">
        <v>51</v>
      </c>
      <c r="C42" s="8" t="s">
        <v>26</v>
      </c>
      <c r="D42" s="9">
        <v>1</v>
      </c>
      <c r="E42" s="10">
        <v>1.56</v>
      </c>
      <c r="F42" s="9">
        <f t="shared" si="1"/>
        <v>4.8984</v>
      </c>
      <c r="G42" s="9">
        <v>3.66</v>
      </c>
      <c r="H42" s="12">
        <f t="shared" si="2"/>
        <v>0.017928144</v>
      </c>
    </row>
    <row r="43" ht="30" customHeight="1" spans="1:8">
      <c r="A43" s="7">
        <v>103042</v>
      </c>
      <c r="B43" s="8" t="s">
        <v>52</v>
      </c>
      <c r="C43" s="8" t="s">
        <v>26</v>
      </c>
      <c r="D43" s="9">
        <v>0.6</v>
      </c>
      <c r="E43" s="10">
        <v>0</v>
      </c>
      <c r="F43" s="9">
        <f t="shared" si="1"/>
        <v>0</v>
      </c>
      <c r="G43" s="9">
        <v>3.66</v>
      </c>
      <c r="H43" s="12">
        <f t="shared" si="2"/>
        <v>0</v>
      </c>
    </row>
    <row r="44" ht="30" customHeight="1" spans="1:8">
      <c r="A44" s="7">
        <v>103043</v>
      </c>
      <c r="B44" s="8" t="s">
        <v>53</v>
      </c>
      <c r="C44" s="8" t="s">
        <v>26</v>
      </c>
      <c r="D44" s="9">
        <v>2</v>
      </c>
      <c r="E44" s="10">
        <v>4.33</v>
      </c>
      <c r="F44" s="9">
        <f t="shared" si="1"/>
        <v>54.3848</v>
      </c>
      <c r="G44" s="9">
        <v>11.88</v>
      </c>
      <c r="H44" s="12">
        <f t="shared" si="2"/>
        <v>0.646091424</v>
      </c>
    </row>
    <row r="45" ht="30" customHeight="1" spans="1:8">
      <c r="A45" s="7">
        <v>103044</v>
      </c>
      <c r="B45" s="8" t="s">
        <v>54</v>
      </c>
      <c r="C45" s="8" t="s">
        <v>26</v>
      </c>
      <c r="D45" s="9">
        <v>2</v>
      </c>
      <c r="E45" s="10">
        <v>2.35</v>
      </c>
      <c r="F45" s="9">
        <f t="shared" si="1"/>
        <v>29.516</v>
      </c>
      <c r="G45" s="9">
        <v>11.87</v>
      </c>
      <c r="H45" s="12">
        <f t="shared" si="2"/>
        <v>0.35035492</v>
      </c>
    </row>
    <row r="46" ht="30" customHeight="1" spans="1:8">
      <c r="A46" s="7">
        <v>103045</v>
      </c>
      <c r="B46" s="8" t="s">
        <v>55</v>
      </c>
      <c r="C46" s="8" t="s">
        <v>26</v>
      </c>
      <c r="D46" s="9">
        <v>2</v>
      </c>
      <c r="E46" s="10">
        <v>0.45</v>
      </c>
      <c r="F46" s="9">
        <f t="shared" si="1"/>
        <v>5.652</v>
      </c>
      <c r="G46" s="9">
        <v>10.89</v>
      </c>
      <c r="H46" s="12">
        <f t="shared" si="2"/>
        <v>0.06155028</v>
      </c>
    </row>
    <row r="47" ht="30" customHeight="1" spans="1:8">
      <c r="A47" s="7">
        <v>103046</v>
      </c>
      <c r="B47" s="8" t="s">
        <v>56</v>
      </c>
      <c r="C47" s="8" t="s">
        <v>26</v>
      </c>
      <c r="D47" s="9">
        <v>2</v>
      </c>
      <c r="E47" s="10">
        <v>0.31</v>
      </c>
      <c r="F47" s="9">
        <f t="shared" si="1"/>
        <v>3.8936</v>
      </c>
      <c r="G47" s="9">
        <v>10.55</v>
      </c>
      <c r="H47" s="12">
        <f t="shared" si="2"/>
        <v>0.04107748</v>
      </c>
    </row>
    <row r="48" ht="30" customHeight="1" spans="1:8">
      <c r="A48" s="7">
        <v>103047</v>
      </c>
      <c r="B48" s="8" t="s">
        <v>57</v>
      </c>
      <c r="C48" s="8" t="s">
        <v>26</v>
      </c>
      <c r="D48" s="9">
        <v>2</v>
      </c>
      <c r="E48" s="10">
        <v>0.38</v>
      </c>
      <c r="F48" s="9">
        <f t="shared" si="1"/>
        <v>4.7728</v>
      </c>
      <c r="G48" s="9">
        <v>9.38</v>
      </c>
      <c r="H48" s="12">
        <f t="shared" si="2"/>
        <v>0.044768864</v>
      </c>
    </row>
    <row r="49" ht="30" customHeight="1" spans="1:8">
      <c r="A49" s="7">
        <v>103048</v>
      </c>
      <c r="B49" s="8" t="s">
        <v>58</v>
      </c>
      <c r="C49" s="8" t="s">
        <v>26</v>
      </c>
      <c r="D49" s="9">
        <v>1.2</v>
      </c>
      <c r="E49" s="10">
        <v>1.26</v>
      </c>
      <c r="F49" s="9">
        <f t="shared" si="1"/>
        <v>5.697216</v>
      </c>
      <c r="G49" s="9">
        <v>9.38</v>
      </c>
      <c r="H49" s="12">
        <f t="shared" si="2"/>
        <v>0.05343988608</v>
      </c>
    </row>
    <row r="50" ht="30" customHeight="1" spans="1:8">
      <c r="A50" s="7">
        <v>103049</v>
      </c>
      <c r="B50" s="8" t="s">
        <v>59</v>
      </c>
      <c r="C50" s="8" t="s">
        <v>26</v>
      </c>
      <c r="D50" s="9">
        <v>1.4</v>
      </c>
      <c r="E50" s="10">
        <v>1.47</v>
      </c>
      <c r="F50" s="9">
        <f t="shared" si="1"/>
        <v>9.046968</v>
      </c>
      <c r="G50" s="9">
        <v>9.38</v>
      </c>
      <c r="H50" s="12">
        <f t="shared" si="2"/>
        <v>0.08486055984</v>
      </c>
    </row>
    <row r="51" ht="30" customHeight="1" spans="1:8">
      <c r="A51" s="7">
        <v>103050</v>
      </c>
      <c r="B51" s="8" t="s">
        <v>60</v>
      </c>
      <c r="C51" s="8" t="s">
        <v>26</v>
      </c>
      <c r="D51" s="9">
        <v>1.4</v>
      </c>
      <c r="E51" s="10">
        <v>0.15</v>
      </c>
      <c r="F51" s="9">
        <f t="shared" si="1"/>
        <v>0.92316</v>
      </c>
      <c r="G51" s="9">
        <v>10.5</v>
      </c>
      <c r="H51" s="12">
        <f t="shared" si="2"/>
        <v>0.00969318</v>
      </c>
    </row>
    <row r="52" ht="30" customHeight="1" spans="1:8">
      <c r="A52" s="7">
        <v>103051</v>
      </c>
      <c r="B52" s="8" t="s">
        <v>61</v>
      </c>
      <c r="C52" s="8" t="s">
        <v>26</v>
      </c>
      <c r="D52" s="9">
        <v>2</v>
      </c>
      <c r="E52" s="10">
        <v>4.05</v>
      </c>
      <c r="F52" s="9">
        <f t="shared" si="1"/>
        <v>50.868</v>
      </c>
      <c r="G52" s="9">
        <v>11.29</v>
      </c>
      <c r="H52" s="12">
        <f t="shared" si="2"/>
        <v>0.57429972</v>
      </c>
    </row>
    <row r="53" ht="30" customHeight="1" spans="1:8">
      <c r="A53" s="7">
        <v>103052</v>
      </c>
      <c r="B53" s="8" t="s">
        <v>62</v>
      </c>
      <c r="C53" s="8" t="s">
        <v>26</v>
      </c>
      <c r="D53" s="9">
        <v>2</v>
      </c>
      <c r="E53" s="10">
        <v>4.02</v>
      </c>
      <c r="F53" s="9">
        <f t="shared" si="1"/>
        <v>50.4912</v>
      </c>
      <c r="G53" s="9">
        <v>10.78</v>
      </c>
      <c r="H53" s="12">
        <f t="shared" si="2"/>
        <v>0.544295136</v>
      </c>
    </row>
    <row r="54" ht="30" customHeight="1" spans="1:8">
      <c r="A54" s="7">
        <v>103053</v>
      </c>
      <c r="B54" s="8" t="s">
        <v>63</v>
      </c>
      <c r="C54" s="8" t="s">
        <v>26</v>
      </c>
      <c r="D54" s="9">
        <v>2</v>
      </c>
      <c r="E54" s="10">
        <v>3.73</v>
      </c>
      <c r="F54" s="9">
        <f t="shared" si="1"/>
        <v>46.8488</v>
      </c>
      <c r="G54" s="9">
        <v>2.94</v>
      </c>
      <c r="H54" s="12">
        <f t="shared" si="2"/>
        <v>0.137735472</v>
      </c>
    </row>
    <row r="55" ht="30" customHeight="1" spans="1:8">
      <c r="A55" s="7">
        <v>103054</v>
      </c>
      <c r="B55" s="8" t="s">
        <v>64</v>
      </c>
      <c r="C55" s="8" t="s">
        <v>26</v>
      </c>
      <c r="D55" s="9">
        <v>2</v>
      </c>
      <c r="E55" s="10">
        <v>4.01</v>
      </c>
      <c r="F55" s="9">
        <f t="shared" si="1"/>
        <v>50.3656</v>
      </c>
      <c r="G55" s="9">
        <v>3.04</v>
      </c>
      <c r="H55" s="12">
        <f t="shared" si="2"/>
        <v>0.153111424</v>
      </c>
    </row>
    <row r="56" ht="30" customHeight="1" spans="1:8">
      <c r="A56" s="7">
        <v>103055</v>
      </c>
      <c r="B56" s="8" t="s">
        <v>65</v>
      </c>
      <c r="C56" s="8" t="s">
        <v>26</v>
      </c>
      <c r="D56" s="9">
        <v>1.4</v>
      </c>
      <c r="E56" s="10">
        <v>1.36</v>
      </c>
      <c r="F56" s="9">
        <f t="shared" si="1"/>
        <v>8.369984</v>
      </c>
      <c r="G56" s="9">
        <v>5.73</v>
      </c>
      <c r="H56" s="12">
        <f t="shared" si="2"/>
        <v>0.04796000832</v>
      </c>
    </row>
    <row r="57" ht="30" customHeight="1" spans="1:8">
      <c r="A57" s="7">
        <v>103056</v>
      </c>
      <c r="B57" s="8" t="s">
        <v>66</v>
      </c>
      <c r="C57" s="8" t="s">
        <v>26</v>
      </c>
      <c r="D57" s="9">
        <v>1.4</v>
      </c>
      <c r="E57" s="10">
        <v>1.35</v>
      </c>
      <c r="F57" s="9">
        <f t="shared" si="1"/>
        <v>8.30844</v>
      </c>
      <c r="G57" s="9">
        <v>4.08</v>
      </c>
      <c r="H57" s="12">
        <f t="shared" si="2"/>
        <v>0.0338984352</v>
      </c>
    </row>
    <row r="58" ht="30" customHeight="1" spans="1:8">
      <c r="A58" s="7">
        <v>103057</v>
      </c>
      <c r="B58" s="8" t="s">
        <v>67</v>
      </c>
      <c r="C58" s="8" t="s">
        <v>26</v>
      </c>
      <c r="D58" s="9">
        <v>1.4</v>
      </c>
      <c r="E58" s="10">
        <v>1.49</v>
      </c>
      <c r="F58" s="9">
        <f t="shared" si="1"/>
        <v>9.170056</v>
      </c>
      <c r="G58" s="9">
        <v>2.66</v>
      </c>
      <c r="H58" s="12">
        <f t="shared" si="2"/>
        <v>0.02439234896</v>
      </c>
    </row>
    <row r="59" ht="30" customHeight="1" spans="1:8">
      <c r="A59" s="7">
        <v>103058</v>
      </c>
      <c r="B59" s="8" t="s">
        <v>68</v>
      </c>
      <c r="C59" s="8" t="s">
        <v>26</v>
      </c>
      <c r="D59" s="9">
        <v>1.4</v>
      </c>
      <c r="E59" s="10">
        <v>1.47</v>
      </c>
      <c r="F59" s="9">
        <f t="shared" si="1"/>
        <v>9.046968</v>
      </c>
      <c r="G59" s="9">
        <v>3.28</v>
      </c>
      <c r="H59" s="12">
        <f t="shared" si="2"/>
        <v>0.02967405504</v>
      </c>
    </row>
    <row r="60" ht="30" customHeight="1" spans="1:8">
      <c r="A60" s="7">
        <v>103059</v>
      </c>
      <c r="B60" s="8" t="s">
        <v>69</v>
      </c>
      <c r="C60" s="8" t="s">
        <v>26</v>
      </c>
      <c r="D60" s="9">
        <v>2</v>
      </c>
      <c r="E60" s="10">
        <v>1.35</v>
      </c>
      <c r="F60" s="9">
        <f t="shared" si="1"/>
        <v>16.956</v>
      </c>
      <c r="G60" s="9">
        <v>2.49</v>
      </c>
      <c r="H60" s="12">
        <f t="shared" si="2"/>
        <v>0.04222044</v>
      </c>
    </row>
    <row r="61" ht="30" customHeight="1" spans="1:8">
      <c r="A61" s="7">
        <v>103060</v>
      </c>
      <c r="B61" s="8" t="s">
        <v>70</v>
      </c>
      <c r="C61" s="8" t="s">
        <v>26</v>
      </c>
      <c r="D61" s="9">
        <v>1.4</v>
      </c>
      <c r="E61" s="10">
        <v>0.38</v>
      </c>
      <c r="F61" s="9">
        <f t="shared" si="1"/>
        <v>2.338672</v>
      </c>
      <c r="G61" s="9">
        <v>3.55</v>
      </c>
      <c r="H61" s="12">
        <f t="shared" si="2"/>
        <v>0.0083022856</v>
      </c>
    </row>
    <row r="62" ht="30" customHeight="1" spans="1:8">
      <c r="A62" s="7">
        <v>103061</v>
      </c>
      <c r="B62" s="8" t="s">
        <v>71</v>
      </c>
      <c r="C62" s="8" t="s">
        <v>26</v>
      </c>
      <c r="D62" s="9">
        <v>1.4</v>
      </c>
      <c r="E62" s="10">
        <v>1.81</v>
      </c>
      <c r="F62" s="9">
        <f t="shared" si="1"/>
        <v>11.139464</v>
      </c>
      <c r="G62" s="9">
        <v>4.02</v>
      </c>
      <c r="H62" s="12">
        <f t="shared" si="2"/>
        <v>0.04478064528</v>
      </c>
    </row>
    <row r="63" ht="30" customHeight="1" spans="1:8">
      <c r="A63" s="7">
        <v>103062</v>
      </c>
      <c r="B63" s="8" t="s">
        <v>72</v>
      </c>
      <c r="C63" s="8" t="s">
        <v>26</v>
      </c>
      <c r="D63" s="9">
        <v>1.4</v>
      </c>
      <c r="E63" s="10">
        <v>1.71</v>
      </c>
      <c r="F63" s="9">
        <f t="shared" si="1"/>
        <v>10.524024</v>
      </c>
      <c r="G63" s="9">
        <v>2.54</v>
      </c>
      <c r="H63" s="12">
        <f t="shared" si="2"/>
        <v>0.02673102096</v>
      </c>
    </row>
    <row r="64" ht="30" customHeight="1" spans="1:8">
      <c r="A64" s="7">
        <v>103063</v>
      </c>
      <c r="B64" s="8" t="s">
        <v>73</v>
      </c>
      <c r="C64" s="8" t="s">
        <v>26</v>
      </c>
      <c r="D64" s="9">
        <v>1.4</v>
      </c>
      <c r="E64" s="10">
        <v>1.49</v>
      </c>
      <c r="F64" s="9">
        <f t="shared" si="1"/>
        <v>9.170056</v>
      </c>
      <c r="G64" s="9">
        <v>2.18</v>
      </c>
      <c r="H64" s="12">
        <f t="shared" si="2"/>
        <v>0.01999072208</v>
      </c>
    </row>
    <row r="65" ht="30" customHeight="1" spans="1:8">
      <c r="A65" s="7">
        <v>103064</v>
      </c>
      <c r="B65" s="8" t="s">
        <v>74</v>
      </c>
      <c r="C65" s="8" t="s">
        <v>26</v>
      </c>
      <c r="D65" s="9">
        <v>1.4</v>
      </c>
      <c r="E65" s="10">
        <v>1.49</v>
      </c>
      <c r="F65" s="9">
        <f t="shared" si="1"/>
        <v>9.170056</v>
      </c>
      <c r="G65" s="9">
        <v>2.62</v>
      </c>
      <c r="H65" s="12">
        <f t="shared" si="2"/>
        <v>0.02402554672</v>
      </c>
    </row>
    <row r="66" ht="30" customHeight="1" spans="1:8">
      <c r="A66" s="7">
        <v>103065</v>
      </c>
      <c r="B66" s="8" t="s">
        <v>75</v>
      </c>
      <c r="C66" s="8" t="s">
        <v>26</v>
      </c>
      <c r="D66" s="9">
        <v>2</v>
      </c>
      <c r="E66" s="10">
        <v>2.22</v>
      </c>
      <c r="F66" s="9">
        <f t="shared" si="1"/>
        <v>27.8832</v>
      </c>
      <c r="G66" s="9">
        <v>2.09</v>
      </c>
      <c r="H66" s="12">
        <f t="shared" si="2"/>
        <v>0.058275888</v>
      </c>
    </row>
    <row r="67" ht="30" customHeight="1" spans="1:8">
      <c r="A67" s="7">
        <v>103066</v>
      </c>
      <c r="B67" s="8" t="s">
        <v>76</v>
      </c>
      <c r="C67" s="8" t="s">
        <v>26</v>
      </c>
      <c r="D67" s="9">
        <v>1.4</v>
      </c>
      <c r="E67" s="10">
        <v>2.32</v>
      </c>
      <c r="F67" s="9">
        <f t="shared" si="1"/>
        <v>14.278208</v>
      </c>
      <c r="G67" s="9">
        <v>1.51</v>
      </c>
      <c r="H67" s="12">
        <f t="shared" si="2"/>
        <v>0.02156009408</v>
      </c>
    </row>
    <row r="68" ht="30" customHeight="1" spans="1:8">
      <c r="A68" s="7">
        <v>103067</v>
      </c>
      <c r="B68" s="8" t="s">
        <v>77</v>
      </c>
      <c r="C68" s="8" t="s">
        <v>26</v>
      </c>
      <c r="D68" s="9">
        <v>1.4</v>
      </c>
      <c r="E68" s="10">
        <v>2.56</v>
      </c>
      <c r="F68" s="9">
        <f t="shared" si="1"/>
        <v>15.755264</v>
      </c>
      <c r="G68" s="9">
        <v>1.51</v>
      </c>
      <c r="H68" s="12">
        <f t="shared" si="2"/>
        <v>0.02379044864</v>
      </c>
    </row>
    <row r="69" ht="30" customHeight="1" spans="1:8">
      <c r="A69" s="7">
        <v>103068</v>
      </c>
      <c r="B69" s="8" t="s">
        <v>78</v>
      </c>
      <c r="C69" s="8" t="s">
        <v>26</v>
      </c>
      <c r="D69" s="9">
        <v>1.4</v>
      </c>
      <c r="E69" s="10">
        <v>1.34</v>
      </c>
      <c r="F69" s="9">
        <f t="shared" si="1"/>
        <v>8.246896</v>
      </c>
      <c r="G69" s="9">
        <v>1.54</v>
      </c>
      <c r="H69" s="12">
        <f t="shared" si="2"/>
        <v>0.01270021984</v>
      </c>
    </row>
    <row r="70" ht="30" customHeight="1" spans="1:8">
      <c r="A70" s="7">
        <v>103069</v>
      </c>
      <c r="B70" s="8" t="s">
        <v>79</v>
      </c>
      <c r="C70" s="8" t="s">
        <v>26</v>
      </c>
      <c r="D70" s="9">
        <v>1.4</v>
      </c>
      <c r="E70" s="10">
        <v>2.15</v>
      </c>
      <c r="F70" s="9">
        <f t="shared" si="1"/>
        <v>13.23196</v>
      </c>
      <c r="G70" s="9">
        <v>1.65</v>
      </c>
      <c r="H70" s="12">
        <f t="shared" si="2"/>
        <v>0.021832734</v>
      </c>
    </row>
    <row r="71" ht="30" customHeight="1" spans="1:8">
      <c r="A71" s="7">
        <v>103070</v>
      </c>
      <c r="B71" s="8" t="s">
        <v>80</v>
      </c>
      <c r="C71" s="8" t="s">
        <v>26</v>
      </c>
      <c r="D71" s="9">
        <v>1.4</v>
      </c>
      <c r="E71" s="10">
        <v>0</v>
      </c>
      <c r="F71" s="9">
        <f t="shared" si="1"/>
        <v>0</v>
      </c>
      <c r="G71" s="9">
        <v>0</v>
      </c>
      <c r="H71" s="12">
        <f t="shared" si="2"/>
        <v>0</v>
      </c>
    </row>
    <row r="72" ht="30" customHeight="1" spans="1:8">
      <c r="A72" s="7">
        <v>103071</v>
      </c>
      <c r="B72" s="8" t="s">
        <v>81</v>
      </c>
      <c r="C72" s="8" t="s">
        <v>26</v>
      </c>
      <c r="D72" s="9">
        <v>1.4</v>
      </c>
      <c r="E72" s="10">
        <v>0</v>
      </c>
      <c r="F72" s="9">
        <f t="shared" si="1"/>
        <v>0</v>
      </c>
      <c r="G72" s="9">
        <v>0</v>
      </c>
      <c r="H72" s="12">
        <f t="shared" si="2"/>
        <v>0</v>
      </c>
    </row>
    <row r="73" ht="30" customHeight="1" spans="1:8">
      <c r="A73" s="7">
        <v>103072</v>
      </c>
      <c r="B73" s="8" t="s">
        <v>82</v>
      </c>
      <c r="C73" s="8" t="s">
        <v>83</v>
      </c>
      <c r="D73" s="9" t="s">
        <v>10</v>
      </c>
      <c r="E73" s="9" t="s">
        <v>10</v>
      </c>
      <c r="F73" s="9" t="s">
        <v>10</v>
      </c>
      <c r="G73" s="9" t="s">
        <v>10</v>
      </c>
      <c r="H73" s="12">
        <v>0</v>
      </c>
    </row>
    <row r="74" ht="30" customHeight="1" spans="1:8">
      <c r="A74" s="7">
        <v>103073</v>
      </c>
      <c r="B74" s="8" t="s">
        <v>84</v>
      </c>
      <c r="C74" s="8" t="s">
        <v>83</v>
      </c>
      <c r="D74" s="9" t="s">
        <v>10</v>
      </c>
      <c r="E74" s="9" t="s">
        <v>10</v>
      </c>
      <c r="F74" s="9" t="s">
        <v>10</v>
      </c>
      <c r="G74" s="9" t="s">
        <v>10</v>
      </c>
      <c r="H74" s="12">
        <v>0</v>
      </c>
    </row>
    <row r="75" ht="30" customHeight="1" spans="1:8">
      <c r="A75" s="7">
        <v>103074</v>
      </c>
      <c r="B75" s="8" t="s">
        <v>85</v>
      </c>
      <c r="C75" s="8" t="s">
        <v>83</v>
      </c>
      <c r="D75" s="9" t="s">
        <v>10</v>
      </c>
      <c r="E75" s="9" t="s">
        <v>10</v>
      </c>
      <c r="F75" s="9" t="s">
        <v>10</v>
      </c>
      <c r="G75" s="9" t="s">
        <v>10</v>
      </c>
      <c r="H75" s="12">
        <v>0</v>
      </c>
    </row>
    <row r="76" ht="30" customHeight="1" spans="1:8">
      <c r="A76" s="7">
        <v>103075</v>
      </c>
      <c r="B76" s="8" t="s">
        <v>86</v>
      </c>
      <c r="C76" s="8" t="s">
        <v>83</v>
      </c>
      <c r="D76" s="9" t="s">
        <v>10</v>
      </c>
      <c r="E76" s="9" t="s">
        <v>10</v>
      </c>
      <c r="F76" s="9" t="s">
        <v>10</v>
      </c>
      <c r="G76" s="9" t="s">
        <v>10</v>
      </c>
      <c r="H76" s="12">
        <v>0</v>
      </c>
    </row>
    <row r="77" ht="30" customHeight="1" spans="1:8">
      <c r="A77" s="7">
        <v>103076</v>
      </c>
      <c r="B77" s="8" t="s">
        <v>87</v>
      </c>
      <c r="C77" s="8" t="s">
        <v>83</v>
      </c>
      <c r="D77" s="9" t="s">
        <v>10</v>
      </c>
      <c r="E77" s="9" t="s">
        <v>10</v>
      </c>
      <c r="F77" s="9" t="s">
        <v>10</v>
      </c>
      <c r="G77" s="9" t="s">
        <v>10</v>
      </c>
      <c r="H77" s="12">
        <v>0</v>
      </c>
    </row>
    <row r="78" ht="30" customHeight="1" spans="1:8">
      <c r="A78" s="7">
        <v>103077</v>
      </c>
      <c r="B78" s="8" t="s">
        <v>88</v>
      </c>
      <c r="C78" s="8" t="s">
        <v>83</v>
      </c>
      <c r="D78" s="9" t="s">
        <v>10</v>
      </c>
      <c r="E78" s="9" t="s">
        <v>10</v>
      </c>
      <c r="F78" s="9" t="s">
        <v>10</v>
      </c>
      <c r="G78" s="9" t="s">
        <v>10</v>
      </c>
      <c r="H78" s="12">
        <v>0</v>
      </c>
    </row>
    <row r="79" ht="30" customHeight="1" spans="1:8">
      <c r="A79" s="7">
        <v>103078</v>
      </c>
      <c r="B79" s="8" t="s">
        <v>69</v>
      </c>
      <c r="C79" s="8" t="s">
        <v>83</v>
      </c>
      <c r="D79" s="9" t="s">
        <v>10</v>
      </c>
      <c r="E79" s="9" t="s">
        <v>10</v>
      </c>
      <c r="F79" s="9" t="s">
        <v>10</v>
      </c>
      <c r="G79" s="9" t="s">
        <v>10</v>
      </c>
      <c r="H79" s="12">
        <v>0</v>
      </c>
    </row>
    <row r="80" ht="30" customHeight="1" spans="1:8">
      <c r="A80" s="7">
        <v>103079</v>
      </c>
      <c r="B80" s="8" t="s">
        <v>89</v>
      </c>
      <c r="C80" s="8" t="s">
        <v>83</v>
      </c>
      <c r="D80" s="9" t="s">
        <v>10</v>
      </c>
      <c r="E80" s="9" t="s">
        <v>10</v>
      </c>
      <c r="F80" s="9" t="s">
        <v>10</v>
      </c>
      <c r="G80" s="9" t="s">
        <v>10</v>
      </c>
      <c r="H80" s="12">
        <v>0</v>
      </c>
    </row>
    <row r="81" ht="30" customHeight="1" spans="1:8">
      <c r="A81" s="7">
        <v>103080</v>
      </c>
      <c r="B81" s="8" t="s">
        <v>63</v>
      </c>
      <c r="C81" s="8" t="s">
        <v>83</v>
      </c>
      <c r="D81" s="9" t="s">
        <v>10</v>
      </c>
      <c r="E81" s="9" t="s">
        <v>10</v>
      </c>
      <c r="F81" s="9" t="s">
        <v>10</v>
      </c>
      <c r="G81" s="9" t="s">
        <v>10</v>
      </c>
      <c r="H81" s="12">
        <v>0</v>
      </c>
    </row>
    <row r="82" ht="30" customHeight="1" spans="1:8">
      <c r="A82" s="7">
        <v>103081</v>
      </c>
      <c r="B82" s="8" t="s">
        <v>64</v>
      </c>
      <c r="C82" s="8" t="s">
        <v>83</v>
      </c>
      <c r="D82" s="9" t="s">
        <v>10</v>
      </c>
      <c r="E82" s="9" t="s">
        <v>10</v>
      </c>
      <c r="F82" s="9" t="s">
        <v>10</v>
      </c>
      <c r="G82" s="9" t="s">
        <v>10</v>
      </c>
      <c r="H82" s="12">
        <v>0</v>
      </c>
    </row>
    <row r="83" ht="30" customHeight="1" spans="1:8">
      <c r="A83" s="7">
        <v>103082</v>
      </c>
      <c r="B83" s="8" t="s">
        <v>90</v>
      </c>
      <c r="C83" s="8" t="s">
        <v>83</v>
      </c>
      <c r="D83" s="9" t="s">
        <v>10</v>
      </c>
      <c r="E83" s="9" t="s">
        <v>10</v>
      </c>
      <c r="F83" s="9" t="s">
        <v>10</v>
      </c>
      <c r="G83" s="9" t="s">
        <v>10</v>
      </c>
      <c r="H83" s="12">
        <v>0</v>
      </c>
    </row>
    <row r="84" ht="30" customHeight="1" spans="1:8">
      <c r="A84" s="7">
        <v>103083</v>
      </c>
      <c r="B84" s="8" t="s">
        <v>91</v>
      </c>
      <c r="C84" s="8" t="s">
        <v>83</v>
      </c>
      <c r="D84" s="9" t="s">
        <v>10</v>
      </c>
      <c r="E84" s="9" t="s">
        <v>10</v>
      </c>
      <c r="F84" s="9" t="s">
        <v>10</v>
      </c>
      <c r="G84" s="9" t="s">
        <v>10</v>
      </c>
      <c r="H84" s="12">
        <v>1.5</v>
      </c>
    </row>
    <row r="85" ht="30" customHeight="1" spans="1:8">
      <c r="A85" s="7">
        <v>103084</v>
      </c>
      <c r="B85" s="8" t="s">
        <v>92</v>
      </c>
      <c r="C85" s="8" t="s">
        <v>83</v>
      </c>
      <c r="D85" s="9" t="s">
        <v>10</v>
      </c>
      <c r="E85" s="9" t="s">
        <v>10</v>
      </c>
      <c r="F85" s="9" t="s">
        <v>10</v>
      </c>
      <c r="G85" s="9" t="s">
        <v>10</v>
      </c>
      <c r="H85" s="12">
        <v>0</v>
      </c>
    </row>
    <row r="86" ht="30" customHeight="1" spans="1:8">
      <c r="A86" s="7">
        <v>103085</v>
      </c>
      <c r="B86" s="8" t="s">
        <v>93</v>
      </c>
      <c r="C86" s="8" t="s">
        <v>83</v>
      </c>
      <c r="D86" s="9" t="s">
        <v>10</v>
      </c>
      <c r="E86" s="9" t="s">
        <v>10</v>
      </c>
      <c r="F86" s="9" t="s">
        <v>10</v>
      </c>
      <c r="G86" s="9" t="s">
        <v>10</v>
      </c>
      <c r="H86" s="13">
        <v>0</v>
      </c>
    </row>
    <row r="87" ht="30" customHeight="1" spans="1:8">
      <c r="A87" s="7">
        <v>103086</v>
      </c>
      <c r="B87" s="8" t="s">
        <v>94</v>
      </c>
      <c r="C87" s="8" t="s">
        <v>83</v>
      </c>
      <c r="D87" s="9" t="s">
        <v>10</v>
      </c>
      <c r="E87" s="9" t="s">
        <v>10</v>
      </c>
      <c r="F87" s="9" t="s">
        <v>10</v>
      </c>
      <c r="G87" s="9" t="s">
        <v>10</v>
      </c>
      <c r="H87" s="13">
        <v>0</v>
      </c>
    </row>
    <row r="88" ht="30" customHeight="1" spans="1:8">
      <c r="A88" s="7">
        <v>103087</v>
      </c>
      <c r="B88" s="8" t="s">
        <v>95</v>
      </c>
      <c r="C88" s="8" t="s">
        <v>83</v>
      </c>
      <c r="D88" s="9" t="s">
        <v>10</v>
      </c>
      <c r="E88" s="9" t="s">
        <v>10</v>
      </c>
      <c r="F88" s="9" t="s">
        <v>10</v>
      </c>
      <c r="G88" s="9" t="s">
        <v>10</v>
      </c>
      <c r="H88" s="13">
        <v>0.075</v>
      </c>
    </row>
    <row r="89" ht="30" customHeight="1" spans="1:8">
      <c r="A89" s="7">
        <v>103088</v>
      </c>
      <c r="B89" s="8" t="s">
        <v>96</v>
      </c>
      <c r="C89" s="8" t="s">
        <v>83</v>
      </c>
      <c r="D89" s="9" t="s">
        <v>10</v>
      </c>
      <c r="E89" s="9" t="s">
        <v>10</v>
      </c>
      <c r="F89" s="9" t="s">
        <v>10</v>
      </c>
      <c r="G89" s="9" t="s">
        <v>10</v>
      </c>
      <c r="H89" s="13">
        <v>0.105</v>
      </c>
    </row>
    <row r="90" ht="30" customHeight="1" spans="1:8">
      <c r="A90" s="7">
        <v>103089</v>
      </c>
      <c r="B90" s="14" t="s">
        <v>97</v>
      </c>
      <c r="C90" s="8" t="s">
        <v>83</v>
      </c>
      <c r="D90" s="9" t="s">
        <v>10</v>
      </c>
      <c r="E90" s="9" t="s">
        <v>10</v>
      </c>
      <c r="F90" s="9" t="s">
        <v>10</v>
      </c>
      <c r="G90" s="9" t="s">
        <v>10</v>
      </c>
      <c r="H90" s="13">
        <v>47.029</v>
      </c>
    </row>
    <row r="91" ht="30" customHeight="1" spans="1:8">
      <c r="A91" s="7">
        <v>103090</v>
      </c>
      <c r="B91" s="14" t="s">
        <v>98</v>
      </c>
      <c r="C91" s="8" t="s">
        <v>83</v>
      </c>
      <c r="D91" s="9" t="s">
        <v>10</v>
      </c>
      <c r="E91" s="9" t="s">
        <v>10</v>
      </c>
      <c r="F91" s="9" t="s">
        <v>10</v>
      </c>
      <c r="G91" s="9" t="s">
        <v>10</v>
      </c>
      <c r="H91" s="13">
        <v>0.633</v>
      </c>
    </row>
    <row r="92" ht="30" customHeight="1" spans="1:8">
      <c r="A92" s="7">
        <v>103091</v>
      </c>
      <c r="B92" s="8" t="s">
        <v>99</v>
      </c>
      <c r="C92" s="8" t="s">
        <v>100</v>
      </c>
      <c r="D92" s="9" t="s">
        <v>10</v>
      </c>
      <c r="E92" s="9" t="s">
        <v>10</v>
      </c>
      <c r="F92" s="9" t="s">
        <v>10</v>
      </c>
      <c r="G92" s="9" t="s">
        <v>10</v>
      </c>
      <c r="H92" s="13">
        <v>55.13</v>
      </c>
    </row>
    <row r="93" ht="30" customHeight="1" spans="1:8">
      <c r="A93" s="7">
        <v>103092</v>
      </c>
      <c r="B93" s="8" t="s">
        <v>101</v>
      </c>
      <c r="C93" s="8" t="s">
        <v>100</v>
      </c>
      <c r="D93" s="9" t="s">
        <v>10</v>
      </c>
      <c r="E93" s="9" t="s">
        <v>10</v>
      </c>
      <c r="F93" s="9" t="s">
        <v>10</v>
      </c>
      <c r="G93" s="9" t="s">
        <v>10</v>
      </c>
      <c r="H93" s="13">
        <v>4.985</v>
      </c>
    </row>
    <row r="94" ht="30" customHeight="1" spans="1:8">
      <c r="A94" s="8" t="s">
        <v>102</v>
      </c>
      <c r="B94" s="14" t="s">
        <v>103</v>
      </c>
      <c r="C94" s="15"/>
      <c r="D94" s="15"/>
      <c r="E94" s="15"/>
      <c r="F94" s="15"/>
      <c r="G94" s="15"/>
      <c r="H94" s="16">
        <v>0</v>
      </c>
    </row>
    <row r="95" ht="30" customHeight="1"/>
  </sheetData>
  <sortState ref="A3:K94">
    <sortCondition ref="C3" descending="1"/>
  </sortState>
  <mergeCells count="1">
    <mergeCell ref="B94:G94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2026-09-24T05:38:00Z</dcterms:created>
  <dcterms:modified xsi:type="dcterms:W3CDTF">2026-09-27T06:08:58Z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86DB5A2ACA4C4F468BCD120751764BA1_12</vt:lpwstr>
  </property>
  <property fmtid="{D5CDD505-2E9C-101B-9397-08002B2CF9AE}" pid="3" name="KSOProductBuildVer">
    <vt:lpwstr>2052-12.1.0.28488</vt:lpwstr>
  </property>
  <property fmtid="{D5CDD505-2E9C-101B-9397-08002B2CF9AE}" pid="4" name="CalculationRule">
    <vt:i4>0</vt:i4>
  </property>
</Properties>
</file>