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MyWork\Flask\Workweb\workweb\static\file\kpi\"/>
    </mc:Choice>
  </mc:AlternateContent>
  <bookViews>
    <workbookView windowWidth="28800" windowHeight="12375" firstSheet="4" activeTab="10"/>
  </bookViews>
  <sheets>
    <sheet name="10月绩效" sheetId="1" r:id="rId1"/>
    <sheet name="11月绩效" sheetId="2" r:id="rId2"/>
    <sheet name="12月绩效 " sheetId="3" r:id="rId3"/>
    <sheet name="1月绩效" sheetId="4" r:id="rId4"/>
    <sheet name="2月绩效" sheetId="5" r:id="rId5"/>
    <sheet name="3月绩效" sheetId="6" r:id="rId6"/>
    <sheet name="4月绩效" sheetId="7" r:id="rId7"/>
    <sheet name="5月绩效" sheetId="8" r:id="rId8"/>
    <sheet name="6月绩效 " sheetId="9" r:id="rId9"/>
    <sheet name="7月绩效" sheetId="10" r:id="rId10"/>
    <sheet name="8月绩效 " sheetId="11" r:id="rId11"/>
  </sheets>
  <definedNames>
    <definedName name="_xlnm._FilterDatabase" localSheetId="8" hidden="1">'6月绩效 '!$A$1:$E$109</definedName>
    <definedName name="_xlnm._FilterDatabase" localSheetId="9" hidden="1">'7月绩效'!$A$1:$E$40</definedName>
    <definedName name="_xlnm.Print_Titles" localSheetId="0">'10月绩效'!$1:$3</definedName>
    <definedName name="_xlnm.Print_Titles" localSheetId="1">'11月绩效'!$1:$3</definedName>
    <definedName name="_xlnm.Print_Titles" localSheetId="2">'12月绩效 '!$1:$3</definedName>
    <definedName name="_xlnm.Print_Titles" localSheetId="3">'1月绩效'!$1:$3</definedName>
    <definedName name="_xlnm.Criteria" localSheetId="9">'7月绩效'!$E$4:$E$40</definedName>
    <definedName name="_xlnm._FilterDatabase" localSheetId="10" hidden="1">'8月绩效 '!$A$1:$G$33</definedName>
    <definedName name="_xlnm.Criteria" localSheetId="10">'8月绩效 '!$G$4:$G$33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<sst xmlns="http://schemas.openxmlformats.org/spreadsheetml/2006/main" count="1349" uniqueCount="347">
  <si>
    <t>生产部绩效考核表</t>
  </si>
  <si>
    <t xml:space="preserve">车间：103车间                                      班组：                              </t>
  </si>
  <si>
    <t>序号</t>
  </si>
  <si>
    <t>姓名</t>
  </si>
  <si>
    <t>时间</t>
  </si>
  <si>
    <t>考核内容</t>
  </si>
  <si>
    <t>评分</t>
  </si>
  <si>
    <t>文成</t>
  </si>
  <si>
    <t>发现102冷却塔漏水，及时反馈处理，避免异常影响产量</t>
  </si>
  <si>
    <t>协助开叉车帮助卸MVR改造材料</t>
  </si>
  <si>
    <t>代奎</t>
  </si>
  <si>
    <t>上管廊架清理管道，有助于班组打造，提升管理效率</t>
  </si>
  <si>
    <t>黄冲</t>
  </si>
  <si>
    <t>黄为</t>
  </si>
  <si>
    <t>清理陈化釜积料，作业环境恶劣，工作强度大</t>
  </si>
  <si>
    <t>代文平</t>
  </si>
  <si>
    <t>李朋朋</t>
  </si>
  <si>
    <t>张海平</t>
  </si>
  <si>
    <t>张纯燕</t>
  </si>
  <si>
    <t>王诚</t>
  </si>
  <si>
    <t>魏杞夫</t>
  </si>
  <si>
    <t>人员安排合理，提升班组管理及工作效率，望再接再厉</t>
  </si>
  <si>
    <t>张永红</t>
  </si>
  <si>
    <t>工作期间睡岗</t>
  </si>
  <si>
    <t>合计</t>
  </si>
  <si>
    <r>
      <rPr>
        <sz val="14"/>
        <color rgb="FF000000"/>
        <rFont val="微软雅黑"/>
        <charset val="134"/>
      </rPr>
      <t>考核人签字：</t>
    </r>
    <r>
      <rPr>
        <sz val="12"/>
        <color rgb="FF000000"/>
        <rFont val="微软雅黑"/>
        <charset val="134"/>
      </rPr>
      <t xml:space="preserve">                                </t>
    </r>
    <r>
      <rPr>
        <sz val="14"/>
        <color rgb="FF000000"/>
        <rFont val="微软雅黑"/>
        <charset val="134"/>
      </rPr>
      <t xml:space="preserve">    时间：</t>
    </r>
  </si>
  <si>
    <r>
      <rPr>
        <sz val="14"/>
        <color rgb="FF000000"/>
        <rFont val="微软雅黑"/>
        <charset val="134"/>
      </rPr>
      <t xml:space="preserve">分管领导签字： </t>
    </r>
    <r>
      <rPr>
        <sz val="12"/>
        <color rgb="FF000000"/>
        <rFont val="微软雅黑"/>
        <charset val="134"/>
      </rPr>
      <t xml:space="preserve">                               </t>
    </r>
    <r>
      <rPr>
        <sz val="14"/>
        <color rgb="FF000000"/>
        <rFont val="微软雅黑"/>
        <charset val="134"/>
      </rPr>
      <t xml:space="preserve"> </t>
    </r>
    <r>
      <rPr>
        <sz val="14"/>
        <color rgb="FF000000"/>
        <rFont val="微软雅黑"/>
        <charset val="134"/>
      </rPr>
      <t>时间：</t>
    </r>
  </si>
  <si>
    <t>张光正</t>
  </si>
  <si>
    <t>安排清理有机物降解罐卫生，作业环境危险</t>
  </si>
  <si>
    <t>黄林</t>
  </si>
  <si>
    <t>班长管理责任</t>
  </si>
  <si>
    <t>张径海</t>
  </si>
  <si>
    <t>冒罐，工作不够严谨、认真</t>
  </si>
  <si>
    <t>刘虎</t>
  </si>
  <si>
    <t>完成技改，进行调试，下罐清理合成釜，作业环境危险</t>
  </si>
  <si>
    <t>康孝阳</t>
  </si>
  <si>
    <t>鲁显君</t>
  </si>
  <si>
    <t>杨仁建</t>
  </si>
  <si>
    <t>龚玉山</t>
  </si>
  <si>
    <t>吴忠诗</t>
  </si>
  <si>
    <t>张陈</t>
  </si>
  <si>
    <t>代兆琴</t>
  </si>
  <si>
    <t>合成釜下料堵，下罐疏通（作业环境危险），并清理结壁料</t>
  </si>
  <si>
    <t>梁海生</t>
  </si>
  <si>
    <t>冯成贵</t>
  </si>
  <si>
    <t>汤乐飞</t>
  </si>
  <si>
    <t>江玉山</t>
  </si>
  <si>
    <t>叉车工请假，顶班出元明粉</t>
  </si>
  <si>
    <t>首班处理12罐合成前液</t>
  </si>
  <si>
    <t>梁文娟</t>
  </si>
  <si>
    <t>梁伟</t>
  </si>
  <si>
    <t>元明粉包装机异常，没有机修维修，紧急处理，减少了影响产量时间</t>
  </si>
  <si>
    <t>碳酸锂包装气囊坏，及时处理，同时碳酸锂产量每班突破4t</t>
  </si>
  <si>
    <t>代奎（班组）</t>
  </si>
  <si>
    <t>首次合成前液处理120方以上，班组奖励30分</t>
  </si>
  <si>
    <t>黄冲（班组）</t>
  </si>
  <si>
    <t>张泽林</t>
  </si>
  <si>
    <t>叉车工请假，三人协助同一岗位，顶班出元明粉</t>
  </si>
  <si>
    <t>魏杞夫（班组）</t>
  </si>
  <si>
    <t>微机室考试，班长代岗</t>
  </si>
  <si>
    <t>张红</t>
  </si>
  <si>
    <t>不服从班长管理及工作安排</t>
  </si>
  <si>
    <t>听从安排，同意换班调岗</t>
  </si>
  <si>
    <t>荣三华</t>
  </si>
  <si>
    <t>冒罐，卫生未搞彻底，凝固后难以清理</t>
  </si>
  <si>
    <t>李德明</t>
  </si>
  <si>
    <t>安排清理卫生，罐上罐下及管道泵卫生清理，改观车间整体面貌</t>
  </si>
  <si>
    <t>张广正</t>
  </si>
  <si>
    <t>调料岗位杨威请假，顶班</t>
  </si>
  <si>
    <t>安排通一效管道，作业危险</t>
  </si>
  <si>
    <t>陈虎</t>
  </si>
  <si>
    <t>压滤机岗位龚玉山请假，顶班</t>
  </si>
  <si>
    <t>上月未统计上</t>
  </si>
  <si>
    <t>下罐合成前液槽罐内清理晶体</t>
  </si>
  <si>
    <t>魏小平</t>
  </si>
  <si>
    <t>疏通合成前液泵及管道</t>
  </si>
  <si>
    <t>清理合成AB罐</t>
  </si>
  <si>
    <t>徐正金</t>
  </si>
  <si>
    <t>通三级除油渣浆化槽管道</t>
  </si>
  <si>
    <t>下罐清理三级除油罐，罐内异味大</t>
  </si>
  <si>
    <t>杨威</t>
  </si>
  <si>
    <t>蒸发器退料管道梳通，作业危险，难度大</t>
  </si>
  <si>
    <t>蒸发离心机进料管道未冲洗彻底，导致管道堵，未按照操作规程执行</t>
  </si>
  <si>
    <t>违规吸烟</t>
  </si>
  <si>
    <t>鲁显军</t>
  </si>
  <si>
    <t>返工，投元明粉</t>
  </si>
  <si>
    <t>徐林</t>
  </si>
  <si>
    <t>徐大龙</t>
  </si>
  <si>
    <t>下罐清理一次洗液罐，异味大</t>
  </si>
  <si>
    <t>顶班鲁显军，开叉车</t>
  </si>
  <si>
    <t>梁伟请假，顶班</t>
  </si>
  <si>
    <t>MVR退料管道堵，疏通</t>
  </si>
  <si>
    <t>杜江龙</t>
  </si>
  <si>
    <t>张弘请假，顶班</t>
  </si>
  <si>
    <t>多人配合出元明粉</t>
  </si>
  <si>
    <t>清理合成釜B釜积料，工作强度大</t>
  </si>
  <si>
    <t>压滤机岗位汤乐飞请假，顶班</t>
  </si>
  <si>
    <t>清理合成C釜积料，工作强度大</t>
  </si>
  <si>
    <t>清理合成A釜积料，工作强度大</t>
  </si>
  <si>
    <t>冯承贵</t>
  </si>
  <si>
    <t>司泵戴居荣请假，顶班</t>
  </si>
  <si>
    <t>2025.12.15</t>
  </si>
  <si>
    <t>12月清理事故池，上月未加这月补上</t>
  </si>
  <si>
    <t>王贝贝</t>
  </si>
  <si>
    <t>2026.1.10</t>
  </si>
  <si>
    <t>主控请假顶班</t>
  </si>
  <si>
    <t>2026.1.11</t>
  </si>
  <si>
    <t>2026.1.12</t>
  </si>
  <si>
    <t>离心机岗位请假顶班</t>
  </si>
  <si>
    <t>2026.1.13</t>
  </si>
  <si>
    <t>2026.1.14</t>
  </si>
  <si>
    <t>2026.1.15</t>
  </si>
  <si>
    <t>清理二级除油压滤机、割滤布</t>
  </si>
  <si>
    <t>代葵</t>
  </si>
  <si>
    <t>2026.1.16</t>
  </si>
  <si>
    <t>清理二级除油渣浆化槽、装滤布、进液出液管道</t>
  </si>
  <si>
    <t>乙班主控请假跨班顶班</t>
  </si>
  <si>
    <t>乙班包装岗位请假跨班顶班</t>
  </si>
  <si>
    <t>2026.1.17</t>
  </si>
  <si>
    <t>乙班班长请假跨班顶班</t>
  </si>
  <si>
    <t>乙班调料岗位请假跨班顶班</t>
  </si>
  <si>
    <t>2026.1.18</t>
  </si>
  <si>
    <t>2026.1.19</t>
  </si>
  <si>
    <t>疏通203尾气回水、排净管道</t>
  </si>
  <si>
    <t>王刚</t>
  </si>
  <si>
    <t>汤乐飞（乙班）</t>
  </si>
  <si>
    <t>2026.1.20</t>
  </si>
  <si>
    <t>张弘</t>
  </si>
  <si>
    <t>2026.1.21</t>
  </si>
  <si>
    <t>2026.1.22</t>
  </si>
  <si>
    <t>2026.1.25</t>
  </si>
  <si>
    <t>2026.1.26</t>
  </si>
  <si>
    <t>2026.1.27</t>
  </si>
  <si>
    <t>2026.1.28</t>
  </si>
  <si>
    <t>黄冲班</t>
  </si>
  <si>
    <t>2026.1.29</t>
  </si>
  <si>
    <t>清理蒸发前液储槽A罐</t>
  </si>
  <si>
    <t>张文文</t>
  </si>
  <si>
    <t>合成岗位请假一人请假顶班</t>
  </si>
  <si>
    <t>杨海军</t>
  </si>
  <si>
    <t>代葵班</t>
  </si>
  <si>
    <t>清理蒸发前液储槽B罐</t>
  </si>
  <si>
    <t>2026.1.31</t>
  </si>
  <si>
    <t>协助紧一效螺丝</t>
  </si>
  <si>
    <t>协助紧二效螺丝</t>
  </si>
  <si>
    <t>元明粉离心机岗位请病假顶班</t>
  </si>
  <si>
    <t>压滤机岗位请假一人顶班</t>
  </si>
  <si>
    <t>中控请假一人顶班</t>
  </si>
  <si>
    <t>司泵岗位请假顶班</t>
  </si>
  <si>
    <t>脱岗</t>
  </si>
  <si>
    <t>碳酸锂包装请假顶班</t>
  </si>
  <si>
    <t>高清耀</t>
  </si>
  <si>
    <t>硫酸钠包装岗位请假顶班</t>
  </si>
  <si>
    <t>错误操作开阀</t>
  </si>
  <si>
    <t>错误操作耽误生产</t>
  </si>
  <si>
    <t>车间：103车间                                      班组：</t>
  </si>
  <si>
    <t>2月</t>
  </si>
  <si>
    <t>清理合成釜</t>
  </si>
  <si>
    <t>元明粉绞笼起火迅速扑灭火灾</t>
  </si>
  <si>
    <t>上班时间玩手机</t>
  </si>
  <si>
    <t>付华蓉</t>
  </si>
  <si>
    <t>操作错误，未开进罐阀门的情况下启泵导致管道漏料</t>
  </si>
  <si>
    <t>当班清理雨水池</t>
  </si>
  <si>
    <t>付军华</t>
  </si>
  <si>
    <t>加班清理雨水池</t>
  </si>
  <si>
    <t>何长</t>
  </si>
  <si>
    <t>卸渣区岗位顶班</t>
  </si>
  <si>
    <t>清洗预热器</t>
  </si>
  <si>
    <t>辅助清洗预热器</t>
  </si>
  <si>
    <t>3月</t>
  </si>
  <si>
    <t>清理合成釜6次</t>
  </si>
  <si>
    <t>清理合成釜2次</t>
  </si>
  <si>
    <t>更换滤布107块</t>
  </si>
  <si>
    <t>更换滤布133块</t>
  </si>
  <si>
    <t>更换滤布62块</t>
  </si>
  <si>
    <t>清理新母液储槽积料</t>
  </si>
  <si>
    <t>清洗新一次浆洗、二次浆洗槽</t>
  </si>
  <si>
    <t>清洗一次洗液渣浆化槽</t>
  </si>
  <si>
    <t>清洗沉降罐</t>
  </si>
  <si>
    <t>浆化区岗位顶班</t>
  </si>
  <si>
    <t>液位计处理好</t>
  </si>
  <si>
    <t>在岗期间不穿工作服</t>
  </si>
  <si>
    <t>错误操作导致管道憋压</t>
  </si>
  <si>
    <t>MVR巡检岗位顶班</t>
  </si>
  <si>
    <t>碳酸锂包装岗位顶班</t>
  </si>
  <si>
    <t>MVR区域处理大部分除锈抹油</t>
  </si>
  <si>
    <t>发现跑酸，除锈抹油</t>
  </si>
  <si>
    <t>违规进入生产区</t>
  </si>
  <si>
    <t>刘显红</t>
  </si>
  <si>
    <t>安全帽佩戴不规范</t>
  </si>
  <si>
    <t>代居荣请假，张泽林顶班（2人协作）</t>
  </si>
  <si>
    <t>代居荣请假，徐大龙顶班（2人协作）</t>
  </si>
  <si>
    <t>张潘</t>
  </si>
  <si>
    <t>甲</t>
  </si>
  <si>
    <t>4月</t>
  </si>
  <si>
    <t>更换滤布187块</t>
  </si>
  <si>
    <t>乙</t>
  </si>
  <si>
    <t>更换滤布138块</t>
  </si>
  <si>
    <t>丙</t>
  </si>
  <si>
    <t>更换滤布73块</t>
  </si>
  <si>
    <t>清理合成釜8次</t>
  </si>
  <si>
    <t>清理合成釜4次</t>
  </si>
  <si>
    <t>清理合成釜7次</t>
  </si>
  <si>
    <t>清理滤板137，滤布137</t>
  </si>
  <si>
    <t>清理滤板111，滤布111</t>
  </si>
  <si>
    <t>杨威请假，徐正金顶班（2人协作）</t>
  </si>
  <si>
    <t>杨威请假，魏小平顶班（2人协作）</t>
  </si>
  <si>
    <t>戴居荣请假，张泽林顶班</t>
  </si>
  <si>
    <t>付华蓉请假，张弘顶班</t>
  </si>
  <si>
    <t>李德明请假，张泽林顶班</t>
  </si>
  <si>
    <t>王刚请假，汤乐飞顶班</t>
  </si>
  <si>
    <t>安全隐患，MVR外保温</t>
  </si>
  <si>
    <t>安全隐患，俩个护栏缺失</t>
  </si>
  <si>
    <t>安全隐患，钢丝绳起毛刺，单根断</t>
  </si>
  <si>
    <t>张弘请假，付华蓉顶班</t>
  </si>
  <si>
    <t>高清耀请假，冯承贵顶班</t>
  </si>
  <si>
    <t>李德明请假，徐正金顶班</t>
  </si>
  <si>
    <t>累计回投仓库锂渣54袋</t>
  </si>
  <si>
    <t>累计回投仓库锂渣48袋</t>
  </si>
  <si>
    <t>累计回投仓库锂渣49袋</t>
  </si>
  <si>
    <t>荣三华请假，冯承贵顶班</t>
  </si>
  <si>
    <t>顶岗碳酸锂包装</t>
  </si>
  <si>
    <t>顶岗元明粉离心机</t>
  </si>
  <si>
    <t>5月</t>
  </si>
  <si>
    <t>清理合成釜3次</t>
  </si>
  <si>
    <t>清理槽罐4次</t>
  </si>
  <si>
    <t>从21日，班组配员少1人，共7个班次</t>
  </si>
  <si>
    <t>带新员工袁晨</t>
  </si>
  <si>
    <t>带新员工马志强</t>
  </si>
  <si>
    <t>带新员工代俣豪</t>
  </si>
  <si>
    <t>带新员工欧国强</t>
  </si>
  <si>
    <t>带新员工何运涛</t>
  </si>
  <si>
    <t>黄祥松</t>
  </si>
  <si>
    <t>带新员工夏虎</t>
  </si>
  <si>
    <t>更换滤布98块</t>
  </si>
  <si>
    <t>更换滤布184块</t>
  </si>
  <si>
    <t>更换滤布40块</t>
  </si>
  <si>
    <t>清理列管</t>
  </si>
  <si>
    <t>取厂外自来水2次，每次为公司省2000元</t>
  </si>
  <si>
    <t>6月4号</t>
  </si>
  <si>
    <t>袁程辞职，张泽林，冯承贵顶班</t>
  </si>
  <si>
    <t>马志强请假，梁海生，代兆琴顶班</t>
  </si>
  <si>
    <t>6月5号</t>
  </si>
  <si>
    <t>代居荣请假，张泽林顶班</t>
  </si>
  <si>
    <t>硫酸钠包装岗位，班组配员少1人</t>
  </si>
  <si>
    <t>6月6号</t>
  </si>
  <si>
    <t>谢惠雄请假，张纯燕顶班</t>
  </si>
  <si>
    <t>谢惠雄请假，徐林顶班</t>
  </si>
  <si>
    <t>合成岗位，班组配员少1人</t>
  </si>
  <si>
    <t>6月7号</t>
  </si>
  <si>
    <t>6月8号</t>
  </si>
  <si>
    <t>取厂外自来水1次</t>
  </si>
  <si>
    <t>6月9号</t>
  </si>
  <si>
    <t>6月11号</t>
  </si>
  <si>
    <t>6月12号</t>
  </si>
  <si>
    <t>王城</t>
  </si>
  <si>
    <t>未穿劳保鞋</t>
  </si>
  <si>
    <t>6月13号</t>
  </si>
  <si>
    <t>6月14号</t>
  </si>
  <si>
    <t>6月15号</t>
  </si>
  <si>
    <t>6月16号</t>
  </si>
  <si>
    <t>6月17号</t>
  </si>
  <si>
    <t>6月18号</t>
  </si>
  <si>
    <t>谢惠雄请假，黄祥松顶班</t>
  </si>
  <si>
    <t>何峰</t>
  </si>
  <si>
    <t>谢惠雄请假，何峰顶班</t>
  </si>
  <si>
    <t>6月19号</t>
  </si>
  <si>
    <t>6月20号</t>
  </si>
  <si>
    <t>6月21号</t>
  </si>
  <si>
    <t>6月22号</t>
  </si>
  <si>
    <t>陆春晓</t>
  </si>
  <si>
    <t>代葵外派学习，陆春晓顶班</t>
  </si>
  <si>
    <t>6月23号</t>
  </si>
  <si>
    <t>欧国强</t>
  </si>
  <si>
    <t>6月24号</t>
  </si>
  <si>
    <t>王刚请假，欧国强顶班</t>
  </si>
  <si>
    <t>胡雄</t>
  </si>
  <si>
    <t>杜江龙外派学习，胡雄顶班</t>
  </si>
  <si>
    <t>6月25号</t>
  </si>
  <si>
    <t>6月26号</t>
  </si>
  <si>
    <t>5月(补)</t>
  </si>
  <si>
    <t>从5月23日，班组配员少1人，共5个班次</t>
  </si>
  <si>
    <t>6月</t>
  </si>
  <si>
    <t>带108新人，学习DCS操作</t>
  </si>
  <si>
    <t>熊月</t>
  </si>
  <si>
    <t>张中玉</t>
  </si>
  <si>
    <t>带新人何峰</t>
  </si>
  <si>
    <t>带新人姚路路</t>
  </si>
  <si>
    <t>带新人雷宇</t>
  </si>
  <si>
    <t>带新人王凯</t>
  </si>
  <si>
    <t>更换滤布291块</t>
  </si>
  <si>
    <t>更换滤布110块</t>
  </si>
  <si>
    <t>更换滤布183块</t>
  </si>
  <si>
    <t>清理合成釜11次,洗液槽5次</t>
  </si>
  <si>
    <t>考核人签字：                                          时间：</t>
  </si>
  <si>
    <t>分管领导签字：                                       时间：</t>
  </si>
  <si>
    <t xml:space="preserve">车间：103车间                                   </t>
  </si>
  <si>
    <t>扣分签名</t>
  </si>
  <si>
    <t>MVR安装封头螺丝</t>
  </si>
  <si>
    <t>高清耀请假，张泽林顶班</t>
  </si>
  <si>
    <t>操作失误，误开合成阀门</t>
  </si>
  <si>
    <t>未及时参加早会</t>
  </si>
  <si>
    <t>付华蓉请假文成顶班</t>
  </si>
  <si>
    <t>魏小平请假半天，杨仁建顶班</t>
  </si>
  <si>
    <t>中控少人，付华蓉顶班</t>
  </si>
  <si>
    <t>中控少人，文成蓉顶班</t>
  </si>
  <si>
    <t>魏小平请假 ,徐正金顶班</t>
  </si>
  <si>
    <t>魏小平请假 ,杨仁建顶班</t>
  </si>
  <si>
    <t>徐正金请假 ,魏小平顶班</t>
  </si>
  <si>
    <t>梁文娟请假，熊月顶班</t>
  </si>
  <si>
    <t>陈虎请假，冯承贵顶班</t>
  </si>
  <si>
    <t>徐正金请假半天 ,魏小平顶班</t>
  </si>
  <si>
    <t>操作失误，损坏行车</t>
  </si>
  <si>
    <t>欧国强调岗，王刚顶班</t>
  </si>
  <si>
    <t>代俣豪请假，张泽林顶班</t>
  </si>
  <si>
    <t>夏虎</t>
  </si>
  <si>
    <t>6S检查，现场卫生差</t>
  </si>
  <si>
    <t>硫酸接冒罐</t>
  </si>
  <si>
    <t>7月</t>
  </si>
  <si>
    <t>带欧国强，学习DCS操作</t>
  </si>
  <si>
    <t>更换滤布65块</t>
  </si>
  <si>
    <t>更换滤布130块</t>
  </si>
  <si>
    <t>更换滤布194块</t>
  </si>
  <si>
    <t>清理合成釜9次,洗液槽8次</t>
  </si>
  <si>
    <t>清理合成釜9次</t>
  </si>
  <si>
    <t>清理合成釜5次</t>
  </si>
  <si>
    <t>考核人签字：                                            时间：</t>
  </si>
  <si>
    <t>分管领导签字：                                         时间：</t>
  </si>
  <si>
    <t>为规范绩效考核加分，现对清理、安装类作业加分方式进行调整。原按每班单次作业加分的方式取消，改为按作业项目设置固定总分。清理二效、一效、预热器总分为90、60、30分，安装螺丝总分为20分。
同一项目如分多个班次完成，各班次得分 = 项目总分 ÷ 完成该项目总耗用班次；即1 个班次全部完成得项目全额总分；2个班次完成取二分之一分值，3个班次完成取三分之一分值，本月（8月）开始执行。</t>
  </si>
  <si>
    <t>硫酸钠包装少1人，王刚顶班</t>
  </si>
  <si>
    <t>代兆琴请假，张泽林顶班</t>
  </si>
  <si>
    <t>代兆琴请假，张泽林，冯承贵顶班</t>
  </si>
  <si>
    <t>清理碳酸锂母液罐A、B</t>
  </si>
  <si>
    <t>熊月请假，梁文娟顶班</t>
  </si>
  <si>
    <t>徐正金请假，魏小平顶班</t>
  </si>
  <si>
    <t>黄晓杰</t>
  </si>
  <si>
    <t>王刚请假，黄晓杰顶班</t>
  </si>
  <si>
    <t>代兆琴请假，冯承贵，张泽林顶班</t>
  </si>
  <si>
    <t>欧国强请假，付华蓉顶班</t>
  </si>
  <si>
    <t>8月</t>
  </si>
  <si>
    <t>更换滤布159块</t>
  </si>
  <si>
    <t>更换滤布271块</t>
  </si>
  <si>
    <t>更换滤布146块</t>
  </si>
  <si>
    <t>清理合成釜3次,母液槽2次</t>
  </si>
  <si>
    <t>晚上打瞌睡</t>
  </si>
  <si>
    <t>加分：</t>
  </si>
  <si>
    <t>减分：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</si>
</sst>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 "/>
  </numFmts>
  <fonts count="28">
    <font>
      <sz val="11"/>
      <color theme="1"/>
      <name val="宋体"/>
      <charset val="134"/>
      <scheme val="minor"/>
    </font>
    <font>
      <sz val="24"/>
      <color rgb="FF262626"/>
      <name val="长城大标宋体"/>
      <charset val="134"/>
    </font>
    <font>
      <sz val="14"/>
      <color rgb="FF262626"/>
      <name val="长城大标宋体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3.5"/>
      <color rgb="FF111F2C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6" applyNumberFormat="0" applyAlignment="0" applyProtection="0">
      <alignment vertical="center"/>
    </xf>
    <xf numFmtId="0" fontId="18" fillId="4" borderId="27" applyNumberFormat="0" applyAlignment="0" applyProtection="0">
      <alignment vertical="center"/>
    </xf>
    <xf numFmtId="0" fontId="19" fillId="4" borderId="26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Continuous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 wrapText="1"/>
    </xf>
    <xf numFmtId="58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7" fontId="3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7" fontId="3" fillId="0" borderId="1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77" fontId="3" fillId="0" borderId="13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77" fontId="6" fillId="0" borderId="19" xfId="0" applyNumberFormat="1" applyFont="1" applyBorder="1" applyAlignment="1">
      <alignment horizontal="center" vertical="center" wrapText="1"/>
    </xf>
    <xf numFmtId="177" fontId="6" fillId="0" borderId="20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20" fontId="0" fillId="0" borderId="0" xfId="0" applyNumberForma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workbookViewId="0">
      <selection activeCell="E14" sqref="E14"/>
    </sheetView>
  </sheetViews>
  <sheetFormatPr defaultColWidth="9" defaultRowHeight="13.5" outlineLevelCol="4"/>
  <cols>
    <col min="1" max="1" width="7.5" customWidth="1"/>
    <col min="2" max="2" width="16.625" customWidth="1"/>
    <col min="3" max="3" width="13.375" customWidth="1"/>
    <col min="4" max="4" width="39" customWidth="1"/>
    <col min="5" max="5" width="10.625" customWidth="1"/>
  </cols>
  <sheetData>
    <row r="1" ht="31.5" customHeight="1" spans="1:5">
      <c r="A1" s="51" t="s">
        <v>0</v>
      </c>
      <c r="B1" s="51"/>
      <c r="C1" s="51"/>
      <c r="D1" s="51"/>
      <c r="E1" s="51"/>
    </row>
    <row r="2" ht="27" customHeight="1" spans="1:5">
      <c r="A2" s="52" t="s">
        <v>1</v>
      </c>
      <c r="B2" s="52"/>
      <c r="C2" s="52"/>
      <c r="D2" s="52"/>
      <c r="E2" s="52"/>
    </row>
    <row r="3" ht="28" customHeight="1" spans="1:5">
      <c r="A3" s="53" t="s">
        <v>2</v>
      </c>
      <c r="B3" s="44" t="s">
        <v>3</v>
      </c>
      <c r="C3" s="54" t="s">
        <v>4</v>
      </c>
      <c r="D3" s="54" t="s">
        <v>5</v>
      </c>
      <c r="E3" s="54" t="s">
        <v>6</v>
      </c>
    </row>
    <row r="4" ht="44" customHeight="1" spans="1:5">
      <c r="A4" s="43">
        <v>1</v>
      </c>
      <c r="B4" s="44" t="s">
        <v>7</v>
      </c>
      <c r="C4" s="44">
        <v>10.12</v>
      </c>
      <c r="D4" s="44" t="s">
        <v>8</v>
      </c>
      <c r="E4" s="44">
        <v>1</v>
      </c>
    </row>
    <row r="5" ht="42" customHeight="1" spans="1:5">
      <c r="A5" s="43">
        <v>2</v>
      </c>
      <c r="B5" s="44" t="s">
        <v>7</v>
      </c>
      <c r="C5" s="44">
        <v>10.12</v>
      </c>
      <c r="D5" s="44" t="s">
        <v>9</v>
      </c>
      <c r="E5" s="44">
        <v>2</v>
      </c>
    </row>
    <row r="6" ht="43" customHeight="1" spans="1:5">
      <c r="A6" s="43">
        <v>3</v>
      </c>
      <c r="B6" s="44" t="s">
        <v>10</v>
      </c>
      <c r="C6" s="44">
        <v>10.14</v>
      </c>
      <c r="D6" s="44" t="s">
        <v>11</v>
      </c>
      <c r="E6" s="44">
        <v>5</v>
      </c>
    </row>
    <row r="7" ht="42" customHeight="1" spans="1:5">
      <c r="A7" s="43">
        <v>4</v>
      </c>
      <c r="B7" s="44" t="s">
        <v>12</v>
      </c>
      <c r="C7" s="44">
        <v>10.14</v>
      </c>
      <c r="D7" s="44" t="s">
        <v>11</v>
      </c>
      <c r="E7" s="44">
        <v>5</v>
      </c>
    </row>
    <row r="8" ht="42" customHeight="1" spans="1:5">
      <c r="A8" s="43">
        <v>5</v>
      </c>
      <c r="B8" s="44" t="s">
        <v>13</v>
      </c>
      <c r="C8" s="44">
        <v>10.26</v>
      </c>
      <c r="D8" s="44" t="s">
        <v>14</v>
      </c>
      <c r="E8" s="44">
        <v>2</v>
      </c>
    </row>
    <row r="9" ht="42" customHeight="1" spans="1:5">
      <c r="A9" s="43">
        <v>6</v>
      </c>
      <c r="B9" s="44" t="s">
        <v>15</v>
      </c>
      <c r="C9" s="44">
        <v>10.26</v>
      </c>
      <c r="D9" s="44" t="s">
        <v>14</v>
      </c>
      <c r="E9" s="44">
        <v>2</v>
      </c>
    </row>
    <row r="10" ht="39" customHeight="1" spans="1:5">
      <c r="A10" s="43">
        <v>7</v>
      </c>
      <c r="B10" s="44" t="s">
        <v>16</v>
      </c>
      <c r="C10" s="44">
        <v>10.26</v>
      </c>
      <c r="D10" s="44" t="s">
        <v>14</v>
      </c>
      <c r="E10" s="44">
        <v>2</v>
      </c>
    </row>
    <row r="11" ht="45" customHeight="1" spans="1:5">
      <c r="A11" s="43">
        <v>8</v>
      </c>
      <c r="B11" s="44" t="s">
        <v>17</v>
      </c>
      <c r="C11" s="44">
        <v>10.26</v>
      </c>
      <c r="D11" s="44" t="s">
        <v>14</v>
      </c>
      <c r="E11" s="44">
        <v>2</v>
      </c>
    </row>
    <row r="12" ht="39" customHeight="1" spans="1:5">
      <c r="A12" s="43">
        <v>9</v>
      </c>
      <c r="B12" s="44" t="s">
        <v>18</v>
      </c>
      <c r="C12" s="44">
        <v>10.26</v>
      </c>
      <c r="D12" s="44" t="s">
        <v>14</v>
      </c>
      <c r="E12" s="44">
        <v>2</v>
      </c>
    </row>
    <row r="13" ht="42" customHeight="1" spans="1:5">
      <c r="A13" s="43">
        <v>10</v>
      </c>
      <c r="B13" s="44" t="s">
        <v>19</v>
      </c>
      <c r="C13" s="44">
        <v>10.26</v>
      </c>
      <c r="D13" s="44" t="s">
        <v>14</v>
      </c>
      <c r="E13" s="44">
        <v>2</v>
      </c>
    </row>
    <row r="14" ht="47" customHeight="1" spans="1:5">
      <c r="A14" s="43">
        <v>11</v>
      </c>
      <c r="B14" s="44" t="s">
        <v>20</v>
      </c>
      <c r="C14" s="44">
        <v>10.26</v>
      </c>
      <c r="D14" s="44" t="s">
        <v>21</v>
      </c>
      <c r="E14" s="44">
        <v>5</v>
      </c>
    </row>
    <row r="15" ht="42" customHeight="1" spans="1:5">
      <c r="A15" s="43">
        <v>12</v>
      </c>
      <c r="B15" s="44" t="s">
        <v>22</v>
      </c>
      <c r="C15" s="44">
        <v>10.26</v>
      </c>
      <c r="D15" s="44" t="s">
        <v>23</v>
      </c>
      <c r="E15" s="44">
        <v>-20</v>
      </c>
    </row>
    <row r="16" ht="44" customHeight="1" spans="1:5">
      <c r="A16" s="43">
        <v>13</v>
      </c>
      <c r="B16" s="44" t="s">
        <v>12</v>
      </c>
      <c r="C16" s="44">
        <v>10.9</v>
      </c>
      <c r="D16" s="44" t="s">
        <v>23</v>
      </c>
      <c r="E16" s="44">
        <v>-25</v>
      </c>
    </row>
    <row r="17" ht="42" customHeight="1" spans="1:5">
      <c r="A17" s="66" t="s">
        <v>24</v>
      </c>
      <c r="B17" s="67"/>
      <c r="C17" s="68"/>
      <c r="D17" s="64"/>
      <c r="E17" s="48">
        <f>SUM(E4:E16)</f>
        <v>-15</v>
      </c>
    </row>
    <row r="18" ht="38" customHeight="1" spans="1:5">
      <c r="A18" s="49" t="s">
        <v>25</v>
      </c>
      <c r="B18" s="49"/>
      <c r="C18" s="49"/>
      <c r="D18" s="49"/>
      <c r="E18" s="49"/>
    </row>
    <row r="19" ht="32" customHeight="1" spans="1:5">
      <c r="A19" s="50" t="s">
        <v>26</v>
      </c>
      <c r="B19" s="50"/>
      <c r="C19" s="50"/>
      <c r="D19" s="50"/>
      <c r="E19" s="50"/>
    </row>
    <row r="20" ht="32" customHeight="1"/>
    <row r="21" ht="32" customHeight="1"/>
    <row r="22" ht="32" customHeight="1"/>
    <row r="23" ht="32" customHeight="1"/>
    <row r="24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32" customHeight="1"/>
    <row r="45" ht="32" customHeight="1"/>
    <row r="46" ht="32" customHeight="1"/>
    <row r="47" ht="32" customHeight="1"/>
    <row r="48" ht="32" customHeight="1"/>
    <row r="49" ht="32" customHeight="1"/>
    <row r="50" ht="32" customHeight="1"/>
    <row r="51" ht="32" customHeight="1"/>
    <row r="52" ht="32" customHeight="1"/>
    <row r="53" ht="32" customHeight="1"/>
    <row r="54" ht="32" customHeight="1"/>
    <row r="55" ht="32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47" customHeight="1"/>
    <row r="79" ht="47" customHeight="1"/>
  </sheetData>
  <mergeCells count="5">
    <mergeCell ref="A1:E1"/>
    <mergeCell ref="A2:E2"/>
    <mergeCell ref="A17:B17"/>
    <mergeCell ref="A18:E18"/>
    <mergeCell ref="A19:E19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2"/>
  <sheetViews>
    <sheetView workbookViewId="0">
      <selection activeCell="E14" sqref="E14"/>
    </sheetView>
  </sheetViews>
  <sheetFormatPr defaultColWidth="9" defaultRowHeight="13.5"/>
  <cols>
    <col min="1" max="1" width="7.5" customWidth="1"/>
    <col min="2" max="2" width="19.875" customWidth="1"/>
    <col min="3" max="3" width="13.375" customWidth="1"/>
    <col min="4" max="4" width="39" customWidth="1"/>
    <col min="5" max="5" width="10.625" customWidth="1"/>
  </cols>
  <sheetData>
    <row r="1" ht="31.5" customHeight="1" spans="1:5">
      <c r="A1" s="51" t="s">
        <v>0</v>
      </c>
      <c r="B1" s="51"/>
      <c r="C1" s="51"/>
      <c r="D1" s="51"/>
      <c r="E1" s="51"/>
    </row>
    <row r="2" ht="27" customHeight="1" spans="1:5">
      <c r="A2" s="52" t="s">
        <v>1</v>
      </c>
      <c r="B2" s="52"/>
      <c r="C2" s="52"/>
      <c r="D2" s="52"/>
      <c r="E2" s="52"/>
    </row>
    <row r="3" ht="28" customHeight="1" spans="1:5">
      <c r="A3" s="53" t="s">
        <v>2</v>
      </c>
      <c r="B3" s="44" t="s">
        <v>3</v>
      </c>
      <c r="C3" s="54" t="s">
        <v>4</v>
      </c>
      <c r="D3" s="54" t="s">
        <v>5</v>
      </c>
      <c r="E3" s="54" t="s">
        <v>6</v>
      </c>
    </row>
    <row r="4" ht="42" customHeight="1" spans="1:5">
      <c r="A4" s="43">
        <v>1</v>
      </c>
      <c r="B4" s="44" t="s">
        <v>27</v>
      </c>
      <c r="C4" s="44">
        <v>11.2</v>
      </c>
      <c r="D4" s="44" t="s">
        <v>28</v>
      </c>
      <c r="E4" s="44">
        <v>2</v>
      </c>
    </row>
    <row r="5" ht="38" customHeight="1" spans="1:5">
      <c r="A5" s="43">
        <v>2</v>
      </c>
      <c r="B5" s="44" t="s">
        <v>29</v>
      </c>
      <c r="C5" s="44">
        <v>11.2</v>
      </c>
      <c r="D5" s="44" t="s">
        <v>28</v>
      </c>
      <c r="E5" s="44">
        <v>2</v>
      </c>
    </row>
    <row r="6" ht="28" customHeight="1" spans="1:5">
      <c r="A6" s="43">
        <v>3</v>
      </c>
      <c r="B6" s="44" t="s">
        <v>18</v>
      </c>
      <c r="C6" s="44">
        <v>11.4</v>
      </c>
      <c r="D6" s="44" t="s">
        <v>23</v>
      </c>
      <c r="E6" s="44">
        <v>-20</v>
      </c>
    </row>
    <row r="7" ht="28" customHeight="1" spans="1:5">
      <c r="A7" s="43">
        <v>4</v>
      </c>
      <c r="B7" s="44" t="s">
        <v>15</v>
      </c>
      <c r="C7" s="44">
        <v>11.4</v>
      </c>
      <c r="D7" s="44" t="s">
        <v>23</v>
      </c>
      <c r="E7" s="44">
        <v>-20</v>
      </c>
    </row>
    <row r="8" ht="28" customHeight="1" spans="1:5">
      <c r="A8" s="43">
        <v>5</v>
      </c>
      <c r="B8" s="44" t="s">
        <v>20</v>
      </c>
      <c r="C8" s="44">
        <v>11.4</v>
      </c>
      <c r="D8" s="44" t="s">
        <v>30</v>
      </c>
      <c r="E8" s="44">
        <v>-5</v>
      </c>
    </row>
    <row r="9" ht="28" customHeight="1" spans="1:5">
      <c r="A9" s="43">
        <v>6</v>
      </c>
      <c r="B9" s="44" t="s">
        <v>31</v>
      </c>
      <c r="C9" s="44">
        <v>11.6</v>
      </c>
      <c r="D9" s="44" t="s">
        <v>32</v>
      </c>
      <c r="E9" s="44">
        <v>-3</v>
      </c>
    </row>
    <row r="10" ht="39" customHeight="1" spans="1:5">
      <c r="A10" s="43">
        <v>7</v>
      </c>
      <c r="B10" s="44" t="s">
        <v>33</v>
      </c>
      <c r="C10" s="44">
        <v>11.6</v>
      </c>
      <c r="D10" s="44" t="s">
        <v>34</v>
      </c>
      <c r="E10" s="44">
        <v>2</v>
      </c>
    </row>
    <row r="11" ht="44" customHeight="1" spans="1:5">
      <c r="A11" s="43">
        <v>8</v>
      </c>
      <c r="B11" s="44" t="s">
        <v>35</v>
      </c>
      <c r="C11" s="44">
        <v>11.6</v>
      </c>
      <c r="D11" s="44" t="s">
        <v>34</v>
      </c>
      <c r="E11" s="44">
        <v>2</v>
      </c>
    </row>
    <row r="12" ht="40" customHeight="1" spans="1:5">
      <c r="A12" s="43">
        <v>9</v>
      </c>
      <c r="B12" s="44" t="s">
        <v>36</v>
      </c>
      <c r="C12" s="44">
        <v>11.6</v>
      </c>
      <c r="D12" s="44" t="s">
        <v>34</v>
      </c>
      <c r="E12" s="44">
        <v>2</v>
      </c>
    </row>
    <row r="13" ht="40" customHeight="1" spans="1:5">
      <c r="A13" s="43">
        <v>10</v>
      </c>
      <c r="B13" s="44" t="s">
        <v>37</v>
      </c>
      <c r="C13" s="44">
        <v>11.6</v>
      </c>
      <c r="D13" s="44" t="s">
        <v>34</v>
      </c>
      <c r="E13" s="44">
        <v>2</v>
      </c>
    </row>
    <row r="14" ht="41" customHeight="1" spans="1:5">
      <c r="A14" s="43">
        <v>11</v>
      </c>
      <c r="B14" s="44" t="s">
        <v>38</v>
      </c>
      <c r="C14" s="44">
        <v>11.6</v>
      </c>
      <c r="D14" s="44" t="s">
        <v>34</v>
      </c>
      <c r="E14" s="44">
        <v>2</v>
      </c>
    </row>
    <row r="15" ht="46" customHeight="1" spans="1:5">
      <c r="A15" s="43">
        <v>12</v>
      </c>
      <c r="B15" s="44" t="s">
        <v>39</v>
      </c>
      <c r="C15" s="44">
        <v>11.6</v>
      </c>
      <c r="D15" s="44" t="s">
        <v>34</v>
      </c>
      <c r="E15" s="44">
        <v>2</v>
      </c>
    </row>
    <row r="16" ht="40" customHeight="1" spans="1:5">
      <c r="A16" s="43">
        <v>13</v>
      </c>
      <c r="B16" s="44" t="s">
        <v>40</v>
      </c>
      <c r="C16" s="44">
        <v>11.6</v>
      </c>
      <c r="D16" s="44" t="s">
        <v>34</v>
      </c>
      <c r="E16" s="44">
        <v>2</v>
      </c>
    </row>
    <row r="17" ht="39" customHeight="1" spans="1:5">
      <c r="A17" s="43">
        <v>14</v>
      </c>
      <c r="B17" s="44" t="s">
        <v>41</v>
      </c>
      <c r="C17" s="44">
        <v>11.11</v>
      </c>
      <c r="D17" s="44" t="s">
        <v>42</v>
      </c>
      <c r="E17" s="44">
        <v>2</v>
      </c>
    </row>
    <row r="18" ht="41" customHeight="1" spans="1:5">
      <c r="A18" s="43">
        <v>15</v>
      </c>
      <c r="B18" s="44" t="s">
        <v>43</v>
      </c>
      <c r="C18" s="44">
        <v>11.11</v>
      </c>
      <c r="D18" s="44" t="s">
        <v>42</v>
      </c>
      <c r="E18" s="44">
        <v>2</v>
      </c>
    </row>
    <row r="19" ht="43" customHeight="1" spans="1:5">
      <c r="A19" s="43">
        <v>16</v>
      </c>
      <c r="B19" s="44" t="s">
        <v>44</v>
      </c>
      <c r="C19" s="44">
        <v>11.11</v>
      </c>
      <c r="D19" s="44" t="s">
        <v>42</v>
      </c>
      <c r="E19" s="44">
        <v>2</v>
      </c>
    </row>
    <row r="20" ht="51" customHeight="1" spans="1:5">
      <c r="A20" s="43">
        <v>17</v>
      </c>
      <c r="B20" s="44" t="s">
        <v>45</v>
      </c>
      <c r="C20" s="44">
        <v>11.11</v>
      </c>
      <c r="D20" s="44" t="s">
        <v>42</v>
      </c>
      <c r="E20" s="44">
        <v>2</v>
      </c>
    </row>
    <row r="21" ht="44" customHeight="1" spans="1:5">
      <c r="A21" s="43">
        <v>18</v>
      </c>
      <c r="B21" s="44" t="s">
        <v>46</v>
      </c>
      <c r="C21" s="44">
        <v>11.12</v>
      </c>
      <c r="D21" s="44" t="s">
        <v>47</v>
      </c>
      <c r="E21" s="44">
        <v>10</v>
      </c>
    </row>
    <row r="22" ht="42" customHeight="1" spans="1:5">
      <c r="A22" s="43">
        <v>19</v>
      </c>
      <c r="B22" s="44" t="s">
        <v>10</v>
      </c>
      <c r="C22" s="44">
        <v>11.12</v>
      </c>
      <c r="D22" s="44" t="s">
        <v>48</v>
      </c>
      <c r="E22" s="44">
        <v>2</v>
      </c>
    </row>
    <row r="23" ht="43" customHeight="1" spans="1:5">
      <c r="A23" s="43">
        <v>20</v>
      </c>
      <c r="B23" s="44" t="s">
        <v>49</v>
      </c>
      <c r="C23" s="44">
        <v>11.12</v>
      </c>
      <c r="D23" s="44" t="s">
        <v>48</v>
      </c>
      <c r="E23" s="44">
        <v>2</v>
      </c>
    </row>
    <row r="24" ht="42" customHeight="1" spans="1:5">
      <c r="A24" s="43">
        <v>21</v>
      </c>
      <c r="B24" s="44" t="s">
        <v>50</v>
      </c>
      <c r="C24" s="44">
        <v>11.12</v>
      </c>
      <c r="D24" s="44" t="s">
        <v>48</v>
      </c>
      <c r="E24" s="44">
        <v>2</v>
      </c>
    </row>
    <row r="25" ht="42" customHeight="1" spans="1:5">
      <c r="A25" s="43">
        <v>22</v>
      </c>
      <c r="B25" s="44" t="s">
        <v>44</v>
      </c>
      <c r="C25" s="44">
        <v>11.12</v>
      </c>
      <c r="D25" s="44" t="s">
        <v>51</v>
      </c>
      <c r="E25" s="44">
        <v>4</v>
      </c>
    </row>
    <row r="26" ht="42" customHeight="1" spans="1:5">
      <c r="A26" s="43">
        <v>23</v>
      </c>
      <c r="B26" s="44" t="s">
        <v>43</v>
      </c>
      <c r="C26" s="44">
        <v>11.12</v>
      </c>
      <c r="D26" s="44" t="s">
        <v>52</v>
      </c>
      <c r="E26" s="44">
        <v>5</v>
      </c>
    </row>
    <row r="27" ht="39" customHeight="1" spans="1:5">
      <c r="A27" s="43">
        <v>24</v>
      </c>
      <c r="B27" s="44" t="s">
        <v>44</v>
      </c>
      <c r="C27" s="44">
        <v>11.13</v>
      </c>
      <c r="D27" s="44" t="s">
        <v>47</v>
      </c>
      <c r="E27" s="44">
        <v>10</v>
      </c>
    </row>
    <row r="28" ht="45" customHeight="1" spans="1:5">
      <c r="A28" s="43">
        <v>25</v>
      </c>
      <c r="B28" s="44" t="s">
        <v>53</v>
      </c>
      <c r="C28" s="44">
        <v>11.12</v>
      </c>
      <c r="D28" s="44" t="s">
        <v>54</v>
      </c>
      <c r="E28" s="44">
        <v>30</v>
      </c>
    </row>
    <row r="29" ht="39" customHeight="1" spans="1:5">
      <c r="A29" s="43">
        <v>26</v>
      </c>
      <c r="B29" s="44" t="s">
        <v>55</v>
      </c>
      <c r="C29" s="44">
        <v>11.13</v>
      </c>
      <c r="D29" s="44" t="s">
        <v>54</v>
      </c>
      <c r="E29" s="44">
        <v>30</v>
      </c>
    </row>
    <row r="30" ht="39" customHeight="1" spans="1:5">
      <c r="A30" s="43">
        <v>27</v>
      </c>
      <c r="B30" s="44" t="s">
        <v>56</v>
      </c>
      <c r="C30" s="44">
        <v>11.15</v>
      </c>
      <c r="D30" s="44" t="s">
        <v>47</v>
      </c>
      <c r="E30" s="44">
        <v>10</v>
      </c>
    </row>
    <row r="31" ht="39" customHeight="1" spans="1:5">
      <c r="A31" s="43">
        <v>28</v>
      </c>
      <c r="B31" s="44" t="s">
        <v>44</v>
      </c>
      <c r="C31" s="44">
        <v>11.16</v>
      </c>
      <c r="D31" s="44" t="s">
        <v>57</v>
      </c>
      <c r="E31" s="44">
        <v>3.3</v>
      </c>
    </row>
    <row r="32" ht="42" customHeight="1" spans="1:5">
      <c r="A32" s="43">
        <v>29</v>
      </c>
      <c r="B32" s="44" t="s">
        <v>46</v>
      </c>
      <c r="C32" s="44">
        <v>11.16</v>
      </c>
      <c r="D32" s="44" t="s">
        <v>57</v>
      </c>
      <c r="E32" s="44">
        <v>3.3</v>
      </c>
    </row>
    <row r="33" ht="47" customHeight="1" spans="1:14">
      <c r="A33" s="43">
        <v>30</v>
      </c>
      <c r="B33" s="47" t="s">
        <v>56</v>
      </c>
      <c r="C33" s="47">
        <v>11.16</v>
      </c>
      <c r="D33" s="44" t="s">
        <v>57</v>
      </c>
      <c r="E33" s="44">
        <v>3.3</v>
      </c>
    </row>
    <row r="34" ht="42" customHeight="1" spans="1:14">
      <c r="A34" s="43">
        <v>31</v>
      </c>
      <c r="B34" s="47" t="s">
        <v>58</v>
      </c>
      <c r="C34" s="47">
        <v>11.16</v>
      </c>
      <c r="D34" s="44" t="s">
        <v>54</v>
      </c>
      <c r="E34" s="44">
        <v>30</v>
      </c>
    </row>
    <row r="35" ht="44" customHeight="1" spans="1:14">
      <c r="A35" s="43">
        <v>32</v>
      </c>
      <c r="B35" s="47" t="s">
        <v>20</v>
      </c>
      <c r="C35" s="47">
        <v>11.23</v>
      </c>
      <c r="D35" s="44" t="s">
        <v>59</v>
      </c>
      <c r="E35" s="44">
        <v>5</v>
      </c>
    </row>
    <row r="36" ht="44" customHeight="1" spans="1:14">
      <c r="A36" s="43">
        <v>33</v>
      </c>
      <c r="B36" s="47" t="s">
        <v>60</v>
      </c>
      <c r="C36" s="47">
        <v>11.24</v>
      </c>
      <c r="D36" s="44" t="s">
        <v>61</v>
      </c>
      <c r="E36" s="44">
        <v>-20</v>
      </c>
    </row>
    <row r="37" ht="42" customHeight="1" spans="1:14">
      <c r="A37" s="43">
        <v>34</v>
      </c>
      <c r="B37" s="47" t="s">
        <v>35</v>
      </c>
      <c r="C37" s="47">
        <v>11.24</v>
      </c>
      <c r="D37" s="44" t="s">
        <v>61</v>
      </c>
      <c r="E37" s="44">
        <v>-20</v>
      </c>
    </row>
    <row r="38" ht="42" customHeight="1" spans="1:14">
      <c r="A38" s="43">
        <v>35</v>
      </c>
      <c r="B38" s="47" t="s">
        <v>17</v>
      </c>
      <c r="C38" s="47">
        <v>11.24</v>
      </c>
      <c r="D38" s="44" t="s">
        <v>62</v>
      </c>
      <c r="E38" s="44">
        <v>5</v>
      </c>
    </row>
    <row r="39" ht="42" customHeight="1" spans="1:14">
      <c r="A39" s="43">
        <v>36</v>
      </c>
      <c r="B39" s="47" t="s">
        <v>15</v>
      </c>
      <c r="C39" s="47">
        <v>11.24</v>
      </c>
      <c r="D39" s="44" t="s">
        <v>62</v>
      </c>
      <c r="E39" s="44">
        <v>5</v>
      </c>
    </row>
    <row r="40" ht="42" customHeight="1" spans="1:14">
      <c r="A40" s="43">
        <v>37</v>
      </c>
      <c r="B40" s="47" t="s">
        <v>63</v>
      </c>
      <c r="C40" s="47">
        <v>11.25</v>
      </c>
      <c r="D40" s="44" t="s">
        <v>64</v>
      </c>
      <c r="E40" s="44">
        <v>-3</v>
      </c>
    </row>
    <row r="41" ht="42" customHeight="1" spans="1:14">
      <c r="A41" s="43">
        <v>38</v>
      </c>
      <c r="B41" s="47" t="s">
        <v>65</v>
      </c>
      <c r="C41" s="47">
        <v>11.25</v>
      </c>
      <c r="D41" s="44" t="s">
        <v>64</v>
      </c>
      <c r="E41" s="44">
        <v>-3</v>
      </c>
    </row>
    <row r="42" ht="42" customHeight="1" spans="1:14">
      <c r="A42" s="43">
        <v>39</v>
      </c>
      <c r="B42" s="47" t="s">
        <v>20</v>
      </c>
      <c r="C42" s="47">
        <v>11.25</v>
      </c>
      <c r="D42" s="44" t="s">
        <v>66</v>
      </c>
      <c r="E42" s="44">
        <v>3</v>
      </c>
    </row>
    <row r="43" ht="42" customHeight="1" spans="1:14">
      <c r="A43" s="43">
        <v>40</v>
      </c>
      <c r="B43" s="47" t="s">
        <v>67</v>
      </c>
      <c r="C43" s="47">
        <v>11.25</v>
      </c>
      <c r="D43" s="44" t="s">
        <v>66</v>
      </c>
      <c r="E43" s="44">
        <v>3</v>
      </c>
    </row>
    <row r="44" ht="42" customHeight="1" spans="1:14">
      <c r="A44" s="43">
        <v>41</v>
      </c>
      <c r="B44" s="47" t="s">
        <v>29</v>
      </c>
      <c r="C44" s="47">
        <v>11.25</v>
      </c>
      <c r="D44" s="44" t="s">
        <v>66</v>
      </c>
      <c r="E44" s="44">
        <v>3</v>
      </c>
    </row>
    <row r="45" ht="42" customHeight="1" spans="1:14">
      <c r="A45" s="43">
        <v>42</v>
      </c>
      <c r="B45" s="47" t="s">
        <v>56</v>
      </c>
      <c r="C45" s="47">
        <v>11.27</v>
      </c>
      <c r="D45" s="44" t="s">
        <v>68</v>
      </c>
      <c r="E45" s="44">
        <v>10</v>
      </c>
    </row>
    <row r="46" ht="42" customHeight="1" spans="1:14">
      <c r="A46" s="43">
        <v>43</v>
      </c>
      <c r="B46" s="47" t="s">
        <v>56</v>
      </c>
      <c r="C46" s="47">
        <v>11.28</v>
      </c>
      <c r="D46" s="44" t="s">
        <v>68</v>
      </c>
      <c r="E46" s="44">
        <v>10</v>
      </c>
    </row>
    <row r="47" ht="42" customHeight="1" spans="1:14">
      <c r="A47" s="43">
        <v>44</v>
      </c>
      <c r="B47" s="38" t="s">
        <v>44</v>
      </c>
      <c r="C47" s="47">
        <v>11.28</v>
      </c>
      <c r="D47" s="64" t="s">
        <v>69</v>
      </c>
      <c r="E47" s="48">
        <v>3</v>
      </c>
      <c r="M47" s="65"/>
      <c r="N47" s="65"/>
    </row>
    <row r="48" ht="42" customHeight="1" spans="1:14">
      <c r="A48" s="43">
        <v>45</v>
      </c>
      <c r="B48" s="38" t="s">
        <v>70</v>
      </c>
      <c r="C48" s="47">
        <v>11.28</v>
      </c>
      <c r="D48" s="64" t="s">
        <v>69</v>
      </c>
      <c r="E48" s="48">
        <v>3</v>
      </c>
      <c r="M48" s="65"/>
    </row>
    <row r="49" ht="42" customHeight="1" spans="1:19">
      <c r="A49" s="43">
        <v>46</v>
      </c>
      <c r="B49" s="38" t="s">
        <v>10</v>
      </c>
      <c r="C49" s="47">
        <v>11.28</v>
      </c>
      <c r="D49" s="64" t="s">
        <v>69</v>
      </c>
      <c r="E49" s="48">
        <v>3</v>
      </c>
    </row>
    <row r="50" ht="42" customHeight="1" spans="1:19">
      <c r="A50" s="38" t="s">
        <v>24</v>
      </c>
      <c r="B50" s="38"/>
      <c r="C50" s="38"/>
      <c r="D50" s="64"/>
      <c r="E50" s="48">
        <f>SUM(E4:E49)</f>
        <v>129.9</v>
      </c>
    </row>
    <row r="51" ht="38" customHeight="1" spans="1:19">
      <c r="A51" s="49" t="s">
        <v>25</v>
      </c>
      <c r="B51" s="49"/>
      <c r="C51" s="49"/>
      <c r="D51" s="49"/>
      <c r="E51" s="49"/>
    </row>
    <row r="52" ht="32" customHeight="1" spans="1:19">
      <c r="A52" s="50" t="s">
        <v>26</v>
      </c>
      <c r="B52" s="50"/>
      <c r="C52" s="50"/>
      <c r="D52" s="50"/>
      <c r="E52" s="50"/>
    </row>
    <row r="53" ht="32" customHeight="1" spans="1:19">
      <c r="M53" s="65"/>
      <c r="N53" s="65"/>
    </row>
    <row r="54" ht="32" customHeight="1" spans="1:19">
      <c r="M54" s="65"/>
      <c r="P54" s="65"/>
      <c r="R54" s="65"/>
      <c r="S54" s="65"/>
    </row>
    <row r="55" ht="32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0" ht="32" customHeight="1"/>
    <row r="81" ht="32" customHeight="1"/>
    <row r="82" ht="32" customHeight="1"/>
    <row r="83" ht="32" customHeight="1"/>
    <row r="84" ht="32" customHeight="1"/>
    <row r="85" ht="32" customHeight="1"/>
    <row r="86" ht="32" customHeight="1"/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32" customHeight="1"/>
    <row r="95" ht="32" customHeight="1"/>
    <row r="96" ht="32" customHeight="1"/>
    <row r="97" ht="32" customHeight="1"/>
    <row r="98" ht="32" customHeight="1"/>
    <row r="99" ht="32" customHeight="1"/>
    <row r="100" ht="32" customHeight="1"/>
    <row r="101" ht="32" customHeight="1"/>
    <row r="102" ht="32" customHeight="1"/>
    <row r="103" ht="32" customHeight="1"/>
    <row r="104" ht="32" customHeight="1"/>
    <row r="105" ht="32" customHeight="1"/>
    <row r="106" ht="32" customHeight="1"/>
    <row r="107" ht="32" customHeight="1"/>
    <row r="108" ht="32" customHeight="1"/>
    <row r="109" ht="32" customHeight="1"/>
    <row r="110" ht="32" customHeight="1"/>
    <row r="111" ht="47" customHeight="1"/>
    <row r="112" ht="47" customHeight="1"/>
  </sheetData>
  <mergeCells count="5">
    <mergeCell ref="A1:E1"/>
    <mergeCell ref="A2:E2"/>
    <mergeCell ref="A50:B50"/>
    <mergeCell ref="A51:E51"/>
    <mergeCell ref="A52:E52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6"/>
  <sheetViews>
    <sheetView topLeftCell="A76" workbookViewId="0">
      <selection activeCell="E14" sqref="E14"/>
    </sheetView>
  </sheetViews>
  <sheetFormatPr defaultColWidth="9" defaultRowHeight="13.5" outlineLevelCol="5"/>
  <cols>
    <col min="1" max="1" width="7.5" customWidth="1"/>
    <col min="2" max="2" width="19.875" customWidth="1"/>
    <col min="3" max="3" width="13.375" customWidth="1"/>
    <col min="4" max="4" width="39" customWidth="1"/>
    <col min="5" max="5" width="10.625" customWidth="1"/>
  </cols>
  <sheetData>
    <row r="1" ht="31.5" customHeight="1" spans="1:6">
      <c r="A1" s="51" t="s">
        <v>0</v>
      </c>
      <c r="B1" s="51"/>
      <c r="C1" s="51"/>
      <c r="D1" s="51"/>
      <c r="E1" s="51"/>
    </row>
    <row r="2" ht="27" customHeight="1" spans="1:6">
      <c r="A2" s="52" t="s">
        <v>1</v>
      </c>
      <c r="B2" s="52"/>
      <c r="C2" s="52"/>
      <c r="D2" s="52"/>
      <c r="E2" s="52"/>
    </row>
    <row r="3" ht="28" customHeight="1" spans="1:6">
      <c r="A3" s="53" t="s">
        <v>2</v>
      </c>
      <c r="B3" s="44" t="s">
        <v>3</v>
      </c>
      <c r="C3" s="54" t="s">
        <v>4</v>
      </c>
      <c r="D3" s="54" t="s">
        <v>5</v>
      </c>
      <c r="E3" s="54" t="s">
        <v>6</v>
      </c>
    </row>
    <row r="4" ht="42" customHeight="1" spans="1:6">
      <c r="A4" s="43">
        <v>1</v>
      </c>
      <c r="B4" s="44" t="s">
        <v>15</v>
      </c>
      <c r="C4" s="55">
        <v>11.3</v>
      </c>
      <c r="D4" s="44" t="s">
        <v>71</v>
      </c>
      <c r="E4" s="56">
        <v>10</v>
      </c>
      <c r="F4" s="57" t="s">
        <v>72</v>
      </c>
    </row>
    <row r="5" ht="38" customHeight="1" spans="1:6">
      <c r="A5" s="43">
        <v>2</v>
      </c>
      <c r="B5" s="44" t="s">
        <v>56</v>
      </c>
      <c r="C5" s="55">
        <v>11.29</v>
      </c>
      <c r="D5" s="44" t="s">
        <v>68</v>
      </c>
      <c r="E5" s="56">
        <v>10</v>
      </c>
      <c r="F5" s="57"/>
    </row>
    <row r="6" ht="28" customHeight="1" spans="1:6">
      <c r="A6" s="43">
        <v>3</v>
      </c>
      <c r="B6" s="44" t="s">
        <v>56</v>
      </c>
      <c r="C6" s="55">
        <v>11.3</v>
      </c>
      <c r="D6" s="44" t="s">
        <v>68</v>
      </c>
      <c r="E6" s="56">
        <v>10</v>
      </c>
      <c r="F6" s="57"/>
    </row>
    <row r="7" ht="28" customHeight="1" spans="1:6">
      <c r="A7" s="43">
        <v>4</v>
      </c>
      <c r="B7" s="44" t="s">
        <v>37</v>
      </c>
      <c r="C7" s="44">
        <v>12.2</v>
      </c>
      <c r="D7" s="44" t="s">
        <v>73</v>
      </c>
      <c r="E7" s="44">
        <v>10</v>
      </c>
    </row>
    <row r="8" ht="28" customHeight="1" spans="1:6">
      <c r="A8" s="43">
        <v>5</v>
      </c>
      <c r="B8" s="44" t="s">
        <v>15</v>
      </c>
      <c r="C8" s="44">
        <v>12.2</v>
      </c>
      <c r="D8" s="44" t="s">
        <v>73</v>
      </c>
      <c r="E8" s="44">
        <v>10</v>
      </c>
    </row>
    <row r="9" ht="41" customHeight="1" spans="1:6">
      <c r="A9" s="43">
        <v>6</v>
      </c>
      <c r="B9" s="44" t="s">
        <v>74</v>
      </c>
      <c r="C9" s="44">
        <v>12.2</v>
      </c>
      <c r="D9" s="44" t="s">
        <v>75</v>
      </c>
      <c r="E9" s="44">
        <v>2</v>
      </c>
    </row>
    <row r="10" ht="48" customHeight="1" spans="1:6">
      <c r="A10" s="43">
        <v>7</v>
      </c>
      <c r="B10" s="44" t="s">
        <v>12</v>
      </c>
      <c r="C10" s="44">
        <v>12.2</v>
      </c>
      <c r="D10" s="44" t="s">
        <v>76</v>
      </c>
      <c r="E10" s="44">
        <v>2</v>
      </c>
    </row>
    <row r="11" ht="42" customHeight="1" spans="1:6">
      <c r="A11" s="43">
        <v>8</v>
      </c>
      <c r="B11" s="44" t="s">
        <v>33</v>
      </c>
      <c r="C11" s="44">
        <v>12.2</v>
      </c>
      <c r="D11" s="44" t="s">
        <v>76</v>
      </c>
      <c r="E11" s="44">
        <v>2</v>
      </c>
    </row>
    <row r="12" ht="44" customHeight="1" spans="1:6">
      <c r="A12" s="43">
        <v>9</v>
      </c>
      <c r="B12" s="44" t="s">
        <v>39</v>
      </c>
      <c r="C12" s="44">
        <v>12.2</v>
      </c>
      <c r="D12" s="44" t="s">
        <v>76</v>
      </c>
      <c r="E12" s="44">
        <v>2</v>
      </c>
    </row>
    <row r="13" ht="44" customHeight="1" spans="1:6">
      <c r="A13" s="43">
        <v>10</v>
      </c>
      <c r="B13" s="44" t="s">
        <v>38</v>
      </c>
      <c r="C13" s="44">
        <v>12.2</v>
      </c>
      <c r="D13" s="44" t="s">
        <v>76</v>
      </c>
      <c r="E13" s="44">
        <v>2</v>
      </c>
    </row>
    <row r="14" ht="44" customHeight="1" spans="1:6">
      <c r="A14" s="43">
        <v>11</v>
      </c>
      <c r="B14" s="44" t="s">
        <v>40</v>
      </c>
      <c r="C14" s="44">
        <v>12.2</v>
      </c>
      <c r="D14" s="44" t="s">
        <v>76</v>
      </c>
      <c r="E14" s="44">
        <v>2</v>
      </c>
    </row>
    <row r="15" ht="44" customHeight="1" spans="1:6">
      <c r="A15" s="43">
        <v>12</v>
      </c>
      <c r="B15" s="44" t="s">
        <v>77</v>
      </c>
      <c r="C15" s="44">
        <v>12.2</v>
      </c>
      <c r="D15" s="44" t="s">
        <v>76</v>
      </c>
      <c r="E15" s="44">
        <v>2</v>
      </c>
    </row>
    <row r="16" ht="44" customHeight="1" spans="1:6">
      <c r="A16" s="43">
        <v>13</v>
      </c>
      <c r="B16" s="44" t="s">
        <v>17</v>
      </c>
      <c r="C16" s="44">
        <v>12.2</v>
      </c>
      <c r="D16" s="44" t="s">
        <v>76</v>
      </c>
      <c r="E16" s="44">
        <v>2</v>
      </c>
    </row>
    <row r="17" ht="44" customHeight="1" spans="1:5">
      <c r="A17" s="43">
        <v>14</v>
      </c>
      <c r="B17" s="44" t="s">
        <v>37</v>
      </c>
      <c r="C17" s="44">
        <v>12.2</v>
      </c>
      <c r="D17" s="44" t="s">
        <v>76</v>
      </c>
      <c r="E17" s="44">
        <v>2</v>
      </c>
    </row>
    <row r="18" ht="44" customHeight="1" spans="1:5">
      <c r="A18" s="43">
        <v>15</v>
      </c>
      <c r="B18" s="44" t="s">
        <v>7</v>
      </c>
      <c r="C18" s="44">
        <v>12.2</v>
      </c>
      <c r="D18" s="44" t="s">
        <v>76</v>
      </c>
      <c r="E18" s="44">
        <v>2</v>
      </c>
    </row>
    <row r="19" ht="44" customHeight="1" spans="1:5">
      <c r="A19" s="43">
        <v>17</v>
      </c>
      <c r="B19" s="44" t="s">
        <v>10</v>
      </c>
      <c r="C19" s="44">
        <v>12.3</v>
      </c>
      <c r="D19" s="44" t="s">
        <v>78</v>
      </c>
      <c r="E19" s="44">
        <v>3</v>
      </c>
    </row>
    <row r="20" ht="44" customHeight="1" spans="1:5">
      <c r="A20" s="43">
        <v>18</v>
      </c>
      <c r="B20" s="44" t="s">
        <v>44</v>
      </c>
      <c r="C20" s="44">
        <v>12.3</v>
      </c>
      <c r="D20" s="44" t="s">
        <v>78</v>
      </c>
      <c r="E20" s="44">
        <v>3</v>
      </c>
    </row>
    <row r="21" ht="44" customHeight="1" spans="1:5">
      <c r="A21" s="43">
        <v>19</v>
      </c>
      <c r="B21" s="44" t="s">
        <v>44</v>
      </c>
      <c r="C21" s="44">
        <v>12.6</v>
      </c>
      <c r="D21" s="44" t="s">
        <v>79</v>
      </c>
      <c r="E21" s="44">
        <v>3</v>
      </c>
    </row>
    <row r="22" ht="42" customHeight="1" spans="1:5">
      <c r="A22" s="43">
        <v>20</v>
      </c>
      <c r="B22" s="44" t="s">
        <v>80</v>
      </c>
      <c r="C22" s="44">
        <v>12.6</v>
      </c>
      <c r="D22" s="44" t="s">
        <v>79</v>
      </c>
      <c r="E22" s="44">
        <v>3</v>
      </c>
    </row>
    <row r="23" ht="43" customHeight="1" spans="1:5">
      <c r="A23" s="43">
        <v>21</v>
      </c>
      <c r="B23" s="44" t="s">
        <v>46</v>
      </c>
      <c r="C23" s="44">
        <v>12.6</v>
      </c>
      <c r="D23" s="44" t="s">
        <v>79</v>
      </c>
      <c r="E23" s="44">
        <v>3</v>
      </c>
    </row>
    <row r="24" ht="42" customHeight="1" spans="1:5">
      <c r="A24" s="43">
        <v>22</v>
      </c>
      <c r="B24" s="44" t="s">
        <v>56</v>
      </c>
      <c r="C24" s="44">
        <v>12.6</v>
      </c>
      <c r="D24" s="44" t="s">
        <v>79</v>
      </c>
      <c r="E24" s="44">
        <v>3</v>
      </c>
    </row>
    <row r="25" ht="42" customHeight="1" spans="1:5">
      <c r="A25" s="43">
        <v>23</v>
      </c>
      <c r="B25" s="44" t="s">
        <v>70</v>
      </c>
      <c r="C25" s="44">
        <v>12.6</v>
      </c>
      <c r="D25" s="44" t="s">
        <v>79</v>
      </c>
      <c r="E25" s="44">
        <v>3</v>
      </c>
    </row>
    <row r="26" ht="42" customHeight="1" spans="1:5">
      <c r="A26" s="43">
        <v>24</v>
      </c>
      <c r="B26" s="44" t="s">
        <v>10</v>
      </c>
      <c r="C26" s="44">
        <v>12.6</v>
      </c>
      <c r="D26" s="44" t="s">
        <v>79</v>
      </c>
      <c r="E26" s="44">
        <v>3</v>
      </c>
    </row>
    <row r="27" ht="39" customHeight="1" spans="1:5">
      <c r="A27" s="43">
        <v>25</v>
      </c>
      <c r="B27" s="44" t="s">
        <v>44</v>
      </c>
      <c r="C27" s="44">
        <v>12.12</v>
      </c>
      <c r="D27" s="44" t="s">
        <v>81</v>
      </c>
      <c r="E27" s="44">
        <v>3</v>
      </c>
    </row>
    <row r="28" ht="45" customHeight="1" spans="1:5">
      <c r="A28" s="43">
        <v>26</v>
      </c>
      <c r="B28" s="44" t="s">
        <v>10</v>
      </c>
      <c r="C28" s="44">
        <v>12.12</v>
      </c>
      <c r="D28" s="44" t="s">
        <v>81</v>
      </c>
      <c r="E28" s="44">
        <v>3</v>
      </c>
    </row>
    <row r="29" ht="39" customHeight="1" spans="1:5">
      <c r="A29" s="43">
        <v>27</v>
      </c>
      <c r="B29" s="44" t="s">
        <v>70</v>
      </c>
      <c r="C29" s="44">
        <v>12.12</v>
      </c>
      <c r="D29" s="44" t="s">
        <v>81</v>
      </c>
      <c r="E29" s="44">
        <v>3</v>
      </c>
    </row>
    <row r="30" ht="39" customHeight="1" spans="1:5">
      <c r="A30" s="43">
        <v>28</v>
      </c>
      <c r="B30" s="44" t="s">
        <v>35</v>
      </c>
      <c r="C30" s="55">
        <v>12.1</v>
      </c>
      <c r="D30" s="44" t="s">
        <v>82</v>
      </c>
      <c r="E30" s="44">
        <v>-5</v>
      </c>
    </row>
    <row r="31" ht="42" customHeight="1" spans="1:5">
      <c r="A31" s="43">
        <v>29</v>
      </c>
      <c r="B31" s="44" t="s">
        <v>17</v>
      </c>
      <c r="C31" s="55">
        <v>12.12</v>
      </c>
      <c r="D31" s="44" t="s">
        <v>83</v>
      </c>
      <c r="E31" s="44">
        <v>-50</v>
      </c>
    </row>
    <row r="32" ht="42" customHeight="1" spans="1:5">
      <c r="A32" s="43">
        <v>30</v>
      </c>
      <c r="B32" s="44" t="s">
        <v>12</v>
      </c>
      <c r="C32" s="55">
        <v>12.12</v>
      </c>
      <c r="D32" s="44" t="s">
        <v>83</v>
      </c>
      <c r="E32" s="44">
        <v>-80</v>
      </c>
    </row>
    <row r="33" ht="42" customHeight="1" spans="1:5">
      <c r="A33" s="43">
        <v>31</v>
      </c>
      <c r="B33" s="44" t="s">
        <v>84</v>
      </c>
      <c r="C33" s="55">
        <v>12.12</v>
      </c>
      <c r="D33" s="44" t="s">
        <v>83</v>
      </c>
      <c r="E33" s="44">
        <v>-50</v>
      </c>
    </row>
    <row r="34" ht="42" customHeight="1" spans="1:5">
      <c r="A34" s="43">
        <v>32</v>
      </c>
      <c r="B34" s="44" t="s">
        <v>18</v>
      </c>
      <c r="C34" s="55">
        <v>12.13</v>
      </c>
      <c r="D34" s="44" t="s">
        <v>85</v>
      </c>
      <c r="E34" s="44">
        <v>2</v>
      </c>
    </row>
    <row r="35" ht="47" customHeight="1" spans="1:5">
      <c r="A35" s="43">
        <v>33</v>
      </c>
      <c r="B35" s="47" t="s">
        <v>13</v>
      </c>
      <c r="C35" s="55">
        <v>12.13</v>
      </c>
      <c r="D35" s="44" t="s">
        <v>85</v>
      </c>
      <c r="E35" s="44">
        <v>2</v>
      </c>
    </row>
    <row r="36" ht="42" customHeight="1" spans="1:5">
      <c r="A36" s="43">
        <v>34</v>
      </c>
      <c r="B36" s="47" t="s">
        <v>60</v>
      </c>
      <c r="C36" s="55">
        <v>12.13</v>
      </c>
      <c r="D36" s="44" t="s">
        <v>85</v>
      </c>
      <c r="E36" s="44">
        <v>2</v>
      </c>
    </row>
    <row r="37" ht="44" customHeight="1" spans="1:5">
      <c r="A37" s="43">
        <v>35</v>
      </c>
      <c r="B37" s="47" t="s">
        <v>15</v>
      </c>
      <c r="C37" s="47">
        <v>12.12</v>
      </c>
      <c r="D37" s="44" t="s">
        <v>85</v>
      </c>
      <c r="E37" s="44">
        <v>2</v>
      </c>
    </row>
    <row r="38" ht="44" customHeight="1" spans="1:5">
      <c r="A38" s="43">
        <v>36</v>
      </c>
      <c r="B38" s="47" t="s">
        <v>17</v>
      </c>
      <c r="C38" s="47">
        <v>12.12</v>
      </c>
      <c r="D38" s="44" t="s">
        <v>85</v>
      </c>
      <c r="E38" s="44">
        <v>2</v>
      </c>
    </row>
    <row r="39" ht="42" customHeight="1" spans="1:5">
      <c r="A39" s="43">
        <v>37</v>
      </c>
      <c r="B39" s="47" t="s">
        <v>77</v>
      </c>
      <c r="C39" s="47">
        <v>12.12</v>
      </c>
      <c r="D39" s="44" t="s">
        <v>85</v>
      </c>
      <c r="E39" s="44">
        <v>2</v>
      </c>
    </row>
    <row r="40" ht="42" customHeight="1" spans="1:5">
      <c r="A40" s="43">
        <v>38</v>
      </c>
      <c r="B40" s="47" t="s">
        <v>12</v>
      </c>
      <c r="C40" s="47">
        <v>12.12</v>
      </c>
      <c r="D40" s="44" t="s">
        <v>85</v>
      </c>
      <c r="E40" s="44">
        <v>2</v>
      </c>
    </row>
    <row r="41" ht="42" customHeight="1" spans="1:5">
      <c r="A41" s="43">
        <v>39</v>
      </c>
      <c r="B41" s="47" t="s">
        <v>74</v>
      </c>
      <c r="C41" s="47">
        <v>12.12</v>
      </c>
      <c r="D41" s="44" t="s">
        <v>85</v>
      </c>
      <c r="E41" s="47">
        <v>2</v>
      </c>
    </row>
    <row r="42" ht="42" customHeight="1" spans="1:5">
      <c r="A42" s="43">
        <v>40</v>
      </c>
      <c r="B42" s="8" t="s">
        <v>86</v>
      </c>
      <c r="C42" s="47">
        <v>12.12</v>
      </c>
      <c r="D42" s="56" t="s">
        <v>85</v>
      </c>
      <c r="E42" s="8">
        <v>2</v>
      </c>
    </row>
    <row r="43" ht="42" customHeight="1" spans="1:5">
      <c r="A43" s="43">
        <v>41</v>
      </c>
      <c r="B43" s="8" t="s">
        <v>44</v>
      </c>
      <c r="C43" s="47">
        <v>12.13</v>
      </c>
      <c r="D43" s="56" t="s">
        <v>85</v>
      </c>
      <c r="E43" s="8">
        <v>2</v>
      </c>
    </row>
    <row r="44" ht="42" customHeight="1" spans="1:5">
      <c r="A44" s="43">
        <v>42</v>
      </c>
      <c r="B44" s="8" t="s">
        <v>46</v>
      </c>
      <c r="C44" s="47">
        <v>12.13</v>
      </c>
      <c r="D44" s="44" t="s">
        <v>85</v>
      </c>
      <c r="E44" s="40">
        <v>2</v>
      </c>
    </row>
    <row r="45" ht="42" customHeight="1" spans="1:5">
      <c r="A45" s="43">
        <v>43</v>
      </c>
      <c r="B45" s="8" t="s">
        <v>70</v>
      </c>
      <c r="C45" s="47">
        <v>12.13</v>
      </c>
      <c r="D45" s="44" t="s">
        <v>85</v>
      </c>
      <c r="E45" s="44">
        <v>2</v>
      </c>
    </row>
    <row r="46" ht="42" customHeight="1" spans="1:5">
      <c r="A46" s="43">
        <v>44</v>
      </c>
      <c r="B46" s="8" t="s">
        <v>87</v>
      </c>
      <c r="C46" s="47">
        <v>12.13</v>
      </c>
      <c r="D46" s="44" t="s">
        <v>85</v>
      </c>
      <c r="E46" s="44">
        <v>2</v>
      </c>
    </row>
    <row r="47" ht="42" customHeight="1" spans="1:5">
      <c r="A47" s="43">
        <v>45</v>
      </c>
      <c r="B47" s="8" t="s">
        <v>80</v>
      </c>
      <c r="C47" s="47">
        <v>12.13</v>
      </c>
      <c r="D47" s="44" t="s">
        <v>85</v>
      </c>
      <c r="E47" s="44">
        <v>2</v>
      </c>
    </row>
    <row r="48" ht="42" customHeight="1" spans="1:5">
      <c r="A48" s="43">
        <v>46</v>
      </c>
      <c r="B48" s="8" t="s">
        <v>56</v>
      </c>
      <c r="C48" s="47">
        <v>12.13</v>
      </c>
      <c r="D48" s="44" t="s">
        <v>85</v>
      </c>
      <c r="E48" s="44">
        <v>2</v>
      </c>
    </row>
    <row r="49" ht="42" customHeight="1" spans="1:5">
      <c r="A49" s="43">
        <v>47</v>
      </c>
      <c r="B49" s="8" t="s">
        <v>37</v>
      </c>
      <c r="C49" s="47">
        <v>12.13</v>
      </c>
      <c r="D49" s="44" t="s">
        <v>88</v>
      </c>
      <c r="E49" s="44">
        <v>5</v>
      </c>
    </row>
    <row r="50" ht="42" customHeight="1" spans="1:5">
      <c r="A50" s="43">
        <v>48</v>
      </c>
      <c r="B50" s="47" t="s">
        <v>77</v>
      </c>
      <c r="C50" s="47">
        <v>12.13</v>
      </c>
      <c r="D50" s="44" t="s">
        <v>85</v>
      </c>
      <c r="E50" s="44">
        <v>2</v>
      </c>
    </row>
    <row r="51" ht="42" customHeight="1" spans="1:5">
      <c r="A51" s="43">
        <v>49</v>
      </c>
      <c r="B51" s="47" t="s">
        <v>12</v>
      </c>
      <c r="C51" s="47">
        <v>12.13</v>
      </c>
      <c r="D51" s="44" t="s">
        <v>85</v>
      </c>
      <c r="E51" s="44">
        <v>2</v>
      </c>
    </row>
    <row r="52" ht="42" customHeight="1" spans="1:5">
      <c r="A52" s="43">
        <v>50</v>
      </c>
      <c r="B52" s="47" t="s">
        <v>7</v>
      </c>
      <c r="C52" s="47">
        <v>12.13</v>
      </c>
      <c r="D52" s="44" t="s">
        <v>89</v>
      </c>
      <c r="E52" s="48">
        <v>10</v>
      </c>
    </row>
    <row r="53" ht="42" customHeight="1" spans="1:5">
      <c r="A53" s="43">
        <v>51</v>
      </c>
      <c r="B53" s="47" t="s">
        <v>7</v>
      </c>
      <c r="C53" s="47">
        <v>12.14</v>
      </c>
      <c r="D53" s="44" t="s">
        <v>89</v>
      </c>
      <c r="E53" s="48">
        <v>10</v>
      </c>
    </row>
    <row r="54" ht="42" customHeight="1" spans="1:5">
      <c r="A54" s="43">
        <v>52</v>
      </c>
      <c r="B54" s="47" t="s">
        <v>49</v>
      </c>
      <c r="C54" s="47">
        <v>12.15</v>
      </c>
      <c r="D54" s="44" t="s">
        <v>90</v>
      </c>
      <c r="E54" s="48">
        <v>10</v>
      </c>
    </row>
    <row r="55" ht="42" customHeight="1" spans="1:5">
      <c r="A55" s="43">
        <v>53</v>
      </c>
      <c r="B55" s="47" t="s">
        <v>44</v>
      </c>
      <c r="C55" s="47">
        <v>12.16</v>
      </c>
      <c r="D55" s="44" t="s">
        <v>91</v>
      </c>
      <c r="E55" s="48">
        <v>3</v>
      </c>
    </row>
    <row r="56" ht="42" customHeight="1" spans="1:5">
      <c r="A56" s="43">
        <v>54</v>
      </c>
      <c r="B56" s="47" t="s">
        <v>10</v>
      </c>
      <c r="C56" s="47">
        <v>12.16</v>
      </c>
      <c r="D56" s="44" t="s">
        <v>91</v>
      </c>
      <c r="E56" s="48">
        <v>3</v>
      </c>
    </row>
    <row r="57" ht="42" customHeight="1" spans="1:5">
      <c r="A57" s="43">
        <v>55</v>
      </c>
      <c r="B57" s="58" t="s">
        <v>92</v>
      </c>
      <c r="C57" s="47">
        <v>12.17</v>
      </c>
      <c r="D57" s="44" t="s">
        <v>93</v>
      </c>
      <c r="E57" s="48">
        <v>10</v>
      </c>
    </row>
    <row r="58" ht="42" customHeight="1" spans="1:5">
      <c r="A58" s="43">
        <v>56</v>
      </c>
      <c r="B58" s="47" t="s">
        <v>7</v>
      </c>
      <c r="C58" s="47">
        <v>12.17</v>
      </c>
      <c r="D58" s="44" t="s">
        <v>89</v>
      </c>
      <c r="E58" s="48">
        <v>10</v>
      </c>
    </row>
    <row r="59" ht="42" customHeight="1" spans="1:5">
      <c r="A59" s="43">
        <v>57</v>
      </c>
      <c r="B59" s="58" t="s">
        <v>53</v>
      </c>
      <c r="C59" s="59">
        <v>12.17</v>
      </c>
      <c r="D59" s="47" t="s">
        <v>94</v>
      </c>
      <c r="E59" s="48">
        <v>30</v>
      </c>
    </row>
    <row r="60" ht="42" customHeight="1" spans="1:5">
      <c r="A60" s="43">
        <v>58</v>
      </c>
      <c r="B60" s="58" t="s">
        <v>55</v>
      </c>
      <c r="C60" s="59">
        <v>12.17</v>
      </c>
      <c r="D60" s="47" t="s">
        <v>94</v>
      </c>
      <c r="E60" s="48">
        <v>30</v>
      </c>
    </row>
    <row r="61" ht="42" customHeight="1" spans="1:5">
      <c r="A61" s="43">
        <v>59</v>
      </c>
      <c r="B61" s="58" t="s">
        <v>58</v>
      </c>
      <c r="C61" s="59">
        <v>12.17</v>
      </c>
      <c r="D61" s="47" t="s">
        <v>94</v>
      </c>
      <c r="E61" s="48">
        <v>30</v>
      </c>
    </row>
    <row r="62" ht="42" customHeight="1" spans="1:5">
      <c r="A62" s="43">
        <v>60</v>
      </c>
      <c r="B62" s="38" t="s">
        <v>12</v>
      </c>
      <c r="C62" s="59">
        <v>12.2</v>
      </c>
      <c r="D62" s="47" t="s">
        <v>95</v>
      </c>
      <c r="E62" s="48">
        <v>3</v>
      </c>
    </row>
    <row r="63" ht="42" customHeight="1" spans="1:5">
      <c r="A63" s="43">
        <v>61</v>
      </c>
      <c r="B63" s="38" t="s">
        <v>15</v>
      </c>
      <c r="C63" s="59">
        <v>12.2</v>
      </c>
      <c r="D63" s="47" t="s">
        <v>95</v>
      </c>
      <c r="E63" s="48">
        <v>3</v>
      </c>
    </row>
    <row r="64" ht="42" customHeight="1" spans="1:5">
      <c r="A64" s="43">
        <v>62</v>
      </c>
      <c r="B64" s="38" t="s">
        <v>38</v>
      </c>
      <c r="C64" s="59">
        <v>12.2</v>
      </c>
      <c r="D64" s="47" t="s">
        <v>95</v>
      </c>
      <c r="E64" s="48">
        <v>3</v>
      </c>
    </row>
    <row r="65" ht="42" customHeight="1" spans="1:5">
      <c r="A65" s="43">
        <v>63</v>
      </c>
      <c r="B65" s="38" t="s">
        <v>39</v>
      </c>
      <c r="C65" s="59">
        <v>12.2</v>
      </c>
      <c r="D65" s="47" t="s">
        <v>95</v>
      </c>
      <c r="E65" s="48">
        <v>3</v>
      </c>
    </row>
    <row r="66" ht="42" customHeight="1" spans="1:5">
      <c r="A66" s="43">
        <v>64</v>
      </c>
      <c r="B66" s="38" t="s">
        <v>56</v>
      </c>
      <c r="C66" s="60">
        <v>12.23</v>
      </c>
      <c r="D66" s="61" t="s">
        <v>96</v>
      </c>
      <c r="E66" s="48">
        <v>10</v>
      </c>
    </row>
    <row r="67" ht="42" customHeight="1" spans="1:5">
      <c r="A67" s="43">
        <v>65</v>
      </c>
      <c r="B67" s="38" t="s">
        <v>12</v>
      </c>
      <c r="C67" s="60">
        <v>12.24</v>
      </c>
      <c r="D67" s="61" t="s">
        <v>97</v>
      </c>
      <c r="E67" s="48">
        <v>3</v>
      </c>
    </row>
    <row r="68" ht="42" customHeight="1" spans="1:5">
      <c r="A68" s="43">
        <v>66</v>
      </c>
      <c r="B68" s="38" t="s">
        <v>15</v>
      </c>
      <c r="C68" s="60">
        <v>12.24</v>
      </c>
      <c r="D68" s="61" t="s">
        <v>97</v>
      </c>
      <c r="E68" s="48">
        <v>3</v>
      </c>
    </row>
    <row r="69" ht="42" customHeight="1" spans="1:5">
      <c r="A69" s="43">
        <v>67</v>
      </c>
      <c r="B69" s="38" t="s">
        <v>38</v>
      </c>
      <c r="C69" s="60">
        <v>12.24</v>
      </c>
      <c r="D69" s="61" t="s">
        <v>97</v>
      </c>
      <c r="E69" s="48">
        <v>3</v>
      </c>
    </row>
    <row r="70" ht="42" customHeight="1" spans="1:5">
      <c r="A70" s="43">
        <v>68</v>
      </c>
      <c r="B70" s="38" t="s">
        <v>39</v>
      </c>
      <c r="C70" s="60">
        <v>12.24</v>
      </c>
      <c r="D70" s="61" t="s">
        <v>97</v>
      </c>
      <c r="E70" s="48">
        <v>3</v>
      </c>
    </row>
    <row r="71" ht="42" customHeight="1" spans="1:5">
      <c r="A71" s="43">
        <v>69</v>
      </c>
      <c r="B71" s="58" t="s">
        <v>45</v>
      </c>
      <c r="C71" s="60">
        <v>12.24</v>
      </c>
      <c r="D71" s="61" t="s">
        <v>98</v>
      </c>
      <c r="E71" s="48">
        <v>2</v>
      </c>
    </row>
    <row r="72" ht="42" customHeight="1" spans="1:5">
      <c r="A72" s="43">
        <v>70</v>
      </c>
      <c r="B72" s="58" t="s">
        <v>41</v>
      </c>
      <c r="C72" s="60">
        <v>12.24</v>
      </c>
      <c r="D72" s="61" t="s">
        <v>98</v>
      </c>
      <c r="E72" s="48">
        <v>2</v>
      </c>
    </row>
    <row r="73" ht="42" customHeight="1" spans="1:5">
      <c r="A73" s="43">
        <v>71</v>
      </c>
      <c r="B73" s="58" t="s">
        <v>43</v>
      </c>
      <c r="C73" s="60">
        <v>12.24</v>
      </c>
      <c r="D73" s="61" t="s">
        <v>98</v>
      </c>
      <c r="E73" s="48">
        <v>2</v>
      </c>
    </row>
    <row r="74" ht="42" customHeight="1" spans="1:5">
      <c r="A74" s="43">
        <v>72</v>
      </c>
      <c r="B74" s="58" t="s">
        <v>56</v>
      </c>
      <c r="C74" s="60">
        <v>12.24</v>
      </c>
      <c r="D74" s="61" t="s">
        <v>98</v>
      </c>
      <c r="E74" s="48">
        <v>2</v>
      </c>
    </row>
    <row r="75" ht="42" customHeight="1" spans="1:5">
      <c r="A75" s="43">
        <v>73</v>
      </c>
      <c r="B75" s="58" t="s">
        <v>99</v>
      </c>
      <c r="C75" s="60">
        <v>12.24</v>
      </c>
      <c r="D75" s="61" t="s">
        <v>98</v>
      </c>
      <c r="E75" s="48">
        <v>2</v>
      </c>
    </row>
    <row r="76" ht="42" customHeight="1" spans="1:5">
      <c r="A76" s="43">
        <v>74</v>
      </c>
      <c r="B76" s="58" t="s">
        <v>80</v>
      </c>
      <c r="C76" s="60">
        <v>12.24</v>
      </c>
      <c r="D76" s="61" t="s">
        <v>98</v>
      </c>
      <c r="E76" s="48">
        <v>2</v>
      </c>
    </row>
    <row r="77" ht="42" customHeight="1" spans="1:5">
      <c r="A77" s="43">
        <v>75</v>
      </c>
      <c r="B77" s="58" t="s">
        <v>10</v>
      </c>
      <c r="C77" s="60">
        <v>12.24</v>
      </c>
      <c r="D77" s="61" t="s">
        <v>98</v>
      </c>
      <c r="E77" s="48">
        <v>2</v>
      </c>
    </row>
    <row r="78" ht="42" customHeight="1" spans="1:5">
      <c r="A78" s="43">
        <v>76</v>
      </c>
      <c r="B78" s="58" t="s">
        <v>56</v>
      </c>
      <c r="C78" s="60">
        <v>12.27</v>
      </c>
      <c r="D78" s="61" t="s">
        <v>100</v>
      </c>
      <c r="E78" s="48">
        <v>10</v>
      </c>
    </row>
    <row r="79" ht="42" customHeight="1" spans="1:5">
      <c r="A79" s="43">
        <v>77</v>
      </c>
      <c r="B79" s="58" t="s">
        <v>80</v>
      </c>
      <c r="C79" s="60">
        <v>12.28</v>
      </c>
      <c r="D79" s="61" t="s">
        <v>100</v>
      </c>
      <c r="E79" s="48">
        <v>10</v>
      </c>
    </row>
    <row r="80" ht="42" customHeight="1" spans="1:5">
      <c r="A80" s="43">
        <v>78</v>
      </c>
      <c r="B80" s="58" t="s">
        <v>99</v>
      </c>
      <c r="C80" s="38">
        <v>12.29</v>
      </c>
      <c r="D80" s="61" t="s">
        <v>100</v>
      </c>
      <c r="E80" s="48">
        <v>10</v>
      </c>
    </row>
    <row r="81" ht="42" customHeight="1" spans="1:5">
      <c r="A81" s="43">
        <v>79</v>
      </c>
      <c r="B81" s="58" t="s">
        <v>80</v>
      </c>
      <c r="C81" s="62">
        <v>12.3</v>
      </c>
      <c r="D81" s="61" t="s">
        <v>100</v>
      </c>
      <c r="E81" s="48">
        <v>5</v>
      </c>
    </row>
    <row r="82" ht="42" customHeight="1" spans="1:5">
      <c r="A82" s="43">
        <v>80</v>
      </c>
      <c r="B82" s="58" t="s">
        <v>56</v>
      </c>
      <c r="C82" s="63"/>
      <c r="D82" s="61" t="s">
        <v>100</v>
      </c>
      <c r="E82" s="48">
        <v>5</v>
      </c>
    </row>
    <row r="83" ht="42" customHeight="1" spans="1:5">
      <c r="A83" s="43">
        <v>81</v>
      </c>
      <c r="B83" s="58" t="s">
        <v>92</v>
      </c>
      <c r="C83" s="63">
        <v>12.31</v>
      </c>
      <c r="D83" s="61" t="s">
        <v>93</v>
      </c>
      <c r="E83" s="48">
        <v>10</v>
      </c>
    </row>
    <row r="84" ht="42" customHeight="1" spans="1:5">
      <c r="A84" s="38" t="s">
        <v>24</v>
      </c>
      <c r="B84" s="38"/>
      <c r="C84" s="38"/>
      <c r="D84" s="38"/>
      <c r="E84" s="48">
        <f>SUM(E4:E83)</f>
        <v>201</v>
      </c>
    </row>
    <row r="85" ht="38" customHeight="1" spans="1:5">
      <c r="A85" s="49" t="s">
        <v>25</v>
      </c>
      <c r="B85" s="49"/>
      <c r="C85" s="49"/>
      <c r="D85" s="49"/>
      <c r="E85" s="49"/>
    </row>
    <row r="86" ht="32" customHeight="1" spans="1:5">
      <c r="A86" s="50" t="s">
        <v>26</v>
      </c>
      <c r="B86" s="50"/>
      <c r="C86" s="50"/>
      <c r="D86" s="50"/>
      <c r="E86" s="50"/>
    </row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32" customHeight="1"/>
    <row r="95" ht="32" customHeight="1"/>
    <row r="96" ht="32" customHeight="1"/>
    <row r="97" ht="32" customHeight="1"/>
    <row r="98" ht="32" customHeight="1"/>
    <row r="99" ht="32" customHeight="1"/>
    <row r="100" ht="32" customHeight="1"/>
    <row r="101" ht="32" customHeight="1"/>
    <row r="102" ht="32" customHeight="1"/>
    <row r="103" ht="32" customHeight="1"/>
    <row r="104" ht="32" customHeight="1"/>
    <row r="105" ht="32" customHeight="1"/>
    <row r="106" ht="32" customHeight="1"/>
    <row r="107" ht="32" customHeight="1"/>
    <row r="108" ht="32" customHeight="1"/>
    <row r="109" ht="32" customHeight="1"/>
    <row r="110" ht="32" customHeight="1"/>
    <row r="111" ht="32" customHeight="1"/>
    <row r="112" ht="32" customHeight="1"/>
    <row r="113" ht="32" customHeight="1"/>
    <row r="114" ht="32" customHeight="1"/>
    <row r="115" ht="32" customHeight="1"/>
    <row r="116" ht="32" customHeight="1"/>
    <row r="117" ht="32" customHeight="1"/>
    <row r="118" ht="32" customHeight="1"/>
    <row r="119" ht="32" customHeight="1"/>
    <row r="120" ht="32" customHeight="1"/>
    <row r="121" ht="32" customHeight="1"/>
    <row r="122" ht="32" customHeight="1"/>
    <row r="123" ht="32" customHeight="1"/>
    <row r="124" ht="32" customHeight="1"/>
    <row r="125" ht="32" customHeight="1"/>
    <row r="126" ht="32" customHeight="1"/>
    <row r="127" ht="32" customHeight="1"/>
    <row r="128" ht="32" customHeight="1"/>
    <row r="129" ht="32" customHeight="1"/>
    <row r="130" ht="32" customHeight="1"/>
    <row r="131" ht="32" customHeight="1"/>
    <row r="132" ht="32" customHeight="1"/>
    <row r="133" ht="32" customHeight="1"/>
    <row r="134" ht="32" customHeight="1"/>
    <row r="135" ht="32" customHeight="1"/>
    <row r="136" ht="32" customHeight="1"/>
    <row r="137" ht="32" customHeight="1"/>
    <row r="138" ht="32" customHeight="1"/>
    <row r="139" ht="32" customHeight="1"/>
    <row r="140" ht="32" customHeight="1"/>
    <row r="141" ht="32" customHeight="1"/>
    <row r="142" ht="32" customHeight="1"/>
    <row r="143" ht="32" customHeight="1"/>
    <row r="144" ht="32" customHeight="1"/>
    <row r="145" ht="47" customHeight="1"/>
    <row r="146" ht="47" customHeight="1"/>
  </sheetData>
  <mergeCells count="7">
    <mergeCell ref="A1:E1"/>
    <mergeCell ref="A2:E2"/>
    <mergeCell ref="A84:B84"/>
    <mergeCell ref="A85:E85"/>
    <mergeCell ref="A86:E86"/>
    <mergeCell ref="C81:C82"/>
    <mergeCell ref="F4:F6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opLeftCell="A7" workbookViewId="0">
      <selection activeCell="D4" sqref="D4"/>
    </sheetView>
  </sheetViews>
  <sheetFormatPr defaultColWidth="9" defaultRowHeight="13.5" outlineLevelCol="4"/>
  <cols>
    <col min="1" max="1" width="7.5" customWidth="1"/>
    <col min="2" max="2" width="19.875" customWidth="1"/>
    <col min="3" max="3" width="13.375" customWidth="1"/>
    <col min="4" max="4" width="40.625" customWidth="1"/>
    <col min="5" max="5" width="10.625" customWidth="1"/>
  </cols>
  <sheetData>
    <row r="1" ht="31.5" customHeight="1" spans="1:5">
      <c r="A1" s="30" t="s">
        <v>0</v>
      </c>
      <c r="B1" s="30"/>
      <c r="C1" s="30"/>
      <c r="D1" s="30"/>
      <c r="E1" s="30"/>
    </row>
    <row r="2" ht="27" customHeight="1" spans="1:5">
      <c r="A2" s="31" t="s">
        <v>1</v>
      </c>
      <c r="B2" s="31"/>
      <c r="C2" s="31"/>
      <c r="D2" s="31"/>
      <c r="E2" s="31"/>
    </row>
    <row r="3" ht="28" customHeight="1" spans="1:5">
      <c r="A3" s="39" t="s">
        <v>2</v>
      </c>
      <c r="B3" s="40" t="s">
        <v>3</v>
      </c>
      <c r="C3" s="41" t="s">
        <v>4</v>
      </c>
      <c r="D3" s="42" t="s">
        <v>5</v>
      </c>
      <c r="E3" s="42" t="s">
        <v>6</v>
      </c>
    </row>
    <row r="4" ht="42" customHeight="1" spans="1:5">
      <c r="A4" s="43">
        <v>1</v>
      </c>
      <c r="B4" s="44" t="s">
        <v>92</v>
      </c>
      <c r="C4" s="45" t="s">
        <v>101</v>
      </c>
      <c r="D4" s="34" t="s">
        <v>102</v>
      </c>
      <c r="E4" s="8">
        <v>5</v>
      </c>
    </row>
    <row r="5" ht="44" customHeight="1" spans="1:5">
      <c r="A5" s="43">
        <v>2</v>
      </c>
      <c r="B5" s="44" t="s">
        <v>35</v>
      </c>
      <c r="C5" s="45" t="s">
        <v>101</v>
      </c>
      <c r="D5" s="34" t="s">
        <v>102</v>
      </c>
      <c r="E5" s="40">
        <v>5</v>
      </c>
    </row>
    <row r="6" ht="44" customHeight="1" spans="1:5">
      <c r="A6" s="43">
        <v>3</v>
      </c>
      <c r="B6" s="44" t="s">
        <v>16</v>
      </c>
      <c r="C6" s="45" t="s">
        <v>101</v>
      </c>
      <c r="D6" s="34" t="s">
        <v>102</v>
      </c>
      <c r="E6" s="44">
        <v>5</v>
      </c>
    </row>
    <row r="7" ht="44" customHeight="1" spans="1:5">
      <c r="A7" s="43">
        <v>4</v>
      </c>
      <c r="B7" s="44" t="s">
        <v>103</v>
      </c>
      <c r="C7" s="45" t="s">
        <v>104</v>
      </c>
      <c r="D7" s="34" t="s">
        <v>105</v>
      </c>
      <c r="E7" s="44">
        <v>10</v>
      </c>
    </row>
    <row r="8" ht="44" customHeight="1" spans="1:5">
      <c r="A8" s="43">
        <v>5</v>
      </c>
      <c r="B8" s="44" t="s">
        <v>103</v>
      </c>
      <c r="C8" s="45" t="s">
        <v>106</v>
      </c>
      <c r="D8" s="34" t="s">
        <v>105</v>
      </c>
      <c r="E8" s="44">
        <v>10</v>
      </c>
    </row>
    <row r="9" ht="44" customHeight="1" spans="1:5">
      <c r="A9" s="43">
        <v>6</v>
      </c>
      <c r="B9" s="44" t="s">
        <v>7</v>
      </c>
      <c r="C9" s="45" t="s">
        <v>107</v>
      </c>
      <c r="D9" s="34" t="s">
        <v>108</v>
      </c>
      <c r="E9" s="44">
        <v>10</v>
      </c>
    </row>
    <row r="10" ht="44" customHeight="1" spans="1:5">
      <c r="A10" s="43">
        <v>7</v>
      </c>
      <c r="B10" s="44" t="s">
        <v>103</v>
      </c>
      <c r="C10" s="45" t="s">
        <v>109</v>
      </c>
      <c r="D10" s="34" t="s">
        <v>105</v>
      </c>
      <c r="E10" s="44">
        <v>10</v>
      </c>
    </row>
    <row r="11" ht="44" customHeight="1" spans="1:5">
      <c r="A11" s="43">
        <v>8</v>
      </c>
      <c r="B11" s="44" t="s">
        <v>7</v>
      </c>
      <c r="C11" s="45" t="s">
        <v>109</v>
      </c>
      <c r="D11" s="34" t="s">
        <v>108</v>
      </c>
      <c r="E11" s="44">
        <v>10</v>
      </c>
    </row>
    <row r="12" ht="44" customHeight="1" spans="1:5">
      <c r="A12" s="43">
        <v>9</v>
      </c>
      <c r="B12" s="44" t="s">
        <v>103</v>
      </c>
      <c r="C12" s="45" t="s">
        <v>110</v>
      </c>
      <c r="D12" s="34" t="s">
        <v>105</v>
      </c>
      <c r="E12" s="44">
        <v>10</v>
      </c>
    </row>
    <row r="13" ht="44" customHeight="1" spans="1:5">
      <c r="A13" s="43">
        <v>10</v>
      </c>
      <c r="B13" s="44" t="s">
        <v>7</v>
      </c>
      <c r="C13" s="45" t="s">
        <v>110</v>
      </c>
      <c r="D13" s="34" t="s">
        <v>108</v>
      </c>
      <c r="E13" s="44">
        <v>10</v>
      </c>
    </row>
    <row r="14" ht="44" customHeight="1" spans="1:5">
      <c r="A14" s="43">
        <v>11</v>
      </c>
      <c r="B14" s="44" t="s">
        <v>103</v>
      </c>
      <c r="C14" s="45" t="s">
        <v>111</v>
      </c>
      <c r="D14" s="34" t="s">
        <v>105</v>
      </c>
      <c r="E14" s="44">
        <v>10</v>
      </c>
    </row>
    <row r="15" ht="44" customHeight="1" spans="1:5">
      <c r="A15" s="46">
        <v>15</v>
      </c>
      <c r="B15" s="8" t="s">
        <v>92</v>
      </c>
      <c r="C15" s="45" t="s">
        <v>111</v>
      </c>
      <c r="D15" s="34" t="s">
        <v>112</v>
      </c>
      <c r="E15" s="44">
        <v>15</v>
      </c>
    </row>
    <row r="16" ht="44" customHeight="1" spans="1:5">
      <c r="A16" s="46">
        <v>16</v>
      </c>
      <c r="B16" s="8" t="s">
        <v>113</v>
      </c>
      <c r="C16" s="45" t="s">
        <v>114</v>
      </c>
      <c r="D16" s="34" t="s">
        <v>115</v>
      </c>
      <c r="E16" s="44">
        <v>15</v>
      </c>
    </row>
    <row r="17" ht="44" customHeight="1" spans="1:5">
      <c r="A17" s="46">
        <v>17</v>
      </c>
      <c r="B17" s="8" t="s">
        <v>49</v>
      </c>
      <c r="C17" s="45" t="s">
        <v>114</v>
      </c>
      <c r="D17" s="34" t="s">
        <v>116</v>
      </c>
      <c r="E17" s="44">
        <v>10</v>
      </c>
    </row>
    <row r="18" ht="44" customHeight="1" spans="1:5">
      <c r="A18" s="46">
        <v>18</v>
      </c>
      <c r="B18" s="8" t="s">
        <v>87</v>
      </c>
      <c r="C18" s="45" t="s">
        <v>114</v>
      </c>
      <c r="D18" s="34" t="s">
        <v>117</v>
      </c>
      <c r="E18" s="44">
        <v>10</v>
      </c>
    </row>
    <row r="19" ht="44" customHeight="1" spans="1:5">
      <c r="A19" s="46">
        <v>19</v>
      </c>
      <c r="B19" s="8" t="s">
        <v>7</v>
      </c>
      <c r="C19" s="45" t="s">
        <v>118</v>
      </c>
      <c r="D19" s="34" t="s">
        <v>108</v>
      </c>
      <c r="E19" s="44">
        <v>10</v>
      </c>
    </row>
    <row r="20" ht="44" customHeight="1" spans="1:5">
      <c r="A20" s="46">
        <v>20</v>
      </c>
      <c r="B20" s="8" t="s">
        <v>113</v>
      </c>
      <c r="C20" s="45" t="s">
        <v>118</v>
      </c>
      <c r="D20" s="34" t="s">
        <v>119</v>
      </c>
      <c r="E20" s="44">
        <v>10</v>
      </c>
    </row>
    <row r="21" ht="44" customHeight="1" spans="1:5">
      <c r="A21" s="46">
        <v>21</v>
      </c>
      <c r="B21" s="8" t="s">
        <v>56</v>
      </c>
      <c r="C21" s="45" t="s">
        <v>118</v>
      </c>
      <c r="D21" s="34" t="s">
        <v>120</v>
      </c>
      <c r="E21" s="44">
        <v>10</v>
      </c>
    </row>
    <row r="22" ht="44" customHeight="1" spans="1:5">
      <c r="A22" s="46"/>
      <c r="B22" s="8" t="s">
        <v>7</v>
      </c>
      <c r="C22" s="45" t="s">
        <v>121</v>
      </c>
      <c r="D22" s="34" t="s">
        <v>108</v>
      </c>
      <c r="E22" s="44">
        <v>10</v>
      </c>
    </row>
    <row r="23" ht="44" customHeight="1" spans="1:5">
      <c r="A23" s="46">
        <v>23</v>
      </c>
      <c r="B23" s="8" t="s">
        <v>7</v>
      </c>
      <c r="C23" s="45" t="s">
        <v>122</v>
      </c>
      <c r="D23" s="34" t="s">
        <v>123</v>
      </c>
      <c r="E23" s="44">
        <v>2</v>
      </c>
    </row>
    <row r="24" ht="44" customHeight="1" spans="1:5">
      <c r="A24" s="46">
        <v>24</v>
      </c>
      <c r="B24" s="8" t="s">
        <v>124</v>
      </c>
      <c r="C24" s="45" t="s">
        <v>122</v>
      </c>
      <c r="D24" s="34" t="s">
        <v>123</v>
      </c>
      <c r="E24" s="44">
        <v>2</v>
      </c>
    </row>
    <row r="25" ht="44" customHeight="1" spans="1:5">
      <c r="A25" s="46">
        <v>25</v>
      </c>
      <c r="B25" s="8" t="s">
        <v>125</v>
      </c>
      <c r="C25" s="45" t="s">
        <v>122</v>
      </c>
      <c r="D25" s="34" t="s">
        <v>123</v>
      </c>
      <c r="E25" s="44">
        <v>2</v>
      </c>
    </row>
    <row r="26" ht="44" customHeight="1" spans="1:5">
      <c r="A26" s="46">
        <v>26</v>
      </c>
      <c r="B26" s="8" t="s">
        <v>103</v>
      </c>
      <c r="C26" s="45" t="s">
        <v>122</v>
      </c>
      <c r="D26" s="34" t="s">
        <v>105</v>
      </c>
      <c r="E26" s="44">
        <v>10</v>
      </c>
    </row>
    <row r="27" ht="44" customHeight="1" spans="1:5">
      <c r="A27" s="46">
        <v>27</v>
      </c>
      <c r="B27" s="8" t="s">
        <v>7</v>
      </c>
      <c r="C27" s="45" t="s">
        <v>126</v>
      </c>
      <c r="D27" s="34" t="s">
        <v>108</v>
      </c>
      <c r="E27" s="44">
        <v>10</v>
      </c>
    </row>
    <row r="28" ht="44" customHeight="1" spans="1:5">
      <c r="A28" s="46">
        <v>28</v>
      </c>
      <c r="B28" s="8" t="s">
        <v>103</v>
      </c>
      <c r="C28" s="45" t="s">
        <v>126</v>
      </c>
      <c r="D28" s="34" t="s">
        <v>105</v>
      </c>
      <c r="E28" s="44">
        <v>10</v>
      </c>
    </row>
    <row r="29" ht="44" customHeight="1" spans="1:5">
      <c r="A29" s="46">
        <v>29</v>
      </c>
      <c r="B29" s="8" t="s">
        <v>127</v>
      </c>
      <c r="C29" s="45" t="s">
        <v>128</v>
      </c>
      <c r="D29" s="34" t="s">
        <v>116</v>
      </c>
      <c r="E29" s="44">
        <v>10</v>
      </c>
    </row>
    <row r="30" ht="44" customHeight="1" spans="1:5">
      <c r="A30" s="46">
        <v>30</v>
      </c>
      <c r="B30" s="8" t="s">
        <v>49</v>
      </c>
      <c r="C30" s="45" t="s">
        <v>129</v>
      </c>
      <c r="D30" s="34" t="s">
        <v>116</v>
      </c>
      <c r="E30" s="44">
        <v>10</v>
      </c>
    </row>
    <row r="31" ht="44" customHeight="1" spans="1:5">
      <c r="A31" s="46">
        <v>31</v>
      </c>
      <c r="B31" s="8" t="s">
        <v>103</v>
      </c>
      <c r="C31" s="45" t="s">
        <v>130</v>
      </c>
      <c r="D31" s="34" t="s">
        <v>105</v>
      </c>
      <c r="E31" s="44">
        <v>10</v>
      </c>
    </row>
    <row r="32" ht="44" customHeight="1" spans="1:5">
      <c r="A32" s="46">
        <v>32</v>
      </c>
      <c r="B32" s="8" t="s">
        <v>103</v>
      </c>
      <c r="C32" s="45" t="s">
        <v>131</v>
      </c>
      <c r="D32" s="34" t="s">
        <v>105</v>
      </c>
      <c r="E32" s="44">
        <v>10</v>
      </c>
    </row>
    <row r="33" ht="44" customHeight="1" spans="1:5">
      <c r="A33" s="46">
        <v>33</v>
      </c>
      <c r="B33" s="8" t="s">
        <v>103</v>
      </c>
      <c r="C33" s="45" t="s">
        <v>132</v>
      </c>
      <c r="D33" s="34" t="s">
        <v>105</v>
      </c>
      <c r="E33" s="44">
        <v>10</v>
      </c>
    </row>
    <row r="34" ht="44" customHeight="1" spans="1:5">
      <c r="A34" s="46">
        <v>34</v>
      </c>
      <c r="B34" s="8" t="s">
        <v>49</v>
      </c>
      <c r="C34" s="45" t="s">
        <v>133</v>
      </c>
      <c r="D34" s="34" t="s">
        <v>116</v>
      </c>
      <c r="E34" s="44">
        <v>10</v>
      </c>
    </row>
    <row r="35" ht="44" customHeight="1" spans="1:5">
      <c r="A35" s="46">
        <v>35</v>
      </c>
      <c r="B35" s="8" t="s">
        <v>134</v>
      </c>
      <c r="C35" s="45" t="s">
        <v>135</v>
      </c>
      <c r="D35" s="34" t="s">
        <v>136</v>
      </c>
      <c r="E35" s="44">
        <v>20</v>
      </c>
    </row>
    <row r="36" ht="44" customHeight="1" spans="1:5">
      <c r="A36" s="46"/>
      <c r="B36" s="8" t="s">
        <v>137</v>
      </c>
      <c r="C36" s="45" t="s">
        <v>135</v>
      </c>
      <c r="D36" s="34" t="s">
        <v>138</v>
      </c>
      <c r="E36" s="44">
        <v>5</v>
      </c>
    </row>
    <row r="37" ht="44" customHeight="1" spans="1:5">
      <c r="A37" s="46"/>
      <c r="B37" s="8" t="s">
        <v>139</v>
      </c>
      <c r="C37" s="45" t="s">
        <v>135</v>
      </c>
      <c r="D37" s="34" t="s">
        <v>138</v>
      </c>
      <c r="E37" s="44">
        <v>5</v>
      </c>
    </row>
    <row r="38" ht="44" customHeight="1" spans="1:5">
      <c r="A38" s="46">
        <v>36</v>
      </c>
      <c r="B38" s="8" t="s">
        <v>140</v>
      </c>
      <c r="C38" s="45" t="s">
        <v>135</v>
      </c>
      <c r="D38" s="34" t="s">
        <v>141</v>
      </c>
      <c r="E38" s="44">
        <v>20</v>
      </c>
    </row>
    <row r="39" ht="44" customHeight="1" spans="1:5">
      <c r="A39" s="46">
        <v>37</v>
      </c>
      <c r="B39" s="8" t="s">
        <v>103</v>
      </c>
      <c r="C39" s="45" t="s">
        <v>142</v>
      </c>
      <c r="D39" s="34" t="s">
        <v>105</v>
      </c>
      <c r="E39" s="47">
        <v>10</v>
      </c>
    </row>
    <row r="40" ht="44" customHeight="1" spans="1:5">
      <c r="A40" s="46">
        <v>38</v>
      </c>
      <c r="B40" s="8" t="s">
        <v>92</v>
      </c>
      <c r="C40" s="45" t="s">
        <v>142</v>
      </c>
      <c r="D40" s="34" t="s">
        <v>143</v>
      </c>
      <c r="E40" s="8">
        <v>5</v>
      </c>
    </row>
    <row r="41" ht="44" customHeight="1" spans="1:5">
      <c r="A41" s="46">
        <v>39</v>
      </c>
      <c r="B41" s="8" t="s">
        <v>16</v>
      </c>
      <c r="C41" s="45" t="s">
        <v>142</v>
      </c>
      <c r="D41" s="34" t="s">
        <v>143</v>
      </c>
      <c r="E41" s="8">
        <v>5</v>
      </c>
    </row>
    <row r="42" ht="44" customHeight="1" spans="1:5">
      <c r="A42" s="46">
        <v>40</v>
      </c>
      <c r="B42" s="8" t="s">
        <v>13</v>
      </c>
      <c r="C42" s="45" t="s">
        <v>142</v>
      </c>
      <c r="D42" s="34" t="s">
        <v>143</v>
      </c>
      <c r="E42" s="8">
        <v>5</v>
      </c>
    </row>
    <row r="43" ht="44" customHeight="1" spans="1:5">
      <c r="A43" s="46">
        <v>41</v>
      </c>
      <c r="B43" s="8" t="s">
        <v>15</v>
      </c>
      <c r="C43" s="45" t="s">
        <v>142</v>
      </c>
      <c r="D43" s="34" t="s">
        <v>143</v>
      </c>
      <c r="E43" s="8">
        <v>5</v>
      </c>
    </row>
    <row r="44" ht="44" customHeight="1" spans="1:5">
      <c r="A44" s="46">
        <v>42</v>
      </c>
      <c r="B44" s="8" t="s">
        <v>35</v>
      </c>
      <c r="C44" s="45" t="s">
        <v>142</v>
      </c>
      <c r="D44" s="34" t="s">
        <v>143</v>
      </c>
      <c r="E44" s="8">
        <v>5</v>
      </c>
    </row>
    <row r="45" ht="44" customHeight="1" spans="1:5">
      <c r="A45" s="46">
        <v>43</v>
      </c>
      <c r="B45" s="8" t="s">
        <v>22</v>
      </c>
      <c r="C45" s="45" t="s">
        <v>142</v>
      </c>
      <c r="D45" s="34" t="s">
        <v>143</v>
      </c>
      <c r="E45" s="8">
        <v>5</v>
      </c>
    </row>
    <row r="46" ht="44" customHeight="1" spans="1:5">
      <c r="A46" s="46">
        <v>44</v>
      </c>
      <c r="B46" s="8" t="s">
        <v>12</v>
      </c>
      <c r="C46" s="45" t="s">
        <v>142</v>
      </c>
      <c r="D46" s="34" t="s">
        <v>144</v>
      </c>
      <c r="E46" s="8">
        <v>5</v>
      </c>
    </row>
    <row r="47" ht="44" customHeight="1" spans="1:5">
      <c r="A47" s="46">
        <v>45</v>
      </c>
      <c r="B47" s="8" t="s">
        <v>7</v>
      </c>
      <c r="C47" s="45" t="s">
        <v>142</v>
      </c>
      <c r="D47" s="34" t="s">
        <v>144</v>
      </c>
      <c r="E47" s="8">
        <v>5</v>
      </c>
    </row>
    <row r="48" ht="44" customHeight="1" spans="1:5">
      <c r="A48" s="46">
        <v>46</v>
      </c>
      <c r="B48" s="8" t="s">
        <v>17</v>
      </c>
      <c r="C48" s="45" t="s">
        <v>142</v>
      </c>
      <c r="D48" s="34" t="s">
        <v>144</v>
      </c>
      <c r="E48" s="8">
        <v>5</v>
      </c>
    </row>
    <row r="49" ht="44" customHeight="1" spans="1:5">
      <c r="A49" s="46">
        <v>47</v>
      </c>
      <c r="B49" s="8" t="s">
        <v>124</v>
      </c>
      <c r="C49" s="45" t="s">
        <v>142</v>
      </c>
      <c r="D49" s="34" t="s">
        <v>144</v>
      </c>
      <c r="E49" s="8">
        <v>5</v>
      </c>
    </row>
    <row r="50" ht="42" customHeight="1" spans="1:5">
      <c r="A50" s="46">
        <v>48</v>
      </c>
      <c r="B50" s="8" t="s">
        <v>125</v>
      </c>
      <c r="C50" s="45" t="s">
        <v>142</v>
      </c>
      <c r="D50" s="34" t="s">
        <v>144</v>
      </c>
      <c r="E50" s="8">
        <v>5</v>
      </c>
    </row>
    <row r="51" ht="43" customHeight="1" spans="1:5">
      <c r="A51" s="46">
        <v>49</v>
      </c>
      <c r="B51" s="8" t="s">
        <v>139</v>
      </c>
      <c r="C51" s="45" t="s">
        <v>142</v>
      </c>
      <c r="D51" s="34" t="s">
        <v>144</v>
      </c>
      <c r="E51" s="8">
        <v>5</v>
      </c>
    </row>
    <row r="52" ht="42" customHeight="1" spans="1:5">
      <c r="A52" s="46">
        <v>41</v>
      </c>
      <c r="B52" s="8"/>
      <c r="C52" s="45"/>
      <c r="D52" s="8"/>
      <c r="E52" s="8"/>
    </row>
    <row r="53" ht="42" customHeight="1" spans="1:5">
      <c r="A53" s="46">
        <v>42</v>
      </c>
      <c r="B53" s="8"/>
      <c r="C53" s="45"/>
      <c r="D53" s="8"/>
      <c r="E53" s="8"/>
    </row>
    <row r="54" ht="42" customHeight="1" spans="1:5">
      <c r="A54" s="46">
        <v>43</v>
      </c>
      <c r="B54" s="8"/>
      <c r="C54" s="45"/>
      <c r="D54" s="8"/>
      <c r="E54" s="40"/>
    </row>
    <row r="55" ht="39" customHeight="1" spans="1:5">
      <c r="A55" s="46">
        <v>44</v>
      </c>
      <c r="B55" s="8"/>
      <c r="C55" s="45"/>
      <c r="D55" s="8"/>
      <c r="E55" s="44"/>
    </row>
    <row r="56" ht="42" customHeight="1" spans="1:5">
      <c r="A56" s="46">
        <v>101</v>
      </c>
      <c r="B56" s="38"/>
      <c r="C56" s="38"/>
      <c r="D56" s="38"/>
      <c r="E56" s="48">
        <f>SUM(E4:E55)</f>
        <v>401</v>
      </c>
    </row>
    <row r="57" ht="38" customHeight="1" spans="1:5">
      <c r="A57" s="46">
        <v>102</v>
      </c>
      <c r="B57" s="49"/>
      <c r="C57" s="49"/>
      <c r="D57" s="49"/>
      <c r="E57" s="49"/>
    </row>
    <row r="58" ht="32" customHeight="1" spans="1:5">
      <c r="A58" s="46">
        <v>103</v>
      </c>
      <c r="B58" s="50"/>
      <c r="C58" s="50"/>
      <c r="D58" s="50"/>
      <c r="E58" s="50"/>
    </row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0" ht="32" customHeight="1"/>
    <row r="81" ht="32" customHeight="1"/>
    <row r="82" ht="32" customHeight="1"/>
    <row r="83" ht="32" customHeight="1"/>
    <row r="84" ht="32" customHeight="1"/>
    <row r="85" ht="32" customHeight="1"/>
    <row r="86" ht="32" customHeight="1"/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32" customHeight="1"/>
    <row r="95" ht="32" customHeight="1"/>
    <row r="96" ht="32" customHeight="1"/>
    <row r="97" ht="32" customHeight="1"/>
    <row r="98" ht="32" customHeight="1"/>
    <row r="99" ht="32" customHeight="1"/>
    <row r="100" ht="32" customHeight="1"/>
    <row r="101" ht="32" customHeight="1"/>
    <row r="102" ht="32" customHeight="1"/>
    <row r="103" ht="32" customHeight="1"/>
    <row r="104" ht="32" customHeight="1"/>
    <row r="105" ht="32" customHeight="1"/>
    <row r="106" ht="32" customHeight="1"/>
    <row r="107" ht="32" customHeight="1"/>
    <row r="108" ht="32" customHeight="1"/>
    <row r="109" ht="32" customHeight="1"/>
    <row r="110" ht="32" customHeight="1"/>
    <row r="111" ht="32" customHeight="1"/>
    <row r="112" ht="32" customHeight="1"/>
    <row r="113" ht="32" customHeight="1"/>
    <row r="114" ht="32" customHeight="1"/>
    <row r="115" ht="32" customHeight="1"/>
    <row r="116" ht="32" customHeight="1"/>
    <row r="117" ht="47" customHeight="1"/>
    <row r="118" ht="47" customHeight="1"/>
  </sheetData>
  <mergeCells count="2">
    <mergeCell ref="A1:E1"/>
    <mergeCell ref="A2:E2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D20" sqref="D20"/>
    </sheetView>
  </sheetViews>
  <sheetFormatPr defaultColWidth="9" defaultRowHeight="13.5" outlineLevelCol="4"/>
  <cols>
    <col min="1" max="1" width="7.5" customWidth="1"/>
    <col min="2" max="2" width="19.875" customWidth="1"/>
    <col min="3" max="3" width="17.25" customWidth="1"/>
    <col min="4" max="4" width="40.625" customWidth="1"/>
    <col min="5" max="5" width="10.625" customWidth="1"/>
  </cols>
  <sheetData>
    <row r="1" ht="31.5" customHeight="1" spans="1:5">
      <c r="A1" s="30" t="s">
        <v>0</v>
      </c>
      <c r="B1" s="30"/>
      <c r="C1" s="30"/>
      <c r="D1" s="30"/>
      <c r="E1" s="30"/>
    </row>
    <row r="2" ht="27" customHeight="1" spans="1:5">
      <c r="A2" s="31" t="s">
        <v>1</v>
      </c>
      <c r="B2" s="31"/>
      <c r="C2" s="31"/>
      <c r="D2" s="31"/>
      <c r="E2" s="31"/>
    </row>
    <row r="3" ht="28" customHeight="1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42" customHeight="1" spans="1:5">
      <c r="A4" s="38">
        <v>1</v>
      </c>
      <c r="B4" s="8" t="s">
        <v>7</v>
      </c>
      <c r="C4" s="14">
        <v>46057</v>
      </c>
      <c r="D4" s="34" t="s">
        <v>145</v>
      </c>
      <c r="E4" s="8">
        <v>10</v>
      </c>
    </row>
    <row r="5" ht="44" customHeight="1" spans="1:5">
      <c r="A5" s="38">
        <v>2</v>
      </c>
      <c r="B5" s="8" t="s">
        <v>139</v>
      </c>
      <c r="C5" s="14">
        <v>46057</v>
      </c>
      <c r="D5" s="34" t="s">
        <v>146</v>
      </c>
      <c r="E5" s="8">
        <v>5</v>
      </c>
    </row>
    <row r="6" ht="44" customHeight="1" spans="1:5">
      <c r="A6" s="38">
        <v>3</v>
      </c>
      <c r="B6" s="8" t="s">
        <v>39</v>
      </c>
      <c r="C6" s="14">
        <v>46057</v>
      </c>
      <c r="D6" s="34" t="s">
        <v>146</v>
      </c>
      <c r="E6" s="8">
        <v>5</v>
      </c>
    </row>
    <row r="7" ht="44" customHeight="1" spans="1:5">
      <c r="A7" s="38">
        <v>4</v>
      </c>
      <c r="B7" s="8" t="s">
        <v>7</v>
      </c>
      <c r="C7" s="14">
        <v>46058</v>
      </c>
      <c r="D7" s="34" t="s">
        <v>145</v>
      </c>
      <c r="E7" s="8">
        <v>10</v>
      </c>
    </row>
    <row r="8" ht="44" customHeight="1" spans="1:5">
      <c r="A8" s="38">
        <v>5</v>
      </c>
      <c r="B8" s="8" t="s">
        <v>7</v>
      </c>
      <c r="C8" s="14">
        <v>46059</v>
      </c>
      <c r="D8" s="34" t="s">
        <v>145</v>
      </c>
      <c r="E8" s="8">
        <v>10</v>
      </c>
    </row>
    <row r="9" ht="44" customHeight="1" spans="1:5">
      <c r="A9" s="38">
        <v>6</v>
      </c>
      <c r="B9" s="8" t="s">
        <v>127</v>
      </c>
      <c r="C9" s="14">
        <v>46059</v>
      </c>
      <c r="D9" s="34" t="s">
        <v>147</v>
      </c>
      <c r="E9" s="8">
        <v>10</v>
      </c>
    </row>
    <row r="10" ht="44" customHeight="1" spans="1:5">
      <c r="A10" s="38">
        <v>7</v>
      </c>
      <c r="B10" s="8" t="s">
        <v>7</v>
      </c>
      <c r="C10" s="14">
        <v>46060</v>
      </c>
      <c r="D10" s="34" t="s">
        <v>145</v>
      </c>
      <c r="E10" s="8">
        <v>10</v>
      </c>
    </row>
    <row r="11" ht="44" customHeight="1" spans="1:5">
      <c r="A11" s="38">
        <v>8</v>
      </c>
      <c r="B11" s="8" t="s">
        <v>127</v>
      </c>
      <c r="C11" s="14">
        <v>46060</v>
      </c>
      <c r="D11" s="34" t="s">
        <v>147</v>
      </c>
      <c r="E11" s="8">
        <v>10</v>
      </c>
    </row>
    <row r="12" ht="44" customHeight="1" spans="1:5">
      <c r="A12" s="38">
        <v>9</v>
      </c>
      <c r="B12" s="8" t="s">
        <v>56</v>
      </c>
      <c r="C12" s="14">
        <v>46061</v>
      </c>
      <c r="D12" s="34" t="s">
        <v>148</v>
      </c>
      <c r="E12" s="8">
        <v>10</v>
      </c>
    </row>
    <row r="13" ht="44" customHeight="1" spans="1:5">
      <c r="A13" s="38">
        <v>10</v>
      </c>
      <c r="B13" s="8" t="s">
        <v>27</v>
      </c>
      <c r="C13" s="14">
        <v>46061</v>
      </c>
      <c r="D13" s="34" t="s">
        <v>149</v>
      </c>
      <c r="E13" s="8">
        <v>-5</v>
      </c>
    </row>
    <row r="14" ht="44" customHeight="1" spans="1:5">
      <c r="A14" s="38">
        <v>11</v>
      </c>
      <c r="B14" s="8" t="s">
        <v>56</v>
      </c>
      <c r="C14" s="14">
        <v>46062</v>
      </c>
      <c r="D14" s="34" t="s">
        <v>150</v>
      </c>
      <c r="E14" s="8">
        <v>5</v>
      </c>
    </row>
    <row r="15" ht="44" customHeight="1" spans="1:5">
      <c r="A15" s="38">
        <v>12</v>
      </c>
      <c r="B15" s="8" t="s">
        <v>151</v>
      </c>
      <c r="C15" s="14">
        <v>46062</v>
      </c>
      <c r="D15" s="34" t="s">
        <v>150</v>
      </c>
      <c r="E15" s="8">
        <v>5</v>
      </c>
    </row>
    <row r="16" ht="44" customHeight="1" spans="1:5">
      <c r="A16" s="38">
        <v>13</v>
      </c>
      <c r="B16" s="8" t="s">
        <v>7</v>
      </c>
      <c r="C16" s="14">
        <v>46066</v>
      </c>
      <c r="D16" s="34" t="s">
        <v>152</v>
      </c>
      <c r="E16" s="8">
        <v>10</v>
      </c>
    </row>
    <row r="17" ht="44" customHeight="1" spans="1:5">
      <c r="A17" s="38">
        <v>14</v>
      </c>
      <c r="B17" s="8" t="s">
        <v>127</v>
      </c>
      <c r="C17" s="14">
        <v>46075</v>
      </c>
      <c r="D17" s="34" t="s">
        <v>153</v>
      </c>
      <c r="E17" s="8">
        <v>-5</v>
      </c>
    </row>
    <row r="18" ht="44" customHeight="1" spans="1:5">
      <c r="A18" s="38">
        <v>15</v>
      </c>
      <c r="B18" s="8" t="s">
        <v>56</v>
      </c>
      <c r="C18" s="14">
        <v>46079</v>
      </c>
      <c r="D18" s="34" t="s">
        <v>148</v>
      </c>
      <c r="E18" s="8">
        <v>10</v>
      </c>
    </row>
    <row r="19" ht="44" customHeight="1" spans="1:5">
      <c r="A19" s="38">
        <v>16</v>
      </c>
      <c r="B19" s="8" t="s">
        <v>56</v>
      </c>
      <c r="C19" s="14">
        <v>46080</v>
      </c>
      <c r="D19" s="34" t="s">
        <v>148</v>
      </c>
      <c r="E19" s="8">
        <v>5</v>
      </c>
    </row>
    <row r="20" ht="44" customHeight="1" spans="1:5">
      <c r="A20" s="38">
        <v>17</v>
      </c>
      <c r="B20" s="8" t="s">
        <v>16</v>
      </c>
      <c r="C20" s="14">
        <v>46080</v>
      </c>
      <c r="D20" s="34" t="s">
        <v>154</v>
      </c>
      <c r="E20" s="8">
        <v>-10</v>
      </c>
    </row>
    <row r="21" ht="44" customHeight="1" spans="1:5">
      <c r="A21" s="38">
        <v>18</v>
      </c>
      <c r="B21" s="8" t="s">
        <v>87</v>
      </c>
      <c r="C21" s="14">
        <v>46080</v>
      </c>
      <c r="D21" s="34" t="s">
        <v>148</v>
      </c>
      <c r="E21" s="8">
        <v>5</v>
      </c>
    </row>
    <row r="22" ht="32" customHeight="1"/>
    <row r="23" ht="32" customHeight="1"/>
    <row r="24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32" customHeight="1"/>
    <row r="45" ht="32" customHeight="1"/>
    <row r="46" ht="32" customHeight="1"/>
    <row r="47" ht="32" customHeight="1"/>
    <row r="48" ht="32" customHeight="1"/>
    <row r="49" ht="32" customHeight="1"/>
    <row r="50" ht="32" customHeight="1"/>
    <row r="51" ht="32" customHeight="1"/>
    <row r="52" ht="32" customHeight="1"/>
    <row r="53" ht="32" customHeight="1"/>
    <row r="54" ht="32" customHeight="1"/>
    <row r="55" ht="32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0" ht="47" customHeight="1"/>
    <row r="81" ht="47" customHeight="1"/>
  </sheetData>
  <mergeCells count="2">
    <mergeCell ref="A1:E1"/>
    <mergeCell ref="A2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topLeftCell="A73" workbookViewId="0">
      <selection activeCell="D67" sqref="D67:E67"/>
    </sheetView>
  </sheetViews>
  <sheetFormatPr defaultColWidth="9" defaultRowHeight="13.5" outlineLevelCol="4"/>
  <cols>
    <col min="1" max="1" width="7.5" customWidth="1"/>
    <col min="2" max="2" width="19.875" customWidth="1"/>
    <col min="3" max="3" width="17.25" customWidth="1"/>
    <col min="4" max="4" width="40.625" customWidth="1"/>
    <col min="5" max="5" width="10.625" customWidth="1"/>
  </cols>
  <sheetData>
    <row r="1" ht="31.5" customHeight="1" spans="1:5">
      <c r="A1" s="30" t="s">
        <v>0</v>
      </c>
      <c r="B1" s="30"/>
      <c r="C1" s="30"/>
      <c r="D1" s="30"/>
      <c r="E1" s="30"/>
    </row>
    <row r="2" ht="27" customHeight="1" spans="1:5">
      <c r="A2" s="31" t="s">
        <v>155</v>
      </c>
      <c r="B2" s="31"/>
      <c r="C2" s="31"/>
      <c r="D2" s="31"/>
      <c r="E2" s="31"/>
    </row>
    <row r="3" ht="28" customHeight="1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32" customHeight="1" spans="1:5">
      <c r="A4" s="38">
        <v>1</v>
      </c>
      <c r="B4" s="8" t="s">
        <v>113</v>
      </c>
      <c r="C4" s="14" t="s">
        <v>156</v>
      </c>
      <c r="D4" s="34" t="s">
        <v>157</v>
      </c>
      <c r="E4" s="8">
        <v>10</v>
      </c>
    </row>
    <row r="5" ht="32" customHeight="1" spans="1:5">
      <c r="A5" s="38">
        <v>2</v>
      </c>
      <c r="B5" s="8" t="s">
        <v>12</v>
      </c>
      <c r="C5" s="14" t="s">
        <v>156</v>
      </c>
      <c r="D5" s="34" t="s">
        <v>157</v>
      </c>
      <c r="E5" s="8">
        <v>10</v>
      </c>
    </row>
    <row r="6" ht="32" customHeight="1" spans="1:5">
      <c r="A6" s="38">
        <v>3</v>
      </c>
      <c r="B6" s="8" t="s">
        <v>92</v>
      </c>
      <c r="C6" s="14" t="s">
        <v>156</v>
      </c>
      <c r="D6" s="34" t="s">
        <v>157</v>
      </c>
      <c r="E6" s="8">
        <v>10</v>
      </c>
    </row>
    <row r="7" ht="32" customHeight="1" spans="1:5">
      <c r="A7" s="38">
        <v>4</v>
      </c>
      <c r="B7" s="8" t="s">
        <v>99</v>
      </c>
      <c r="C7" s="14" t="s">
        <v>156</v>
      </c>
      <c r="D7" s="34" t="s">
        <v>158</v>
      </c>
      <c r="E7" s="8">
        <v>5</v>
      </c>
    </row>
    <row r="8" ht="32" customHeight="1" spans="1:5">
      <c r="A8" s="38">
        <v>5</v>
      </c>
      <c r="B8" s="8" t="s">
        <v>46</v>
      </c>
      <c r="C8" s="14" t="s">
        <v>156</v>
      </c>
      <c r="D8" s="34" t="s">
        <v>158</v>
      </c>
      <c r="E8" s="8">
        <v>5</v>
      </c>
    </row>
    <row r="9" ht="32" customHeight="1" spans="1:5">
      <c r="A9" s="38">
        <v>6</v>
      </c>
      <c r="B9" s="8" t="s">
        <v>18</v>
      </c>
      <c r="C9" s="14">
        <v>46083</v>
      </c>
      <c r="D9" s="34" t="s">
        <v>159</v>
      </c>
      <c r="E9" s="8">
        <v>-20</v>
      </c>
    </row>
    <row r="10" ht="32" customHeight="1" spans="1:5">
      <c r="A10" s="38">
        <v>7</v>
      </c>
      <c r="B10" s="8" t="s">
        <v>160</v>
      </c>
      <c r="C10" s="14">
        <v>46083</v>
      </c>
      <c r="D10" s="34" t="s">
        <v>105</v>
      </c>
      <c r="E10" s="8">
        <v>10</v>
      </c>
    </row>
    <row r="11" ht="32" customHeight="1" spans="1:5">
      <c r="A11" s="38">
        <v>8</v>
      </c>
      <c r="B11" s="8" t="s">
        <v>160</v>
      </c>
      <c r="C11" s="14">
        <v>46084</v>
      </c>
      <c r="D11" s="34" t="s">
        <v>105</v>
      </c>
      <c r="E11" s="8">
        <v>10</v>
      </c>
    </row>
    <row r="12" ht="44" customHeight="1" spans="1:5">
      <c r="A12" s="38">
        <v>9</v>
      </c>
      <c r="B12" s="8" t="s">
        <v>160</v>
      </c>
      <c r="C12" s="14">
        <v>46087</v>
      </c>
      <c r="D12" s="34" t="s">
        <v>161</v>
      </c>
      <c r="E12" s="8">
        <v>-5</v>
      </c>
    </row>
    <row r="13" ht="32" customHeight="1" spans="1:5">
      <c r="A13" s="38">
        <v>10</v>
      </c>
      <c r="B13" s="8" t="s">
        <v>46</v>
      </c>
      <c r="C13" s="14">
        <v>46092</v>
      </c>
      <c r="D13" s="34" t="s">
        <v>162</v>
      </c>
      <c r="E13" s="8">
        <v>10</v>
      </c>
    </row>
    <row r="14" ht="32" customHeight="1" spans="1:5">
      <c r="A14" s="38">
        <v>11</v>
      </c>
      <c r="B14" s="8" t="s">
        <v>99</v>
      </c>
      <c r="C14" s="14">
        <v>46092</v>
      </c>
      <c r="D14" s="34" t="s">
        <v>162</v>
      </c>
      <c r="E14" s="8">
        <v>10</v>
      </c>
    </row>
    <row r="15" ht="32" customHeight="1" spans="1:5">
      <c r="A15" s="38">
        <v>12</v>
      </c>
      <c r="B15" s="8" t="s">
        <v>70</v>
      </c>
      <c r="C15" s="14">
        <v>46092</v>
      </c>
      <c r="D15" s="34" t="s">
        <v>162</v>
      </c>
      <c r="E15" s="8">
        <v>10</v>
      </c>
    </row>
    <row r="16" ht="32" customHeight="1" spans="1:5">
      <c r="A16" s="38">
        <v>13</v>
      </c>
      <c r="B16" s="8" t="s">
        <v>163</v>
      </c>
      <c r="C16" s="14">
        <v>46092</v>
      </c>
      <c r="D16" s="34" t="s">
        <v>162</v>
      </c>
      <c r="E16" s="8">
        <v>10</v>
      </c>
    </row>
    <row r="17" ht="32" customHeight="1" spans="1:5">
      <c r="A17" s="38">
        <v>14</v>
      </c>
      <c r="B17" s="8" t="s">
        <v>113</v>
      </c>
      <c r="C17" s="14">
        <v>46092</v>
      </c>
      <c r="D17" s="34" t="s">
        <v>162</v>
      </c>
      <c r="E17" s="8">
        <v>10</v>
      </c>
    </row>
    <row r="18" ht="32" customHeight="1" spans="1:5">
      <c r="A18" s="38">
        <v>15</v>
      </c>
      <c r="B18" s="8" t="s">
        <v>56</v>
      </c>
      <c r="C18" s="14">
        <v>46092</v>
      </c>
      <c r="D18" s="34" t="s">
        <v>162</v>
      </c>
      <c r="E18" s="8">
        <v>10</v>
      </c>
    </row>
    <row r="19" ht="32" customHeight="1" spans="1:5">
      <c r="A19" s="38">
        <v>16</v>
      </c>
      <c r="B19" s="8" t="s">
        <v>46</v>
      </c>
      <c r="C19" s="14">
        <v>46093</v>
      </c>
      <c r="D19" s="34" t="s">
        <v>164</v>
      </c>
      <c r="E19" s="8">
        <v>20</v>
      </c>
    </row>
    <row r="20" ht="32" customHeight="1" spans="1:5">
      <c r="A20" s="38">
        <v>17</v>
      </c>
      <c r="B20" s="8" t="s">
        <v>99</v>
      </c>
      <c r="C20" s="14">
        <v>46093</v>
      </c>
      <c r="D20" s="34" t="s">
        <v>164</v>
      </c>
      <c r="E20" s="8">
        <v>20</v>
      </c>
    </row>
    <row r="21" ht="32" customHeight="1" spans="1:5">
      <c r="A21" s="38">
        <v>18</v>
      </c>
      <c r="B21" s="8" t="s">
        <v>70</v>
      </c>
      <c r="C21" s="14">
        <v>46093</v>
      </c>
      <c r="D21" s="34" t="s">
        <v>164</v>
      </c>
      <c r="E21" s="8">
        <v>20</v>
      </c>
    </row>
    <row r="22" ht="32" customHeight="1" spans="1:5">
      <c r="A22" s="38">
        <v>19</v>
      </c>
      <c r="B22" s="8" t="s">
        <v>163</v>
      </c>
      <c r="C22" s="14">
        <v>46093</v>
      </c>
      <c r="D22" s="34" t="s">
        <v>164</v>
      </c>
      <c r="E22" s="8">
        <v>20</v>
      </c>
    </row>
    <row r="23" ht="32" customHeight="1" spans="1:5">
      <c r="A23" s="38">
        <v>20</v>
      </c>
      <c r="B23" s="8" t="s">
        <v>113</v>
      </c>
      <c r="C23" s="14">
        <v>46093</v>
      </c>
      <c r="D23" s="34" t="s">
        <v>164</v>
      </c>
      <c r="E23" s="8">
        <v>20</v>
      </c>
    </row>
    <row r="24" ht="32" customHeight="1" spans="1:5">
      <c r="A24" s="38">
        <v>21</v>
      </c>
      <c r="B24" s="8" t="s">
        <v>43</v>
      </c>
      <c r="C24" s="14">
        <v>46093</v>
      </c>
      <c r="D24" s="34" t="s">
        <v>164</v>
      </c>
      <c r="E24" s="8">
        <v>20</v>
      </c>
    </row>
    <row r="25" ht="32" customHeight="1" spans="1:5">
      <c r="A25" s="38">
        <v>22</v>
      </c>
      <c r="B25" s="8" t="s">
        <v>92</v>
      </c>
      <c r="C25" s="14">
        <v>46094</v>
      </c>
      <c r="D25" s="34" t="s">
        <v>164</v>
      </c>
      <c r="E25" s="8">
        <v>20</v>
      </c>
    </row>
    <row r="26" ht="32" customHeight="1" spans="1:5">
      <c r="A26" s="38">
        <v>23</v>
      </c>
      <c r="B26" s="8" t="s">
        <v>27</v>
      </c>
      <c r="C26" s="14">
        <v>46094</v>
      </c>
      <c r="D26" s="34" t="s">
        <v>164</v>
      </c>
      <c r="E26" s="8">
        <v>20</v>
      </c>
    </row>
    <row r="27" ht="32" customHeight="1" spans="1:5">
      <c r="A27" s="38">
        <v>24</v>
      </c>
      <c r="B27" s="8" t="s">
        <v>165</v>
      </c>
      <c r="C27" s="14">
        <v>46094</v>
      </c>
      <c r="D27" s="34" t="s">
        <v>164</v>
      </c>
      <c r="E27" s="8">
        <v>20</v>
      </c>
    </row>
    <row r="28" ht="32" customHeight="1" spans="1:5">
      <c r="A28" s="38">
        <v>25</v>
      </c>
      <c r="B28" s="8" t="s">
        <v>86</v>
      </c>
      <c r="C28" s="14">
        <v>46094</v>
      </c>
      <c r="D28" s="34" t="s">
        <v>164</v>
      </c>
      <c r="E28" s="8">
        <v>20</v>
      </c>
    </row>
    <row r="29" ht="32" customHeight="1" spans="1:5">
      <c r="A29" s="38">
        <v>26</v>
      </c>
      <c r="B29" s="8" t="s">
        <v>29</v>
      </c>
      <c r="C29" s="14">
        <v>46094</v>
      </c>
      <c r="D29" s="34" t="s">
        <v>164</v>
      </c>
      <c r="E29" s="8">
        <v>20</v>
      </c>
    </row>
    <row r="30" ht="32" customHeight="1" spans="1:5">
      <c r="A30" s="38">
        <v>27</v>
      </c>
      <c r="B30" s="8" t="s">
        <v>35</v>
      </c>
      <c r="C30" s="14">
        <v>46094</v>
      </c>
      <c r="D30" s="34" t="s">
        <v>164</v>
      </c>
      <c r="E30" s="8">
        <v>20</v>
      </c>
    </row>
    <row r="31" ht="32" customHeight="1" spans="1:5">
      <c r="A31" s="38">
        <v>28</v>
      </c>
      <c r="B31" s="8" t="s">
        <v>12</v>
      </c>
      <c r="C31" s="14">
        <v>46095</v>
      </c>
      <c r="D31" s="34" t="s">
        <v>164</v>
      </c>
      <c r="E31" s="8">
        <v>20</v>
      </c>
    </row>
    <row r="32" ht="32" customHeight="1" spans="1:5">
      <c r="A32" s="38">
        <v>29</v>
      </c>
      <c r="B32" s="8" t="s">
        <v>74</v>
      </c>
      <c r="C32" s="14">
        <v>46095</v>
      </c>
      <c r="D32" s="34" t="s">
        <v>164</v>
      </c>
      <c r="E32" s="8">
        <v>20</v>
      </c>
    </row>
    <row r="33" ht="32" customHeight="1" spans="1:5">
      <c r="A33" s="38">
        <v>30</v>
      </c>
      <c r="B33" s="8" t="s">
        <v>80</v>
      </c>
      <c r="C33" s="14">
        <v>46095</v>
      </c>
      <c r="D33" s="34" t="s">
        <v>164</v>
      </c>
      <c r="E33" s="8">
        <v>20</v>
      </c>
    </row>
    <row r="34" ht="32" customHeight="1" spans="1:5">
      <c r="A34" s="38">
        <v>31</v>
      </c>
      <c r="B34" s="8" t="s">
        <v>125</v>
      </c>
      <c r="C34" s="14">
        <v>46095</v>
      </c>
      <c r="D34" s="34" t="s">
        <v>164</v>
      </c>
      <c r="E34" s="8">
        <v>20</v>
      </c>
    </row>
    <row r="35" ht="32" customHeight="1" spans="1:5">
      <c r="A35" s="38">
        <v>32</v>
      </c>
      <c r="B35" s="8" t="s">
        <v>37</v>
      </c>
      <c r="C35" s="14">
        <v>46095</v>
      </c>
      <c r="D35" s="34" t="s">
        <v>164</v>
      </c>
      <c r="E35" s="8">
        <v>20</v>
      </c>
    </row>
    <row r="36" ht="32" customHeight="1" spans="1:5">
      <c r="A36" s="38">
        <v>33</v>
      </c>
      <c r="B36" s="8" t="s">
        <v>77</v>
      </c>
      <c r="C36" s="14">
        <v>46095</v>
      </c>
      <c r="D36" s="34" t="s">
        <v>164</v>
      </c>
      <c r="E36" s="8">
        <v>20</v>
      </c>
    </row>
    <row r="37" ht="32" customHeight="1" spans="1:5">
      <c r="A37" s="38">
        <v>34</v>
      </c>
      <c r="B37" s="8" t="s">
        <v>35</v>
      </c>
      <c r="C37" s="14">
        <v>46096</v>
      </c>
      <c r="D37" s="34" t="s">
        <v>162</v>
      </c>
      <c r="E37" s="8">
        <v>10</v>
      </c>
    </row>
    <row r="38" ht="32" customHeight="1" spans="1:5">
      <c r="A38" s="38">
        <v>35</v>
      </c>
      <c r="B38" s="8" t="s">
        <v>16</v>
      </c>
      <c r="C38" s="14">
        <v>46096</v>
      </c>
      <c r="D38" s="34" t="s">
        <v>162</v>
      </c>
      <c r="E38" s="8">
        <v>10</v>
      </c>
    </row>
    <row r="39" ht="32" customHeight="1" spans="1:5">
      <c r="A39" s="38">
        <v>36</v>
      </c>
      <c r="B39" s="8" t="s">
        <v>15</v>
      </c>
      <c r="C39" s="14">
        <v>46096</v>
      </c>
      <c r="D39" s="34" t="s">
        <v>162</v>
      </c>
      <c r="E39" s="8">
        <v>10</v>
      </c>
    </row>
    <row r="40" ht="32" customHeight="1" spans="1:5">
      <c r="A40" s="38">
        <v>37</v>
      </c>
      <c r="B40" s="8" t="s">
        <v>56</v>
      </c>
      <c r="C40" s="14">
        <v>46097</v>
      </c>
      <c r="D40" s="34" t="s">
        <v>166</v>
      </c>
      <c r="E40" s="8">
        <v>5</v>
      </c>
    </row>
    <row r="41" ht="32" customHeight="1" spans="1:5">
      <c r="A41" s="38">
        <v>38</v>
      </c>
      <c r="B41" s="8" t="s">
        <v>99</v>
      </c>
      <c r="C41" s="14">
        <v>46097</v>
      </c>
      <c r="D41" s="34" t="s">
        <v>166</v>
      </c>
      <c r="E41" s="8">
        <v>5</v>
      </c>
    </row>
    <row r="42" ht="32" customHeight="1" spans="1:5">
      <c r="A42" s="38">
        <v>39</v>
      </c>
      <c r="B42" s="8" t="s">
        <v>56</v>
      </c>
      <c r="C42" s="14">
        <v>46098</v>
      </c>
      <c r="D42" s="34" t="s">
        <v>166</v>
      </c>
      <c r="E42" s="8">
        <v>5</v>
      </c>
    </row>
    <row r="43" ht="32" customHeight="1" spans="1:5">
      <c r="A43" s="38">
        <v>40</v>
      </c>
      <c r="B43" s="8" t="s">
        <v>99</v>
      </c>
      <c r="C43" s="14">
        <v>46098</v>
      </c>
      <c r="D43" s="34" t="s">
        <v>166</v>
      </c>
      <c r="E43" s="8">
        <v>5</v>
      </c>
    </row>
    <row r="44" ht="32" customHeight="1" spans="1:5">
      <c r="A44" s="38">
        <v>41</v>
      </c>
      <c r="B44" s="8" t="s">
        <v>56</v>
      </c>
      <c r="C44" s="14">
        <v>46099</v>
      </c>
      <c r="D44" s="34" t="s">
        <v>166</v>
      </c>
      <c r="E44" s="8">
        <v>5</v>
      </c>
    </row>
    <row r="45" ht="32" customHeight="1" spans="1:5">
      <c r="A45" s="38">
        <v>42</v>
      </c>
      <c r="B45" s="8" t="s">
        <v>99</v>
      </c>
      <c r="C45" s="14">
        <v>46099</v>
      </c>
      <c r="D45" s="34" t="s">
        <v>166</v>
      </c>
      <c r="E45" s="8">
        <v>5</v>
      </c>
    </row>
    <row r="46" ht="32" customHeight="1" spans="1:5">
      <c r="A46" s="38">
        <v>43</v>
      </c>
      <c r="B46" s="8" t="s">
        <v>56</v>
      </c>
      <c r="C46" s="14">
        <v>46100</v>
      </c>
      <c r="D46" s="34" t="s">
        <v>166</v>
      </c>
      <c r="E46" s="8">
        <v>5</v>
      </c>
    </row>
    <row r="47" ht="32" customHeight="1" spans="1:5">
      <c r="A47" s="38">
        <v>44</v>
      </c>
      <c r="B47" s="8" t="s">
        <v>99</v>
      </c>
      <c r="C47" s="14">
        <v>46100</v>
      </c>
      <c r="D47" s="34" t="s">
        <v>166</v>
      </c>
      <c r="E47" s="8">
        <v>5</v>
      </c>
    </row>
    <row r="48" ht="32" customHeight="1" spans="1:5">
      <c r="A48" s="38">
        <v>45</v>
      </c>
      <c r="B48" s="8" t="s">
        <v>56</v>
      </c>
      <c r="C48" s="14">
        <v>46103</v>
      </c>
      <c r="D48" s="34" t="s">
        <v>166</v>
      </c>
      <c r="E48" s="8">
        <v>5</v>
      </c>
    </row>
    <row r="49" ht="32" customHeight="1" spans="1:5">
      <c r="A49" s="38">
        <v>46</v>
      </c>
      <c r="B49" s="8" t="s">
        <v>99</v>
      </c>
      <c r="C49" s="14">
        <v>46103</v>
      </c>
      <c r="D49" s="34" t="s">
        <v>166</v>
      </c>
      <c r="E49" s="8">
        <v>5</v>
      </c>
    </row>
    <row r="50" ht="32" customHeight="1" spans="1:5">
      <c r="A50" s="38">
        <v>47</v>
      </c>
      <c r="B50" s="8" t="s">
        <v>56</v>
      </c>
      <c r="C50" s="14">
        <v>46104</v>
      </c>
      <c r="D50" s="34" t="s">
        <v>166</v>
      </c>
      <c r="E50" s="8">
        <v>5</v>
      </c>
    </row>
    <row r="51" ht="32" customHeight="1" spans="1:5">
      <c r="A51" s="38">
        <v>48</v>
      </c>
      <c r="B51" s="8" t="s">
        <v>99</v>
      </c>
      <c r="C51" s="14">
        <v>46104</v>
      </c>
      <c r="D51" s="34" t="s">
        <v>166</v>
      </c>
      <c r="E51" s="8">
        <v>5</v>
      </c>
    </row>
    <row r="52" ht="32" customHeight="1" spans="1:5">
      <c r="A52" s="38">
        <v>49</v>
      </c>
      <c r="B52" s="8" t="s">
        <v>56</v>
      </c>
      <c r="C52" s="14">
        <v>46105</v>
      </c>
      <c r="D52" s="34" t="s">
        <v>166</v>
      </c>
      <c r="E52" s="8">
        <v>5</v>
      </c>
    </row>
    <row r="53" ht="32" customHeight="1" spans="1:5">
      <c r="A53" s="38">
        <v>50</v>
      </c>
      <c r="B53" s="8" t="s">
        <v>99</v>
      </c>
      <c r="C53" s="14">
        <v>46105</v>
      </c>
      <c r="D53" s="34" t="s">
        <v>166</v>
      </c>
      <c r="E53" s="8">
        <v>5</v>
      </c>
    </row>
    <row r="54" ht="32" customHeight="1" spans="1:5">
      <c r="A54" s="38">
        <v>51</v>
      </c>
      <c r="B54" s="8" t="s">
        <v>56</v>
      </c>
      <c r="C54" s="14">
        <v>46106</v>
      </c>
      <c r="D54" s="34" t="s">
        <v>166</v>
      </c>
      <c r="E54" s="8">
        <v>5</v>
      </c>
    </row>
    <row r="55" ht="32" customHeight="1" spans="1:5">
      <c r="A55" s="38">
        <v>52</v>
      </c>
      <c r="B55" s="8" t="s">
        <v>99</v>
      </c>
      <c r="C55" s="14">
        <v>46106</v>
      </c>
      <c r="D55" s="34" t="s">
        <v>166</v>
      </c>
      <c r="E55" s="8">
        <v>5</v>
      </c>
    </row>
    <row r="56" ht="32" customHeight="1" spans="1:5">
      <c r="A56" s="38">
        <v>53</v>
      </c>
      <c r="B56" s="8" t="s">
        <v>56</v>
      </c>
      <c r="C56" s="14">
        <v>46109</v>
      </c>
      <c r="D56" s="34" t="s">
        <v>166</v>
      </c>
      <c r="E56" s="8">
        <v>5</v>
      </c>
    </row>
    <row r="57" ht="32" customHeight="1" spans="1:5">
      <c r="A57" s="38">
        <v>54</v>
      </c>
      <c r="B57" s="8" t="s">
        <v>99</v>
      </c>
      <c r="C57" s="14">
        <v>46109</v>
      </c>
      <c r="D57" s="34" t="s">
        <v>166</v>
      </c>
      <c r="E57" s="8">
        <v>5</v>
      </c>
    </row>
    <row r="58" ht="32" customHeight="1" spans="1:5">
      <c r="A58" s="38">
        <v>55</v>
      </c>
      <c r="B58" s="8" t="s">
        <v>56</v>
      </c>
      <c r="C58" s="14">
        <v>46110</v>
      </c>
      <c r="D58" s="34" t="s">
        <v>166</v>
      </c>
      <c r="E58" s="8">
        <v>5</v>
      </c>
    </row>
    <row r="59" ht="32" customHeight="1" spans="1:5">
      <c r="A59" s="38">
        <v>56</v>
      </c>
      <c r="B59" s="8" t="s">
        <v>99</v>
      </c>
      <c r="C59" s="14">
        <v>46110</v>
      </c>
      <c r="D59" s="34" t="s">
        <v>166</v>
      </c>
      <c r="E59" s="8">
        <v>5</v>
      </c>
    </row>
    <row r="60" ht="32" customHeight="1" spans="1:5">
      <c r="A60" s="38">
        <v>57</v>
      </c>
      <c r="B60" s="8" t="s">
        <v>125</v>
      </c>
      <c r="C60" s="14">
        <v>46111</v>
      </c>
      <c r="D60" s="34" t="s">
        <v>167</v>
      </c>
      <c r="E60" s="8">
        <v>10</v>
      </c>
    </row>
    <row r="61" ht="32" customHeight="1" spans="1:5">
      <c r="A61" s="38">
        <v>58</v>
      </c>
      <c r="B61" s="8" t="s">
        <v>124</v>
      </c>
      <c r="C61" s="14">
        <v>46111</v>
      </c>
      <c r="D61" s="34" t="s">
        <v>167</v>
      </c>
      <c r="E61" s="8">
        <v>10</v>
      </c>
    </row>
    <row r="62" ht="32" customHeight="1" spans="1:5">
      <c r="A62" s="38">
        <v>59</v>
      </c>
      <c r="B62" s="8" t="s">
        <v>12</v>
      </c>
      <c r="C62" s="14">
        <v>46111</v>
      </c>
      <c r="D62" s="34" t="s">
        <v>168</v>
      </c>
      <c r="E62" s="8">
        <v>3</v>
      </c>
    </row>
    <row r="63" ht="32" customHeight="1" spans="1:5">
      <c r="A63" s="38">
        <v>60</v>
      </c>
      <c r="B63" s="8" t="s">
        <v>7</v>
      </c>
      <c r="C63" s="14">
        <v>46111</v>
      </c>
      <c r="D63" s="34" t="s">
        <v>168</v>
      </c>
      <c r="E63" s="8">
        <v>3</v>
      </c>
    </row>
    <row r="64" ht="32" customHeight="1" spans="1:5">
      <c r="A64" s="38">
        <v>61</v>
      </c>
      <c r="B64" s="8" t="s">
        <v>17</v>
      </c>
      <c r="C64" s="14">
        <v>46111</v>
      </c>
      <c r="D64" s="34" t="s">
        <v>168</v>
      </c>
      <c r="E64" s="8">
        <v>3</v>
      </c>
    </row>
    <row r="65" ht="32" customHeight="1" spans="1:5">
      <c r="A65" s="38">
        <v>62</v>
      </c>
      <c r="B65" s="8" t="s">
        <v>113</v>
      </c>
      <c r="C65" s="14">
        <v>46111</v>
      </c>
      <c r="D65" s="34" t="s">
        <v>167</v>
      </c>
      <c r="E65" s="8">
        <v>10</v>
      </c>
    </row>
    <row r="66" ht="32" customHeight="1" spans="1:5">
      <c r="A66" s="38">
        <v>63</v>
      </c>
      <c r="B66" s="8" t="s">
        <v>99</v>
      </c>
      <c r="C66" s="14">
        <v>46111</v>
      </c>
      <c r="D66" s="34" t="s">
        <v>167</v>
      </c>
      <c r="E66" s="8">
        <v>10</v>
      </c>
    </row>
    <row r="67" ht="32" customHeight="1" spans="1:5">
      <c r="A67" s="38">
        <v>64</v>
      </c>
      <c r="B67" s="8" t="s">
        <v>70</v>
      </c>
      <c r="C67" s="14">
        <v>46111</v>
      </c>
      <c r="D67" s="34" t="s">
        <v>168</v>
      </c>
      <c r="E67" s="8">
        <v>3</v>
      </c>
    </row>
    <row r="68" ht="32" customHeight="1" spans="1:5">
      <c r="A68" s="38">
        <v>65</v>
      </c>
      <c r="B68" s="8" t="s">
        <v>46</v>
      </c>
      <c r="C68" s="14">
        <v>46111</v>
      </c>
      <c r="D68" s="34" t="s">
        <v>168</v>
      </c>
      <c r="E68" s="8">
        <v>3</v>
      </c>
    </row>
    <row r="69" ht="32" customHeight="1" spans="1:5">
      <c r="A69" s="38">
        <v>66</v>
      </c>
      <c r="B69" s="8" t="s">
        <v>163</v>
      </c>
      <c r="C69" s="14">
        <v>46111</v>
      </c>
      <c r="D69" s="34" t="s">
        <v>168</v>
      </c>
      <c r="E69" s="8">
        <v>3</v>
      </c>
    </row>
    <row r="70" ht="32" customHeight="1" spans="1:5">
      <c r="A70" s="38">
        <v>67</v>
      </c>
      <c r="B70" s="8" t="s">
        <v>56</v>
      </c>
      <c r="C70" s="14">
        <v>46111</v>
      </c>
      <c r="D70" s="34" t="s">
        <v>166</v>
      </c>
      <c r="E70" s="8">
        <v>5</v>
      </c>
    </row>
    <row r="71" ht="32" customHeight="1" spans="1:5">
      <c r="A71" s="38">
        <v>68</v>
      </c>
      <c r="B71" s="8" t="s">
        <v>99</v>
      </c>
      <c r="C71" s="14">
        <v>46111</v>
      </c>
      <c r="D71" s="34" t="s">
        <v>166</v>
      </c>
      <c r="E71" s="8">
        <v>5</v>
      </c>
    </row>
    <row r="72" ht="32" customHeight="1" spans="1:5">
      <c r="A72" s="38">
        <v>69</v>
      </c>
      <c r="B72" s="8" t="s">
        <v>56</v>
      </c>
      <c r="C72" s="14">
        <v>46112</v>
      </c>
      <c r="D72" s="34" t="s">
        <v>166</v>
      </c>
      <c r="E72" s="8">
        <v>5</v>
      </c>
    </row>
    <row r="73" ht="32" customHeight="1" spans="1:5">
      <c r="A73" s="38">
        <v>70</v>
      </c>
      <c r="B73" s="8" t="s">
        <v>99</v>
      </c>
      <c r="C73" s="14">
        <v>46112</v>
      </c>
      <c r="D73" s="34" t="s">
        <v>166</v>
      </c>
      <c r="E73" s="8">
        <v>5</v>
      </c>
    </row>
    <row r="74" ht="32" customHeight="1" spans="1:5">
      <c r="A74" s="38">
        <v>71</v>
      </c>
      <c r="B74" s="8" t="s">
        <v>113</v>
      </c>
      <c r="C74" s="8" t="s">
        <v>169</v>
      </c>
      <c r="D74" s="34" t="s">
        <v>170</v>
      </c>
      <c r="E74" s="8">
        <v>30</v>
      </c>
    </row>
    <row r="75" ht="32" customHeight="1" spans="1:5">
      <c r="A75" s="38">
        <v>72</v>
      </c>
      <c r="B75" s="8" t="s">
        <v>12</v>
      </c>
      <c r="C75" s="8" t="s">
        <v>169</v>
      </c>
      <c r="D75" s="34" t="s">
        <v>170</v>
      </c>
      <c r="E75" s="8">
        <v>30</v>
      </c>
    </row>
    <row r="76" ht="32" customHeight="1" spans="1:5">
      <c r="A76" s="38">
        <v>73</v>
      </c>
      <c r="B76" s="8" t="s">
        <v>92</v>
      </c>
      <c r="C76" s="8" t="s">
        <v>169</v>
      </c>
      <c r="D76" s="34" t="s">
        <v>171</v>
      </c>
      <c r="E76" s="8">
        <v>10</v>
      </c>
    </row>
    <row r="77" ht="32" customHeight="1" spans="1:5">
      <c r="A77" s="38">
        <v>74</v>
      </c>
      <c r="B77" s="8" t="s">
        <v>113</v>
      </c>
      <c r="C77" s="8" t="s">
        <v>169</v>
      </c>
      <c r="D77" s="34" t="s">
        <v>172</v>
      </c>
      <c r="E77" s="8">
        <v>21.4</v>
      </c>
    </row>
    <row r="78" ht="32" customHeight="1" spans="1:5">
      <c r="A78" s="38">
        <v>75</v>
      </c>
      <c r="B78" s="8" t="s">
        <v>12</v>
      </c>
      <c r="C78" s="8" t="s">
        <v>169</v>
      </c>
      <c r="D78" s="34" t="s">
        <v>173</v>
      </c>
      <c r="E78" s="8">
        <v>26.6</v>
      </c>
    </row>
    <row r="79" ht="32" customHeight="1" spans="1:5">
      <c r="A79" s="38">
        <v>76</v>
      </c>
      <c r="B79" s="8" t="s">
        <v>92</v>
      </c>
      <c r="C79" s="8" t="s">
        <v>169</v>
      </c>
      <c r="D79" s="34" t="s">
        <v>174</v>
      </c>
      <c r="E79" s="8">
        <v>12.4</v>
      </c>
    </row>
    <row r="80" ht="32" customHeight="1" spans="1:5">
      <c r="A80" s="38">
        <v>77</v>
      </c>
      <c r="B80" s="8" t="s">
        <v>12</v>
      </c>
      <c r="C80" s="8" t="s">
        <v>169</v>
      </c>
      <c r="D80" s="34" t="s">
        <v>175</v>
      </c>
      <c r="E80" s="8">
        <v>20</v>
      </c>
    </row>
    <row r="81" ht="35" customHeight="1" spans="1:5">
      <c r="A81" s="38">
        <v>78</v>
      </c>
      <c r="B81" s="8" t="s">
        <v>12</v>
      </c>
      <c r="C81" s="8" t="s">
        <v>169</v>
      </c>
      <c r="D81" s="34" t="s">
        <v>176</v>
      </c>
      <c r="E81" s="8">
        <v>40</v>
      </c>
    </row>
    <row r="82" ht="32" customHeight="1" spans="1:5">
      <c r="A82" s="38">
        <v>79</v>
      </c>
      <c r="B82" s="8" t="s">
        <v>92</v>
      </c>
      <c r="C82" s="8" t="s">
        <v>169</v>
      </c>
      <c r="D82" s="34" t="s">
        <v>177</v>
      </c>
      <c r="E82" s="8">
        <v>10</v>
      </c>
    </row>
    <row r="83" ht="32" customHeight="1" spans="1:5">
      <c r="A83" s="38">
        <v>80</v>
      </c>
      <c r="B83" s="8" t="s">
        <v>113</v>
      </c>
      <c r="C83" s="8" t="s">
        <v>169</v>
      </c>
      <c r="D83" s="34" t="s">
        <v>178</v>
      </c>
      <c r="E83" s="8">
        <v>10</v>
      </c>
    </row>
    <row r="84" ht="32" customHeight="1"/>
    <row r="85" ht="32" customHeight="1"/>
    <row r="86" ht="32" customHeight="1"/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47" customHeight="1"/>
    <row r="95" ht="47" customHeight="1"/>
  </sheetData>
  <mergeCells count="2">
    <mergeCell ref="A1:E1"/>
    <mergeCell ref="A2:E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G5" sqref="G5"/>
    </sheetView>
  </sheetViews>
  <sheetFormatPr defaultColWidth="9" defaultRowHeight="13.5" outlineLevelCol="4"/>
  <cols>
    <col min="1" max="1" width="7.5" customWidth="1"/>
    <col min="2" max="2" width="19.875" style="1" customWidth="1"/>
    <col min="3" max="3" width="17.25" customWidth="1"/>
    <col min="4" max="4" width="40.625" customWidth="1"/>
    <col min="5" max="5" width="10.625" style="1" customWidth="1"/>
  </cols>
  <sheetData>
    <row r="1" ht="31.5" customHeight="1" spans="1:5">
      <c r="A1" s="30" t="s">
        <v>0</v>
      </c>
      <c r="B1" s="30"/>
      <c r="C1" s="30"/>
      <c r="D1" s="30"/>
      <c r="E1" s="30"/>
    </row>
    <row r="2" ht="27" customHeight="1" spans="1:5">
      <c r="A2" s="31" t="s">
        <v>155</v>
      </c>
      <c r="B2" s="32"/>
      <c r="C2" s="31"/>
      <c r="D2" s="31"/>
      <c r="E2" s="32"/>
    </row>
    <row r="3" ht="28" customHeight="1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30" customHeight="1" spans="1:5">
      <c r="A4" s="38">
        <v>1</v>
      </c>
      <c r="B4" s="8" t="s">
        <v>99</v>
      </c>
      <c r="C4" s="14">
        <v>46121</v>
      </c>
      <c r="D4" s="34" t="s">
        <v>179</v>
      </c>
      <c r="E4" s="8">
        <v>10</v>
      </c>
    </row>
    <row r="5" ht="30" customHeight="1" spans="1:5">
      <c r="A5" s="38">
        <v>2</v>
      </c>
      <c r="B5" s="8" t="s">
        <v>99</v>
      </c>
      <c r="C5" s="14">
        <v>46122</v>
      </c>
      <c r="D5" s="34" t="s">
        <v>179</v>
      </c>
      <c r="E5" s="8">
        <v>10</v>
      </c>
    </row>
    <row r="6" ht="30" customHeight="1" spans="1:5">
      <c r="A6" s="38">
        <v>3</v>
      </c>
      <c r="B6" s="8" t="s">
        <v>99</v>
      </c>
      <c r="C6" s="14">
        <v>46122</v>
      </c>
      <c r="D6" s="34" t="s">
        <v>180</v>
      </c>
      <c r="E6" s="8">
        <v>3</v>
      </c>
    </row>
    <row r="7" ht="30" customHeight="1" spans="1:5">
      <c r="A7" s="38">
        <v>4</v>
      </c>
      <c r="B7" s="8" t="s">
        <v>19</v>
      </c>
      <c r="C7" s="14">
        <v>46128</v>
      </c>
      <c r="D7" s="34" t="s">
        <v>181</v>
      </c>
      <c r="E7" s="8">
        <v>-3</v>
      </c>
    </row>
    <row r="8" ht="30" customHeight="1" spans="1:5">
      <c r="A8" s="38">
        <v>5</v>
      </c>
      <c r="B8" s="8" t="s">
        <v>103</v>
      </c>
      <c r="C8" s="14">
        <v>46128</v>
      </c>
      <c r="D8" s="34" t="s">
        <v>182</v>
      </c>
      <c r="E8" s="8">
        <v>-3</v>
      </c>
    </row>
    <row r="9" ht="30" customHeight="1" spans="1:5">
      <c r="A9" s="38">
        <v>6</v>
      </c>
      <c r="B9" s="8" t="s">
        <v>70</v>
      </c>
      <c r="C9" s="14">
        <v>46129</v>
      </c>
      <c r="D9" s="34" t="s">
        <v>183</v>
      </c>
      <c r="E9" s="8">
        <v>10</v>
      </c>
    </row>
    <row r="10" ht="30" customHeight="1" spans="1:5">
      <c r="A10" s="38">
        <v>7</v>
      </c>
      <c r="B10" s="8" t="s">
        <v>74</v>
      </c>
      <c r="C10" s="14">
        <v>46129</v>
      </c>
      <c r="D10" s="34" t="s">
        <v>184</v>
      </c>
      <c r="E10" s="8">
        <v>7</v>
      </c>
    </row>
    <row r="11" ht="30" customHeight="1" spans="1:5">
      <c r="A11" s="38">
        <v>8</v>
      </c>
      <c r="B11" s="8" t="s">
        <v>70</v>
      </c>
      <c r="C11" s="14">
        <v>46130</v>
      </c>
      <c r="D11" s="34" t="s">
        <v>183</v>
      </c>
      <c r="E11" s="8">
        <v>10</v>
      </c>
    </row>
    <row r="12" ht="30" customHeight="1" spans="1:5">
      <c r="A12" s="38">
        <v>9</v>
      </c>
      <c r="B12" s="8" t="s">
        <v>74</v>
      </c>
      <c r="C12" s="14">
        <v>46130</v>
      </c>
      <c r="D12" s="34" t="s">
        <v>184</v>
      </c>
      <c r="E12" s="8">
        <v>10</v>
      </c>
    </row>
    <row r="13" ht="30" customHeight="1" spans="1:5">
      <c r="A13" s="38">
        <v>10</v>
      </c>
      <c r="B13" s="8" t="s">
        <v>74</v>
      </c>
      <c r="C13" s="14">
        <v>46131</v>
      </c>
      <c r="D13" s="34" t="s">
        <v>184</v>
      </c>
      <c r="E13" s="8">
        <v>10</v>
      </c>
    </row>
    <row r="14" ht="30" customHeight="1" spans="1:5">
      <c r="A14" s="38">
        <v>11</v>
      </c>
      <c r="B14" s="8" t="s">
        <v>74</v>
      </c>
      <c r="C14" s="14">
        <v>46132</v>
      </c>
      <c r="D14" s="34" t="s">
        <v>184</v>
      </c>
      <c r="E14" s="8">
        <v>10</v>
      </c>
    </row>
    <row r="15" ht="30" customHeight="1" spans="1:5">
      <c r="A15" s="38">
        <v>12</v>
      </c>
      <c r="B15" s="8" t="s">
        <v>99</v>
      </c>
      <c r="C15" s="14">
        <v>46134</v>
      </c>
      <c r="D15" s="34" t="s">
        <v>185</v>
      </c>
      <c r="E15" s="8">
        <v>5</v>
      </c>
    </row>
    <row r="16" ht="30" customHeight="1" spans="1:5">
      <c r="A16" s="38">
        <v>13</v>
      </c>
      <c r="B16" s="8" t="s">
        <v>63</v>
      </c>
      <c r="C16" s="14">
        <v>46134</v>
      </c>
      <c r="D16" s="34" t="s">
        <v>186</v>
      </c>
      <c r="E16" s="8">
        <v>3</v>
      </c>
    </row>
    <row r="17" ht="30" customHeight="1" spans="1:5">
      <c r="A17" s="38">
        <v>14</v>
      </c>
      <c r="B17" s="8" t="s">
        <v>17</v>
      </c>
      <c r="C17" s="14">
        <v>46136</v>
      </c>
      <c r="D17" s="34" t="s">
        <v>187</v>
      </c>
      <c r="E17" s="8">
        <v>-5</v>
      </c>
    </row>
    <row r="18" ht="30" customHeight="1" spans="1:5">
      <c r="A18" s="38">
        <v>15</v>
      </c>
      <c r="B18" s="8" t="s">
        <v>137</v>
      </c>
      <c r="C18" s="14">
        <v>46136</v>
      </c>
      <c r="D18" s="34" t="s">
        <v>187</v>
      </c>
      <c r="E18" s="8">
        <v>-5</v>
      </c>
    </row>
    <row r="19" ht="30" customHeight="1" spans="1:5">
      <c r="A19" s="38">
        <v>16</v>
      </c>
      <c r="B19" s="8" t="s">
        <v>160</v>
      </c>
      <c r="C19" s="14">
        <v>46136</v>
      </c>
      <c r="D19" s="34" t="s">
        <v>187</v>
      </c>
      <c r="E19" s="8">
        <v>-5</v>
      </c>
    </row>
    <row r="20" ht="30" customHeight="1" spans="1:5">
      <c r="A20" s="38">
        <v>17</v>
      </c>
      <c r="B20" s="8" t="s">
        <v>124</v>
      </c>
      <c r="C20" s="14">
        <v>46136</v>
      </c>
      <c r="D20" s="34" t="s">
        <v>187</v>
      </c>
      <c r="E20" s="8">
        <v>-5</v>
      </c>
    </row>
    <row r="21" ht="30" customHeight="1" spans="1:5">
      <c r="A21" s="38">
        <v>18</v>
      </c>
      <c r="B21" s="8" t="s">
        <v>39</v>
      </c>
      <c r="C21" s="14">
        <v>46136</v>
      </c>
      <c r="D21" s="34" t="s">
        <v>187</v>
      </c>
      <c r="E21" s="8">
        <v>-5</v>
      </c>
    </row>
    <row r="22" ht="30" customHeight="1" spans="1:5">
      <c r="A22" s="38">
        <v>19</v>
      </c>
      <c r="B22" s="8" t="s">
        <v>188</v>
      </c>
      <c r="C22" s="14">
        <v>46136</v>
      </c>
      <c r="D22" s="34" t="s">
        <v>189</v>
      </c>
      <c r="E22" s="8">
        <v>-5</v>
      </c>
    </row>
    <row r="23" ht="30" customHeight="1" spans="1:5">
      <c r="A23" s="38">
        <v>20</v>
      </c>
      <c r="B23" s="8" t="s">
        <v>124</v>
      </c>
      <c r="C23" s="14">
        <v>46136</v>
      </c>
      <c r="D23" s="34" t="s">
        <v>189</v>
      </c>
      <c r="E23" s="8">
        <v>-5</v>
      </c>
    </row>
    <row r="24" ht="30" customHeight="1" spans="1:5">
      <c r="A24" s="38">
        <v>21</v>
      </c>
      <c r="B24" s="8" t="s">
        <v>56</v>
      </c>
      <c r="C24" s="14">
        <v>46136</v>
      </c>
      <c r="D24" s="34" t="s">
        <v>190</v>
      </c>
      <c r="E24" s="8">
        <v>5</v>
      </c>
    </row>
    <row r="25" ht="30" customHeight="1" spans="1:5">
      <c r="A25" s="38">
        <v>22</v>
      </c>
      <c r="B25" s="8" t="s">
        <v>87</v>
      </c>
      <c r="C25" s="14">
        <v>46136</v>
      </c>
      <c r="D25" s="34" t="s">
        <v>191</v>
      </c>
      <c r="E25" s="8">
        <v>5</v>
      </c>
    </row>
    <row r="26" ht="30" customHeight="1" spans="1:5">
      <c r="A26" s="38">
        <v>23</v>
      </c>
      <c r="B26" s="8" t="s">
        <v>192</v>
      </c>
      <c r="C26" s="14">
        <v>46137</v>
      </c>
      <c r="D26" s="34" t="s">
        <v>189</v>
      </c>
      <c r="E26" s="8">
        <v>-5</v>
      </c>
    </row>
    <row r="27" ht="32" customHeight="1" spans="1:5">
      <c r="A27" s="38">
        <v>24</v>
      </c>
      <c r="B27" s="8" t="s">
        <v>193</v>
      </c>
      <c r="C27" s="14" t="s">
        <v>194</v>
      </c>
      <c r="D27" s="34" t="s">
        <v>195</v>
      </c>
      <c r="E27" s="8">
        <v>37.4</v>
      </c>
    </row>
    <row r="28" ht="32" customHeight="1" spans="1:5">
      <c r="A28" s="38">
        <v>25</v>
      </c>
      <c r="B28" s="8" t="s">
        <v>196</v>
      </c>
      <c r="C28" s="14" t="s">
        <v>194</v>
      </c>
      <c r="D28" s="34" t="s">
        <v>197</v>
      </c>
      <c r="E28" s="8">
        <v>27.6</v>
      </c>
    </row>
    <row r="29" ht="32" customHeight="1" spans="1:5">
      <c r="A29" s="38">
        <v>26</v>
      </c>
      <c r="B29" s="8" t="s">
        <v>198</v>
      </c>
      <c r="C29" s="14" t="s">
        <v>194</v>
      </c>
      <c r="D29" s="34" t="s">
        <v>199</v>
      </c>
      <c r="E29" s="8">
        <v>14.6</v>
      </c>
    </row>
    <row r="30" ht="32" customHeight="1" spans="1:5">
      <c r="A30" s="38">
        <v>27</v>
      </c>
      <c r="B30" s="8" t="s">
        <v>113</v>
      </c>
      <c r="C30" s="14" t="s">
        <v>194</v>
      </c>
      <c r="D30" s="34" t="s">
        <v>200</v>
      </c>
      <c r="E30" s="8">
        <v>40</v>
      </c>
    </row>
    <row r="31" ht="32" customHeight="1" spans="1:5">
      <c r="A31" s="38">
        <v>28</v>
      </c>
      <c r="B31" s="8" t="s">
        <v>12</v>
      </c>
      <c r="C31" s="14" t="s">
        <v>194</v>
      </c>
      <c r="D31" s="34" t="s">
        <v>201</v>
      </c>
      <c r="E31" s="8">
        <v>20</v>
      </c>
    </row>
    <row r="32" ht="32" customHeight="1" spans="1:5">
      <c r="A32" s="38">
        <v>29</v>
      </c>
      <c r="B32" s="8" t="s">
        <v>92</v>
      </c>
      <c r="C32" s="14" t="s">
        <v>194</v>
      </c>
      <c r="D32" s="34" t="s">
        <v>202</v>
      </c>
      <c r="E32" s="8">
        <v>35</v>
      </c>
    </row>
    <row r="33" ht="32" customHeight="1" spans="1:5">
      <c r="A33" s="38">
        <v>30</v>
      </c>
      <c r="B33" s="8" t="s">
        <v>92</v>
      </c>
      <c r="C33" s="14" t="s">
        <v>194</v>
      </c>
      <c r="D33" s="34" t="s">
        <v>203</v>
      </c>
      <c r="E33" s="8">
        <v>54.8</v>
      </c>
    </row>
    <row r="34" ht="32" customHeight="1" spans="1:5">
      <c r="A34" s="38">
        <v>31</v>
      </c>
      <c r="B34" s="8" t="s">
        <v>113</v>
      </c>
      <c r="C34" s="14" t="s">
        <v>194</v>
      </c>
      <c r="D34" s="34" t="s">
        <v>204</v>
      </c>
      <c r="E34" s="8">
        <v>44.4</v>
      </c>
    </row>
  </sheetData>
  <mergeCells count="2">
    <mergeCell ref="A1:E1"/>
    <mergeCell ref="A2:E2"/>
  </mergeCells>
  <conditionalFormatting sqref="E$1:E$1048576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E21" sqref="E$1:E$1048576"/>
    </sheetView>
  </sheetViews>
  <sheetFormatPr defaultColWidth="9" defaultRowHeight="13.5" outlineLevelCol="4"/>
  <cols>
    <col min="1" max="1" width="7.5" customWidth="1"/>
    <col min="2" max="2" width="19.875" style="1" customWidth="1"/>
    <col min="3" max="3" width="17.25" customWidth="1"/>
    <col min="4" max="4" width="40.625" customWidth="1"/>
    <col min="5" max="5" width="10.625" style="1" customWidth="1"/>
  </cols>
  <sheetData>
    <row r="1" ht="31.5" customHeight="1" spans="1:5">
      <c r="A1" s="30" t="s">
        <v>0</v>
      </c>
      <c r="B1" s="30"/>
      <c r="C1" s="30"/>
      <c r="D1" s="30"/>
      <c r="E1" s="30"/>
    </row>
    <row r="2" ht="27" customHeight="1" spans="1:5">
      <c r="A2" s="31" t="s">
        <v>155</v>
      </c>
      <c r="B2" s="32"/>
      <c r="C2" s="31"/>
      <c r="D2" s="31"/>
      <c r="E2" s="32"/>
    </row>
    <row r="3" ht="28" customHeight="1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30" customHeight="1" spans="1:5">
      <c r="A4" s="38">
        <v>1</v>
      </c>
      <c r="B4" s="8" t="s">
        <v>77</v>
      </c>
      <c r="C4" s="14">
        <v>46144</v>
      </c>
      <c r="D4" s="34" t="s">
        <v>205</v>
      </c>
      <c r="E4" s="8">
        <v>5</v>
      </c>
    </row>
    <row r="5" ht="30" customHeight="1" spans="1:5">
      <c r="A5" s="38">
        <v>2</v>
      </c>
      <c r="B5" s="8" t="s">
        <v>74</v>
      </c>
      <c r="C5" s="14">
        <v>46144</v>
      </c>
      <c r="D5" s="34" t="s">
        <v>206</v>
      </c>
      <c r="E5" s="8">
        <v>5</v>
      </c>
    </row>
    <row r="6" ht="30" customHeight="1" spans="1:5">
      <c r="A6" s="38">
        <v>3</v>
      </c>
      <c r="B6" s="8" t="s">
        <v>56</v>
      </c>
      <c r="C6" s="14">
        <v>46147</v>
      </c>
      <c r="D6" s="34" t="s">
        <v>207</v>
      </c>
      <c r="E6" s="8">
        <v>10</v>
      </c>
    </row>
    <row r="7" ht="30" customHeight="1" spans="1:5">
      <c r="A7" s="38">
        <v>4</v>
      </c>
      <c r="B7" s="8" t="s">
        <v>127</v>
      </c>
      <c r="C7" s="14">
        <v>46147</v>
      </c>
      <c r="D7" s="34" t="s">
        <v>208</v>
      </c>
      <c r="E7" s="8">
        <v>10</v>
      </c>
    </row>
    <row r="8" ht="30" customHeight="1" spans="1:5">
      <c r="A8" s="38">
        <v>5</v>
      </c>
      <c r="B8" s="8" t="s">
        <v>56</v>
      </c>
      <c r="C8" s="14">
        <v>46148</v>
      </c>
      <c r="D8" s="34" t="s">
        <v>209</v>
      </c>
      <c r="E8" s="8">
        <v>10</v>
      </c>
    </row>
    <row r="9" ht="30" customHeight="1" spans="1:5">
      <c r="A9" s="38">
        <v>6</v>
      </c>
      <c r="B9" s="8" t="s">
        <v>45</v>
      </c>
      <c r="C9" s="14">
        <v>46148</v>
      </c>
      <c r="D9" s="34" t="s">
        <v>210</v>
      </c>
      <c r="E9" s="8">
        <v>10</v>
      </c>
    </row>
    <row r="10" ht="30" customHeight="1" spans="1:5">
      <c r="A10" s="38">
        <v>7</v>
      </c>
      <c r="B10" s="8" t="s">
        <v>7</v>
      </c>
      <c r="C10" s="14">
        <v>46152</v>
      </c>
      <c r="D10" s="34" t="s">
        <v>211</v>
      </c>
      <c r="E10" s="8">
        <v>5</v>
      </c>
    </row>
    <row r="11" ht="30" customHeight="1" spans="1:5">
      <c r="A11" s="38">
        <v>8</v>
      </c>
      <c r="B11" s="8" t="s">
        <v>113</v>
      </c>
      <c r="C11" s="14">
        <v>46152</v>
      </c>
      <c r="D11" s="34" t="s">
        <v>212</v>
      </c>
      <c r="E11" s="8">
        <v>3</v>
      </c>
    </row>
    <row r="12" ht="30" customHeight="1" spans="1:5">
      <c r="A12" s="38">
        <v>9</v>
      </c>
      <c r="B12" s="8" t="s">
        <v>22</v>
      </c>
      <c r="C12" s="14">
        <v>46152</v>
      </c>
      <c r="D12" s="34" t="s">
        <v>213</v>
      </c>
      <c r="E12" s="8">
        <v>5</v>
      </c>
    </row>
    <row r="13" ht="30" customHeight="1" spans="1:5">
      <c r="A13" s="38">
        <v>10</v>
      </c>
      <c r="B13" s="8" t="s">
        <v>160</v>
      </c>
      <c r="C13" s="14">
        <v>46153</v>
      </c>
      <c r="D13" s="34" t="s">
        <v>214</v>
      </c>
      <c r="E13" s="8">
        <v>10</v>
      </c>
    </row>
    <row r="14" ht="30" customHeight="1" spans="1:5">
      <c r="A14" s="38">
        <v>11</v>
      </c>
      <c r="B14" s="8" t="s">
        <v>99</v>
      </c>
      <c r="C14" s="14">
        <v>46154</v>
      </c>
      <c r="D14" s="34" t="s">
        <v>215</v>
      </c>
      <c r="E14" s="8">
        <v>10</v>
      </c>
    </row>
    <row r="15" ht="30" customHeight="1" spans="1:5">
      <c r="A15" s="38">
        <v>12</v>
      </c>
      <c r="B15" s="8" t="s">
        <v>77</v>
      </c>
      <c r="C15" s="14">
        <v>46154</v>
      </c>
      <c r="D15" s="34" t="s">
        <v>216</v>
      </c>
      <c r="E15" s="8">
        <v>10</v>
      </c>
    </row>
    <row r="16" ht="30" customHeight="1" spans="1:5">
      <c r="A16" s="38">
        <v>13</v>
      </c>
      <c r="B16" s="8" t="s">
        <v>113</v>
      </c>
      <c r="C16" s="14">
        <v>46161</v>
      </c>
      <c r="D16" s="34" t="s">
        <v>217</v>
      </c>
      <c r="E16" s="8">
        <f>54*0.4</f>
        <v>21.6</v>
      </c>
    </row>
    <row r="17" ht="30" customHeight="1" spans="1:5">
      <c r="A17" s="38">
        <v>14</v>
      </c>
      <c r="B17" s="8" t="s">
        <v>12</v>
      </c>
      <c r="C17" s="14">
        <v>46161</v>
      </c>
      <c r="D17" s="34" t="s">
        <v>218</v>
      </c>
      <c r="E17" s="8">
        <f>48*0.4</f>
        <v>19.2</v>
      </c>
    </row>
    <row r="18" ht="30" customHeight="1" spans="1:5">
      <c r="A18" s="38">
        <v>15</v>
      </c>
      <c r="B18" s="8" t="s">
        <v>92</v>
      </c>
      <c r="C18" s="14">
        <v>46161</v>
      </c>
      <c r="D18" s="34" t="s">
        <v>219</v>
      </c>
      <c r="E18" s="8">
        <f>49*0.4</f>
        <v>19.6</v>
      </c>
    </row>
    <row r="19" ht="30" customHeight="1" spans="1:5">
      <c r="A19" s="38">
        <v>16</v>
      </c>
      <c r="B19" s="8" t="s">
        <v>99</v>
      </c>
      <c r="C19" s="14">
        <v>46169</v>
      </c>
      <c r="D19" s="34" t="s">
        <v>220</v>
      </c>
      <c r="E19" s="8">
        <v>10</v>
      </c>
    </row>
    <row r="20" ht="30" customHeight="1" spans="1:5">
      <c r="A20" s="38">
        <v>17</v>
      </c>
      <c r="B20" s="8" t="s">
        <v>35</v>
      </c>
      <c r="C20" s="14">
        <v>46172</v>
      </c>
      <c r="D20" s="34" t="s">
        <v>221</v>
      </c>
      <c r="E20" s="8">
        <v>10</v>
      </c>
    </row>
    <row r="21" ht="30" customHeight="1" spans="1:5">
      <c r="A21" s="38">
        <v>18</v>
      </c>
      <c r="B21" s="8" t="s">
        <v>16</v>
      </c>
      <c r="C21" s="14">
        <v>46172</v>
      </c>
      <c r="D21" s="34" t="s">
        <v>222</v>
      </c>
      <c r="E21" s="8">
        <v>10</v>
      </c>
    </row>
    <row r="22" ht="30" customHeight="1" spans="1:5">
      <c r="A22" s="38">
        <v>19</v>
      </c>
      <c r="B22" s="8" t="s">
        <v>113</v>
      </c>
      <c r="C22" s="14" t="s">
        <v>223</v>
      </c>
      <c r="D22" s="34" t="s">
        <v>224</v>
      </c>
      <c r="E22" s="8">
        <v>15</v>
      </c>
    </row>
    <row r="23" ht="30" customHeight="1" spans="1:5">
      <c r="A23" s="38">
        <v>20</v>
      </c>
      <c r="B23" s="8" t="s">
        <v>12</v>
      </c>
      <c r="C23" s="14" t="s">
        <v>223</v>
      </c>
      <c r="D23" s="34" t="s">
        <v>200</v>
      </c>
      <c r="E23" s="8">
        <v>40</v>
      </c>
    </row>
    <row r="24" ht="32" customHeight="1" spans="1:5">
      <c r="A24" s="38">
        <v>21</v>
      </c>
      <c r="B24" s="8" t="s">
        <v>12</v>
      </c>
      <c r="C24" s="14" t="s">
        <v>223</v>
      </c>
      <c r="D24" s="34" t="s">
        <v>225</v>
      </c>
      <c r="E24" s="8">
        <v>20</v>
      </c>
    </row>
    <row r="25" ht="30" customHeight="1" spans="1:5">
      <c r="A25" s="38">
        <v>22</v>
      </c>
      <c r="B25" s="8" t="s">
        <v>92</v>
      </c>
      <c r="C25" s="14" t="s">
        <v>223</v>
      </c>
      <c r="D25" s="34" t="s">
        <v>202</v>
      </c>
      <c r="E25" s="8">
        <v>35</v>
      </c>
    </row>
    <row r="26" ht="30" customHeight="1" spans="1:5">
      <c r="A26" s="38">
        <v>23</v>
      </c>
      <c r="B26" s="8" t="s">
        <v>15</v>
      </c>
      <c r="C26" s="14" t="s">
        <v>223</v>
      </c>
      <c r="D26" s="34" t="s">
        <v>226</v>
      </c>
      <c r="E26" s="8">
        <v>35</v>
      </c>
    </row>
    <row r="27" ht="32" customHeight="1" spans="1:5">
      <c r="A27" s="38">
        <v>24</v>
      </c>
      <c r="B27" s="8" t="s">
        <v>13</v>
      </c>
      <c r="C27" s="14" t="s">
        <v>223</v>
      </c>
      <c r="D27" s="34" t="s">
        <v>226</v>
      </c>
      <c r="E27" s="8">
        <v>35</v>
      </c>
    </row>
    <row r="28" ht="32" customHeight="1" spans="1:5">
      <c r="A28" s="38">
        <v>25</v>
      </c>
      <c r="B28" s="8" t="s">
        <v>46</v>
      </c>
      <c r="C28" s="14" t="s">
        <v>223</v>
      </c>
      <c r="D28" s="34" t="s">
        <v>227</v>
      </c>
      <c r="E28" s="8">
        <v>10</v>
      </c>
    </row>
    <row r="29" ht="32" customHeight="1" spans="1:5">
      <c r="A29" s="38">
        <v>26</v>
      </c>
      <c r="B29" s="8" t="s">
        <v>43</v>
      </c>
      <c r="C29" s="14" t="s">
        <v>223</v>
      </c>
      <c r="D29" s="34" t="s">
        <v>228</v>
      </c>
      <c r="E29" s="8">
        <v>10</v>
      </c>
    </row>
    <row r="30" ht="32" customHeight="1" spans="1:5">
      <c r="A30" s="38">
        <v>27</v>
      </c>
      <c r="B30" s="8" t="s">
        <v>56</v>
      </c>
      <c r="C30" s="14" t="s">
        <v>223</v>
      </c>
      <c r="D30" s="34" t="s">
        <v>229</v>
      </c>
      <c r="E30" s="8">
        <v>10</v>
      </c>
    </row>
    <row r="31" ht="32" customHeight="1" spans="1:5">
      <c r="A31" s="38">
        <v>28</v>
      </c>
      <c r="B31" s="8" t="s">
        <v>124</v>
      </c>
      <c r="C31" s="14" t="s">
        <v>223</v>
      </c>
      <c r="D31" s="34" t="s">
        <v>230</v>
      </c>
      <c r="E31" s="8">
        <v>10</v>
      </c>
    </row>
    <row r="32" ht="32" customHeight="1" spans="1:5">
      <c r="A32" s="38">
        <v>29</v>
      </c>
      <c r="B32" s="8" t="s">
        <v>137</v>
      </c>
      <c r="C32" s="14" t="s">
        <v>223</v>
      </c>
      <c r="D32" s="34" t="s">
        <v>231</v>
      </c>
      <c r="E32" s="8">
        <v>10</v>
      </c>
    </row>
    <row r="33" ht="32" customHeight="1" spans="1:5">
      <c r="A33" s="38">
        <v>30</v>
      </c>
      <c r="B33" s="8" t="s">
        <v>232</v>
      </c>
      <c r="C33" s="14" t="s">
        <v>223</v>
      </c>
      <c r="D33" s="34" t="s">
        <v>233</v>
      </c>
      <c r="E33" s="8">
        <v>10</v>
      </c>
    </row>
    <row r="34" ht="32" customHeight="1" spans="1:5">
      <c r="A34" s="38">
        <v>31</v>
      </c>
      <c r="B34" s="8" t="s">
        <v>113</v>
      </c>
      <c r="C34" s="14" t="s">
        <v>223</v>
      </c>
      <c r="D34" s="34" t="s">
        <v>234</v>
      </c>
      <c r="E34" s="8">
        <f>98*0.2</f>
        <v>19.6</v>
      </c>
    </row>
    <row r="35" ht="32" customHeight="1" spans="1:5">
      <c r="A35" s="38">
        <v>32</v>
      </c>
      <c r="B35" s="8" t="s">
        <v>12</v>
      </c>
      <c r="C35" s="14" t="s">
        <v>223</v>
      </c>
      <c r="D35" s="34" t="s">
        <v>235</v>
      </c>
      <c r="E35" s="8">
        <f>184*0.2</f>
        <v>36.8</v>
      </c>
    </row>
    <row r="36" ht="32" customHeight="1" spans="1:5">
      <c r="A36" s="38">
        <v>33</v>
      </c>
      <c r="B36" s="8" t="s">
        <v>92</v>
      </c>
      <c r="C36" s="14" t="s">
        <v>223</v>
      </c>
      <c r="D36" s="34" t="s">
        <v>236</v>
      </c>
      <c r="E36" s="8">
        <f>40*0.2</f>
        <v>8</v>
      </c>
    </row>
    <row r="37" ht="32" customHeight="1" spans="1:5">
      <c r="A37" s="38">
        <v>34</v>
      </c>
      <c r="B37" s="8"/>
      <c r="C37" s="14"/>
      <c r="D37" s="34"/>
      <c r="E37" s="8"/>
    </row>
    <row r="38" ht="32" customHeight="1" spans="1:5">
      <c r="A38" s="38"/>
      <c r="B38" s="8"/>
      <c r="C38" s="14"/>
      <c r="D38" s="34"/>
      <c r="E38" s="8"/>
    </row>
  </sheetData>
  <mergeCells count="2">
    <mergeCell ref="A1:E1"/>
    <mergeCell ref="A2:E2"/>
  </mergeCells>
  <conditionalFormatting sqref="E$1:E$1048576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workbookViewId="0">
      <selection activeCell="A1" sqref="A1:E6"/>
    </sheetView>
  </sheetViews>
  <sheetFormatPr defaultColWidth="9" defaultRowHeight="13.5" outlineLevelCol="6"/>
  <cols>
    <col min="1" max="1" width="7.5" customWidth="1"/>
    <col min="2" max="2" width="19.875" style="1" customWidth="1"/>
    <col min="3" max="3" width="17.25" customWidth="1"/>
    <col min="4" max="4" width="44.125" customWidth="1"/>
    <col min="5" max="5" width="10.625" style="1" customWidth="1"/>
    <col min="8" max="8" width="12.625"/>
  </cols>
  <sheetData>
    <row r="1" ht="31.5" customHeight="1" spans="1:5">
      <c r="A1" s="30" t="s">
        <v>0</v>
      </c>
      <c r="B1" s="30"/>
      <c r="C1" s="30"/>
      <c r="D1" s="30"/>
      <c r="E1" s="30"/>
    </row>
    <row r="2" ht="27" customHeight="1" spans="1:5">
      <c r="A2" s="31" t="s">
        <v>155</v>
      </c>
      <c r="B2" s="32"/>
      <c r="C2" s="31"/>
      <c r="D2" s="31"/>
      <c r="E2" s="32"/>
    </row>
    <row r="3" ht="28" customHeight="1" spans="1:5">
      <c r="A3" s="8" t="s">
        <v>2</v>
      </c>
      <c r="B3" s="8" t="s">
        <v>3</v>
      </c>
      <c r="C3" s="8" t="s">
        <v>4</v>
      </c>
      <c r="D3" s="23" t="s">
        <v>5</v>
      </c>
      <c r="E3" s="8" t="s">
        <v>6</v>
      </c>
    </row>
    <row r="4" ht="28" customHeight="1" spans="1:5">
      <c r="A4" s="8">
        <v>1</v>
      </c>
      <c r="B4" s="8" t="s">
        <v>12</v>
      </c>
      <c r="C4" s="12">
        <v>46174</v>
      </c>
      <c r="D4" s="23" t="s">
        <v>237</v>
      </c>
      <c r="E4" s="8">
        <v>50</v>
      </c>
    </row>
    <row r="5" ht="28" customHeight="1" spans="1:5">
      <c r="A5" s="8">
        <v>2</v>
      </c>
      <c r="B5" s="8" t="s">
        <v>92</v>
      </c>
      <c r="C5" s="12">
        <v>46175</v>
      </c>
      <c r="D5" s="23" t="s">
        <v>237</v>
      </c>
      <c r="E5" s="8">
        <v>50</v>
      </c>
    </row>
    <row r="6" ht="28" customHeight="1" spans="1:5">
      <c r="A6" s="8">
        <v>3</v>
      </c>
      <c r="B6" s="8" t="s">
        <v>113</v>
      </c>
      <c r="C6" s="12">
        <v>46175</v>
      </c>
      <c r="D6" s="23" t="s">
        <v>237</v>
      </c>
      <c r="E6" s="8">
        <v>50</v>
      </c>
    </row>
    <row r="7" ht="30" customHeight="1" spans="1:5">
      <c r="A7" s="8">
        <v>4</v>
      </c>
      <c r="B7" s="8" t="s">
        <v>188</v>
      </c>
      <c r="C7" s="14">
        <v>46177</v>
      </c>
      <c r="D7" s="23" t="s">
        <v>238</v>
      </c>
      <c r="E7" s="8">
        <v>10</v>
      </c>
    </row>
    <row r="8" ht="30" customHeight="1" spans="1:5">
      <c r="A8" s="8">
        <v>5</v>
      </c>
      <c r="B8" s="8" t="s">
        <v>56</v>
      </c>
      <c r="C8" s="14" t="s">
        <v>239</v>
      </c>
      <c r="D8" s="33" t="s">
        <v>240</v>
      </c>
      <c r="E8" s="8">
        <v>5</v>
      </c>
    </row>
    <row r="9" ht="30" customHeight="1" spans="1:5">
      <c r="A9" s="8">
        <v>6</v>
      </c>
      <c r="B9" s="8" t="s">
        <v>99</v>
      </c>
      <c r="C9" s="14" t="s">
        <v>239</v>
      </c>
      <c r="D9" s="33" t="s">
        <v>240</v>
      </c>
      <c r="E9" s="8">
        <v>5</v>
      </c>
    </row>
    <row r="10" ht="30" customHeight="1" spans="1:5">
      <c r="A10" s="8">
        <v>7</v>
      </c>
      <c r="B10" s="8" t="s">
        <v>43</v>
      </c>
      <c r="C10" s="14" t="s">
        <v>239</v>
      </c>
      <c r="D10" s="33" t="s">
        <v>241</v>
      </c>
      <c r="E10" s="8">
        <v>5</v>
      </c>
    </row>
    <row r="11" ht="30" customHeight="1" spans="1:5">
      <c r="A11" s="8">
        <v>8</v>
      </c>
      <c r="B11" s="8" t="s">
        <v>41</v>
      </c>
      <c r="C11" s="14" t="s">
        <v>239</v>
      </c>
      <c r="D11" s="33" t="s">
        <v>241</v>
      </c>
      <c r="E11" s="8">
        <v>5</v>
      </c>
    </row>
    <row r="12" ht="30" customHeight="1" spans="1:5">
      <c r="A12" s="8">
        <v>9</v>
      </c>
      <c r="B12" s="8" t="s">
        <v>56</v>
      </c>
      <c r="C12" s="14" t="s">
        <v>242</v>
      </c>
      <c r="D12" s="33" t="s">
        <v>243</v>
      </c>
      <c r="E12" s="8">
        <v>10</v>
      </c>
    </row>
    <row r="13" ht="30" customHeight="1" spans="1:5">
      <c r="A13" s="8">
        <v>10</v>
      </c>
      <c r="B13" s="8" t="s">
        <v>70</v>
      </c>
      <c r="C13" s="14" t="s">
        <v>242</v>
      </c>
      <c r="D13" s="33" t="s">
        <v>244</v>
      </c>
      <c r="E13" s="8">
        <v>5</v>
      </c>
    </row>
    <row r="14" ht="30" customHeight="1" spans="1:5">
      <c r="A14" s="8">
        <v>11</v>
      </c>
      <c r="B14" s="8" t="s">
        <v>99</v>
      </c>
      <c r="C14" s="14" t="s">
        <v>242</v>
      </c>
      <c r="D14" s="33" t="s">
        <v>244</v>
      </c>
      <c r="E14" s="8">
        <v>5</v>
      </c>
    </row>
    <row r="15" ht="30" customHeight="1" spans="1:5">
      <c r="A15" s="8">
        <v>12</v>
      </c>
      <c r="B15" s="8" t="s">
        <v>18</v>
      </c>
      <c r="C15" s="14" t="s">
        <v>245</v>
      </c>
      <c r="D15" s="33" t="s">
        <v>246</v>
      </c>
      <c r="E15" s="8">
        <v>5</v>
      </c>
    </row>
    <row r="16" ht="30" customHeight="1" spans="1:5">
      <c r="A16" s="8">
        <v>13</v>
      </c>
      <c r="B16" s="8" t="s">
        <v>86</v>
      </c>
      <c r="C16" s="14" t="s">
        <v>245</v>
      </c>
      <c r="D16" s="33" t="s">
        <v>247</v>
      </c>
      <c r="E16" s="8">
        <v>5</v>
      </c>
    </row>
    <row r="17" ht="30" customHeight="1" spans="1:5">
      <c r="A17" s="8">
        <v>14</v>
      </c>
      <c r="B17" s="8" t="s">
        <v>232</v>
      </c>
      <c r="C17" s="14" t="s">
        <v>245</v>
      </c>
      <c r="D17" s="33" t="s">
        <v>248</v>
      </c>
      <c r="E17" s="8">
        <v>10</v>
      </c>
    </row>
    <row r="18" ht="30" customHeight="1" spans="1:5">
      <c r="A18" s="8">
        <v>15</v>
      </c>
      <c r="B18" s="8" t="s">
        <v>18</v>
      </c>
      <c r="C18" s="14" t="s">
        <v>249</v>
      </c>
      <c r="D18" s="33" t="s">
        <v>246</v>
      </c>
      <c r="E18" s="8">
        <v>5</v>
      </c>
    </row>
    <row r="19" ht="30" customHeight="1" spans="1:5">
      <c r="A19" s="8">
        <v>16</v>
      </c>
      <c r="B19" s="8" t="s">
        <v>86</v>
      </c>
      <c r="C19" s="14" t="s">
        <v>249</v>
      </c>
      <c r="D19" s="33" t="s">
        <v>247</v>
      </c>
      <c r="E19" s="8">
        <v>5</v>
      </c>
    </row>
    <row r="20" ht="30" customHeight="1" spans="1:5">
      <c r="A20" s="8">
        <v>17</v>
      </c>
      <c r="B20" s="8" t="s">
        <v>232</v>
      </c>
      <c r="C20" s="14" t="s">
        <v>249</v>
      </c>
      <c r="D20" s="33" t="s">
        <v>248</v>
      </c>
      <c r="E20" s="8">
        <v>5</v>
      </c>
    </row>
    <row r="21" ht="30" customHeight="1" spans="1:5">
      <c r="A21" s="8">
        <v>18</v>
      </c>
      <c r="B21" s="8" t="s">
        <v>19</v>
      </c>
      <c r="C21" s="14" t="s">
        <v>249</v>
      </c>
      <c r="D21" s="33" t="s">
        <v>248</v>
      </c>
      <c r="E21" s="8">
        <v>5</v>
      </c>
    </row>
    <row r="22" ht="30" customHeight="1" spans="1:5">
      <c r="A22" s="8">
        <v>19</v>
      </c>
      <c r="B22" s="8" t="s">
        <v>27</v>
      </c>
      <c r="C22" s="14" t="s">
        <v>250</v>
      </c>
      <c r="D22" s="33" t="s">
        <v>251</v>
      </c>
      <c r="E22" s="8">
        <v>5</v>
      </c>
    </row>
    <row r="23" ht="30" customHeight="1" spans="1:5">
      <c r="A23" s="8">
        <v>20</v>
      </c>
      <c r="B23" s="8" t="s">
        <v>18</v>
      </c>
      <c r="C23" s="14" t="s">
        <v>250</v>
      </c>
      <c r="D23" s="33" t="s">
        <v>246</v>
      </c>
      <c r="E23" s="8">
        <v>5</v>
      </c>
    </row>
    <row r="24" ht="30" customHeight="1" spans="1:5">
      <c r="A24" s="8">
        <v>21</v>
      </c>
      <c r="B24" s="8" t="s">
        <v>86</v>
      </c>
      <c r="C24" s="14" t="s">
        <v>250</v>
      </c>
      <c r="D24" s="33" t="s">
        <v>247</v>
      </c>
      <c r="E24" s="8">
        <v>5</v>
      </c>
    </row>
    <row r="25" ht="30" customHeight="1" spans="1:5">
      <c r="A25" s="8">
        <v>22</v>
      </c>
      <c r="B25" s="8" t="s">
        <v>232</v>
      </c>
      <c r="C25" s="14" t="s">
        <v>250</v>
      </c>
      <c r="D25" s="33" t="s">
        <v>248</v>
      </c>
      <c r="E25" s="8">
        <v>10</v>
      </c>
    </row>
    <row r="26" ht="30" customHeight="1" spans="1:5">
      <c r="A26" s="8">
        <v>23</v>
      </c>
      <c r="B26" s="8" t="s">
        <v>99</v>
      </c>
      <c r="C26" s="14" t="s">
        <v>250</v>
      </c>
      <c r="D26" s="33" t="s">
        <v>244</v>
      </c>
      <c r="E26" s="8">
        <v>10</v>
      </c>
    </row>
    <row r="27" ht="30" customHeight="1" spans="1:5">
      <c r="A27" s="8">
        <v>24</v>
      </c>
      <c r="B27" s="8" t="s">
        <v>18</v>
      </c>
      <c r="C27" s="14" t="s">
        <v>252</v>
      </c>
      <c r="D27" s="33" t="s">
        <v>246</v>
      </c>
      <c r="E27" s="8">
        <v>5</v>
      </c>
    </row>
    <row r="28" ht="30" customHeight="1" spans="1:5">
      <c r="A28" s="8">
        <v>25</v>
      </c>
      <c r="B28" s="8" t="s">
        <v>86</v>
      </c>
      <c r="C28" s="14" t="s">
        <v>252</v>
      </c>
      <c r="D28" s="33" t="s">
        <v>247</v>
      </c>
      <c r="E28" s="8">
        <v>5</v>
      </c>
    </row>
    <row r="29" ht="30" customHeight="1" spans="1:5">
      <c r="A29" s="8">
        <v>26</v>
      </c>
      <c r="B29" s="8" t="s">
        <v>232</v>
      </c>
      <c r="C29" s="14" t="s">
        <v>252</v>
      </c>
      <c r="D29" s="33" t="s">
        <v>248</v>
      </c>
      <c r="E29" s="8">
        <v>10</v>
      </c>
    </row>
    <row r="30" ht="30" customHeight="1" spans="1:5">
      <c r="A30" s="8">
        <v>27</v>
      </c>
      <c r="B30" s="8" t="s">
        <v>99</v>
      </c>
      <c r="C30" s="14" t="s">
        <v>252</v>
      </c>
      <c r="D30" s="33" t="s">
        <v>244</v>
      </c>
      <c r="E30" s="8">
        <v>10</v>
      </c>
    </row>
    <row r="31" ht="30" customHeight="1" spans="1:5">
      <c r="A31" s="8">
        <v>28</v>
      </c>
      <c r="B31" s="8" t="s">
        <v>99</v>
      </c>
      <c r="C31" s="14" t="s">
        <v>253</v>
      </c>
      <c r="D31" s="33" t="s">
        <v>244</v>
      </c>
      <c r="E31" s="8">
        <v>10</v>
      </c>
    </row>
    <row r="32" ht="30" customHeight="1" spans="1:5">
      <c r="A32" s="8">
        <v>29</v>
      </c>
      <c r="B32" s="8" t="s">
        <v>41</v>
      </c>
      <c r="C32" s="14" t="s">
        <v>253</v>
      </c>
      <c r="D32" s="33" t="s">
        <v>248</v>
      </c>
      <c r="E32" s="8">
        <v>5</v>
      </c>
    </row>
    <row r="33" ht="30" customHeight="1" spans="1:5">
      <c r="A33" s="8">
        <v>30</v>
      </c>
      <c r="B33" s="8" t="s">
        <v>45</v>
      </c>
      <c r="C33" s="14" t="s">
        <v>253</v>
      </c>
      <c r="D33" s="33" t="s">
        <v>248</v>
      </c>
      <c r="E33" s="8">
        <v>5</v>
      </c>
    </row>
    <row r="34" ht="30" customHeight="1" spans="1:5">
      <c r="A34" s="8">
        <v>31</v>
      </c>
      <c r="B34" s="8" t="s">
        <v>18</v>
      </c>
      <c r="C34" s="14" t="s">
        <v>254</v>
      </c>
      <c r="D34" s="33" t="s">
        <v>246</v>
      </c>
      <c r="E34" s="8">
        <v>5</v>
      </c>
    </row>
    <row r="35" ht="30" customHeight="1" spans="1:5">
      <c r="A35" s="8">
        <v>32</v>
      </c>
      <c r="B35" s="8" t="s">
        <v>86</v>
      </c>
      <c r="C35" s="14" t="s">
        <v>254</v>
      </c>
      <c r="D35" s="33" t="s">
        <v>247</v>
      </c>
      <c r="E35" s="8">
        <v>5</v>
      </c>
    </row>
    <row r="36" ht="30" customHeight="1" spans="1:5">
      <c r="A36" s="8">
        <v>33</v>
      </c>
      <c r="B36" s="8" t="s">
        <v>232</v>
      </c>
      <c r="C36" s="14" t="s">
        <v>254</v>
      </c>
      <c r="D36" s="33" t="s">
        <v>248</v>
      </c>
      <c r="E36" s="8">
        <v>10</v>
      </c>
    </row>
    <row r="37" ht="32" customHeight="1" spans="1:5">
      <c r="A37" s="8">
        <v>34</v>
      </c>
      <c r="B37" s="8" t="s">
        <v>255</v>
      </c>
      <c r="C37" s="14" t="s">
        <v>254</v>
      </c>
      <c r="D37" s="33" t="s">
        <v>256</v>
      </c>
      <c r="E37" s="8">
        <v>-5</v>
      </c>
    </row>
    <row r="38" ht="30" customHeight="1" spans="1:5">
      <c r="A38" s="8">
        <v>35</v>
      </c>
      <c r="B38" s="8" t="s">
        <v>18</v>
      </c>
      <c r="C38" s="14" t="s">
        <v>257</v>
      </c>
      <c r="D38" s="33" t="s">
        <v>246</v>
      </c>
      <c r="E38" s="8">
        <v>5</v>
      </c>
    </row>
    <row r="39" ht="30" customHeight="1" spans="1:5">
      <c r="A39" s="8">
        <v>36</v>
      </c>
      <c r="B39" s="8" t="s">
        <v>86</v>
      </c>
      <c r="C39" s="14" t="s">
        <v>257</v>
      </c>
      <c r="D39" s="33" t="s">
        <v>247</v>
      </c>
      <c r="E39" s="8">
        <v>5</v>
      </c>
    </row>
    <row r="40" ht="32" customHeight="1" spans="1:5">
      <c r="A40" s="8">
        <v>37</v>
      </c>
      <c r="B40" s="8" t="s">
        <v>232</v>
      </c>
      <c r="C40" s="14" t="s">
        <v>257</v>
      </c>
      <c r="D40" s="33" t="s">
        <v>248</v>
      </c>
      <c r="E40" s="8">
        <v>10</v>
      </c>
    </row>
    <row r="41" ht="32" customHeight="1" spans="1:5">
      <c r="A41" s="8">
        <v>38</v>
      </c>
      <c r="B41" s="8" t="s">
        <v>188</v>
      </c>
      <c r="C41" s="14">
        <v>46186</v>
      </c>
      <c r="D41" s="33" t="s">
        <v>251</v>
      </c>
      <c r="E41" s="8">
        <v>5</v>
      </c>
    </row>
    <row r="42" ht="32" customHeight="1" spans="1:5">
      <c r="A42" s="8">
        <v>39</v>
      </c>
      <c r="B42" s="8" t="s">
        <v>99</v>
      </c>
      <c r="C42" s="14" t="s">
        <v>258</v>
      </c>
      <c r="D42" s="33" t="s">
        <v>244</v>
      </c>
      <c r="E42" s="8">
        <v>10</v>
      </c>
    </row>
    <row r="43" ht="32" customHeight="1" spans="1:5">
      <c r="A43" s="8">
        <v>40</v>
      </c>
      <c r="B43" s="8" t="s">
        <v>41</v>
      </c>
      <c r="C43" s="14" t="s">
        <v>258</v>
      </c>
      <c r="D43" s="33" t="s">
        <v>248</v>
      </c>
      <c r="E43" s="8">
        <v>3</v>
      </c>
    </row>
    <row r="44" ht="32" customHeight="1" spans="1:5">
      <c r="A44" s="8">
        <v>41</v>
      </c>
      <c r="B44" s="8" t="s">
        <v>45</v>
      </c>
      <c r="C44" s="14" t="s">
        <v>258</v>
      </c>
      <c r="D44" s="33" t="s">
        <v>248</v>
      </c>
      <c r="E44" s="8">
        <v>3</v>
      </c>
    </row>
    <row r="45" ht="32" customHeight="1" spans="1:5">
      <c r="A45" s="8">
        <v>42</v>
      </c>
      <c r="B45" s="8" t="s">
        <v>43</v>
      </c>
      <c r="C45" s="14" t="s">
        <v>258</v>
      </c>
      <c r="D45" s="33" t="s">
        <v>248</v>
      </c>
      <c r="E45" s="8">
        <v>4</v>
      </c>
    </row>
    <row r="46" ht="32" customHeight="1" spans="1:5">
      <c r="A46" s="8">
        <v>43</v>
      </c>
      <c r="B46" s="8" t="s">
        <v>18</v>
      </c>
      <c r="C46" s="14" t="s">
        <v>258</v>
      </c>
      <c r="D46" s="33" t="s">
        <v>246</v>
      </c>
      <c r="E46" s="8">
        <v>5</v>
      </c>
    </row>
    <row r="47" ht="32" customHeight="1" spans="1:5">
      <c r="A47" s="8">
        <v>44</v>
      </c>
      <c r="B47" s="8" t="s">
        <v>86</v>
      </c>
      <c r="C47" s="14" t="s">
        <v>258</v>
      </c>
      <c r="D47" s="33" t="s">
        <v>247</v>
      </c>
      <c r="E47" s="8">
        <v>5</v>
      </c>
    </row>
    <row r="48" ht="32" customHeight="1" spans="1:5">
      <c r="A48" s="8">
        <v>45</v>
      </c>
      <c r="B48" s="8" t="s">
        <v>232</v>
      </c>
      <c r="C48" s="14" t="s">
        <v>258</v>
      </c>
      <c r="D48" s="33" t="s">
        <v>248</v>
      </c>
      <c r="E48" s="8">
        <v>10</v>
      </c>
    </row>
    <row r="49" ht="32" customHeight="1" spans="1:5">
      <c r="A49" s="8">
        <v>46</v>
      </c>
      <c r="B49" s="8" t="s">
        <v>99</v>
      </c>
      <c r="C49" s="14" t="s">
        <v>258</v>
      </c>
      <c r="D49" s="33" t="s">
        <v>244</v>
      </c>
      <c r="E49" s="8">
        <v>10</v>
      </c>
    </row>
    <row r="50" ht="32" customHeight="1" spans="1:5">
      <c r="A50" s="8">
        <v>47</v>
      </c>
      <c r="B50" s="8" t="s">
        <v>41</v>
      </c>
      <c r="C50" s="14" t="s">
        <v>259</v>
      </c>
      <c r="D50" s="33" t="s">
        <v>248</v>
      </c>
      <c r="E50" s="8">
        <v>4</v>
      </c>
    </row>
    <row r="51" ht="32" customHeight="1" spans="1:5">
      <c r="A51" s="8">
        <v>48</v>
      </c>
      <c r="B51" s="8" t="s">
        <v>45</v>
      </c>
      <c r="C51" s="14" t="s">
        <v>259</v>
      </c>
      <c r="D51" s="33" t="s">
        <v>248</v>
      </c>
      <c r="E51" s="8">
        <v>3</v>
      </c>
    </row>
    <row r="52" ht="32" customHeight="1" spans="1:5">
      <c r="A52" s="8">
        <v>49</v>
      </c>
      <c r="B52" s="8" t="s">
        <v>43</v>
      </c>
      <c r="C52" s="14" t="s">
        <v>259</v>
      </c>
      <c r="D52" s="33" t="s">
        <v>248</v>
      </c>
      <c r="E52" s="8">
        <v>3</v>
      </c>
    </row>
    <row r="53" ht="32" customHeight="1" spans="1:5">
      <c r="A53" s="8">
        <v>50</v>
      </c>
      <c r="B53" s="8" t="s">
        <v>18</v>
      </c>
      <c r="C53" s="14" t="s">
        <v>259</v>
      </c>
      <c r="D53" s="33" t="s">
        <v>246</v>
      </c>
      <c r="E53" s="8">
        <v>5</v>
      </c>
    </row>
    <row r="54" ht="32" customHeight="1" spans="1:5">
      <c r="A54" s="8">
        <v>51</v>
      </c>
      <c r="B54" s="8" t="s">
        <v>86</v>
      </c>
      <c r="C54" s="14" t="s">
        <v>259</v>
      </c>
      <c r="D54" s="33" t="s">
        <v>247</v>
      </c>
      <c r="E54" s="8">
        <v>5</v>
      </c>
    </row>
    <row r="55" ht="32" customHeight="1" spans="1:5">
      <c r="A55" s="8">
        <v>52</v>
      </c>
      <c r="B55" s="8" t="s">
        <v>232</v>
      </c>
      <c r="C55" s="14" t="s">
        <v>259</v>
      </c>
      <c r="D55" s="33" t="s">
        <v>248</v>
      </c>
      <c r="E55" s="8">
        <v>10</v>
      </c>
    </row>
    <row r="56" ht="32" customHeight="1" spans="1:5">
      <c r="A56" s="8">
        <v>53</v>
      </c>
      <c r="B56" s="8" t="s">
        <v>56</v>
      </c>
      <c r="C56" s="14" t="s">
        <v>260</v>
      </c>
      <c r="D56" s="33" t="s">
        <v>244</v>
      </c>
      <c r="E56" s="8">
        <v>10</v>
      </c>
    </row>
    <row r="57" ht="32" customHeight="1" spans="1:5">
      <c r="A57" s="8">
        <v>54</v>
      </c>
      <c r="B57" s="8" t="s">
        <v>41</v>
      </c>
      <c r="C57" s="14" t="s">
        <v>260</v>
      </c>
      <c r="D57" s="33" t="s">
        <v>248</v>
      </c>
      <c r="E57" s="8">
        <v>3</v>
      </c>
    </row>
    <row r="58" ht="32" customHeight="1" spans="1:5">
      <c r="A58" s="8">
        <v>55</v>
      </c>
      <c r="B58" s="8" t="s">
        <v>45</v>
      </c>
      <c r="C58" s="14" t="s">
        <v>260</v>
      </c>
      <c r="D58" s="33" t="s">
        <v>248</v>
      </c>
      <c r="E58" s="8">
        <v>4</v>
      </c>
    </row>
    <row r="59" ht="32" customHeight="1" spans="1:5">
      <c r="A59" s="8">
        <v>56</v>
      </c>
      <c r="B59" s="8" t="s">
        <v>43</v>
      </c>
      <c r="C59" s="14" t="s">
        <v>260</v>
      </c>
      <c r="D59" s="33" t="s">
        <v>248</v>
      </c>
      <c r="E59" s="8">
        <v>3</v>
      </c>
    </row>
    <row r="60" ht="32" customHeight="1" spans="1:5">
      <c r="A60" s="8">
        <v>57</v>
      </c>
      <c r="B60" s="8" t="s">
        <v>41</v>
      </c>
      <c r="C60" s="14" t="s">
        <v>261</v>
      </c>
      <c r="D60" s="33" t="s">
        <v>248</v>
      </c>
      <c r="E60" s="8">
        <v>3</v>
      </c>
    </row>
    <row r="61" ht="32" customHeight="1" spans="1:5">
      <c r="A61" s="8">
        <v>58</v>
      </c>
      <c r="B61" s="8" t="s">
        <v>45</v>
      </c>
      <c r="C61" s="14" t="s">
        <v>261</v>
      </c>
      <c r="D61" s="33" t="s">
        <v>248</v>
      </c>
      <c r="E61" s="8">
        <v>3</v>
      </c>
    </row>
    <row r="62" ht="32" customHeight="1" spans="1:5">
      <c r="A62" s="8">
        <v>59</v>
      </c>
      <c r="B62" s="8" t="s">
        <v>43</v>
      </c>
      <c r="C62" s="14" t="s">
        <v>261</v>
      </c>
      <c r="D62" s="33" t="s">
        <v>248</v>
      </c>
      <c r="E62" s="8">
        <v>4</v>
      </c>
    </row>
    <row r="63" ht="32" customHeight="1" spans="1:5">
      <c r="A63" s="8">
        <v>60</v>
      </c>
      <c r="B63" s="8" t="s">
        <v>232</v>
      </c>
      <c r="C63" s="14" t="s">
        <v>262</v>
      </c>
      <c r="D63" s="33" t="s">
        <v>263</v>
      </c>
      <c r="E63" s="8">
        <v>5</v>
      </c>
    </row>
    <row r="64" ht="32" customHeight="1" spans="1:5">
      <c r="A64" s="8">
        <v>61</v>
      </c>
      <c r="B64" s="8" t="s">
        <v>264</v>
      </c>
      <c r="C64" s="14" t="s">
        <v>262</v>
      </c>
      <c r="D64" s="33" t="s">
        <v>265</v>
      </c>
      <c r="E64" s="8">
        <v>5</v>
      </c>
    </row>
    <row r="65" ht="32" customHeight="1" spans="1:5">
      <c r="A65" s="8">
        <v>62</v>
      </c>
      <c r="B65" s="8" t="s">
        <v>232</v>
      </c>
      <c r="C65" s="14" t="s">
        <v>266</v>
      </c>
      <c r="D65" s="33" t="s">
        <v>263</v>
      </c>
      <c r="E65" s="8">
        <v>5</v>
      </c>
    </row>
    <row r="66" ht="32" customHeight="1" spans="1:5">
      <c r="A66" s="8">
        <v>63</v>
      </c>
      <c r="B66" s="8" t="s">
        <v>264</v>
      </c>
      <c r="C66" s="14" t="s">
        <v>266</v>
      </c>
      <c r="D66" s="33" t="s">
        <v>265</v>
      </c>
      <c r="E66" s="8">
        <v>5</v>
      </c>
    </row>
    <row r="67" ht="32" customHeight="1" spans="1:5">
      <c r="A67" s="8">
        <v>64</v>
      </c>
      <c r="B67" s="8" t="s">
        <v>41</v>
      </c>
      <c r="C67" s="14" t="s">
        <v>267</v>
      </c>
      <c r="D67" s="33" t="s">
        <v>248</v>
      </c>
      <c r="E67" s="8">
        <v>4</v>
      </c>
    </row>
    <row r="68" ht="32" customHeight="1" spans="1:5">
      <c r="A68" s="8">
        <v>65</v>
      </c>
      <c r="B68" s="8" t="s">
        <v>45</v>
      </c>
      <c r="C68" s="14" t="s">
        <v>267</v>
      </c>
      <c r="D68" s="33" t="s">
        <v>248</v>
      </c>
      <c r="E68" s="8">
        <v>3</v>
      </c>
    </row>
    <row r="69" ht="32" customHeight="1" spans="1:5">
      <c r="A69" s="8">
        <v>66</v>
      </c>
      <c r="B69" s="8" t="s">
        <v>43</v>
      </c>
      <c r="C69" s="14" t="s">
        <v>267</v>
      </c>
      <c r="D69" s="33" t="s">
        <v>248</v>
      </c>
      <c r="E69" s="8">
        <v>3</v>
      </c>
    </row>
    <row r="70" ht="32" customHeight="1" spans="1:5">
      <c r="A70" s="8">
        <v>67</v>
      </c>
      <c r="B70" s="8" t="s">
        <v>41</v>
      </c>
      <c r="C70" s="14" t="s">
        <v>268</v>
      </c>
      <c r="D70" s="33" t="s">
        <v>248</v>
      </c>
      <c r="E70" s="8">
        <v>3</v>
      </c>
    </row>
    <row r="71" ht="32" customHeight="1" spans="1:5">
      <c r="A71" s="8">
        <v>68</v>
      </c>
      <c r="B71" s="8" t="s">
        <v>45</v>
      </c>
      <c r="C71" s="14" t="s">
        <v>268</v>
      </c>
      <c r="D71" s="33" t="s">
        <v>248</v>
      </c>
      <c r="E71" s="8">
        <v>4</v>
      </c>
    </row>
    <row r="72" ht="32" customHeight="1" spans="1:5">
      <c r="A72" s="8">
        <v>69</v>
      </c>
      <c r="B72" s="8" t="s">
        <v>43</v>
      </c>
      <c r="C72" s="14" t="s">
        <v>268</v>
      </c>
      <c r="D72" s="33" t="s">
        <v>248</v>
      </c>
      <c r="E72" s="8">
        <v>3</v>
      </c>
    </row>
    <row r="73" ht="32" customHeight="1" spans="1:5">
      <c r="A73" s="8">
        <v>70</v>
      </c>
      <c r="B73" s="8" t="s">
        <v>41</v>
      </c>
      <c r="C73" s="14" t="s">
        <v>269</v>
      </c>
      <c r="D73" s="33" t="s">
        <v>248</v>
      </c>
      <c r="E73" s="8">
        <v>3</v>
      </c>
    </row>
    <row r="74" ht="32" customHeight="1" spans="1:5">
      <c r="A74" s="8">
        <v>71</v>
      </c>
      <c r="B74" s="8" t="s">
        <v>45</v>
      </c>
      <c r="C74" s="14" t="s">
        <v>269</v>
      </c>
      <c r="D74" s="33" t="s">
        <v>248</v>
      </c>
      <c r="E74" s="8">
        <v>4</v>
      </c>
    </row>
    <row r="75" ht="32" customHeight="1" spans="1:5">
      <c r="A75" s="8">
        <v>72</v>
      </c>
      <c r="B75" s="8" t="s">
        <v>43</v>
      </c>
      <c r="C75" s="14" t="s">
        <v>269</v>
      </c>
      <c r="D75" s="33" t="s">
        <v>248</v>
      </c>
      <c r="E75" s="8">
        <v>3</v>
      </c>
    </row>
    <row r="76" ht="32" customHeight="1" spans="1:5">
      <c r="A76" s="8">
        <v>73</v>
      </c>
      <c r="B76" s="8" t="s">
        <v>270</v>
      </c>
      <c r="C76" s="14" t="s">
        <v>269</v>
      </c>
      <c r="D76" s="33" t="s">
        <v>271</v>
      </c>
      <c r="E76" s="8">
        <v>10</v>
      </c>
    </row>
    <row r="77" ht="32" customHeight="1" spans="1:5">
      <c r="A77" s="8">
        <v>74</v>
      </c>
      <c r="B77" s="8" t="s">
        <v>270</v>
      </c>
      <c r="C77" s="14" t="s">
        <v>272</v>
      </c>
      <c r="D77" s="33" t="s">
        <v>271</v>
      </c>
      <c r="E77" s="8">
        <v>10</v>
      </c>
    </row>
    <row r="78" ht="32" customHeight="1" spans="1:5">
      <c r="A78" s="8">
        <v>75</v>
      </c>
      <c r="B78" s="8" t="s">
        <v>41</v>
      </c>
      <c r="C78" s="14" t="s">
        <v>272</v>
      </c>
      <c r="D78" s="33" t="s">
        <v>248</v>
      </c>
      <c r="E78" s="8">
        <v>4</v>
      </c>
    </row>
    <row r="79" ht="32" customHeight="1" spans="1:5">
      <c r="A79" s="8">
        <v>76</v>
      </c>
      <c r="B79" s="8" t="s">
        <v>45</v>
      </c>
      <c r="C79" s="14" t="s">
        <v>272</v>
      </c>
      <c r="D79" s="33" t="s">
        <v>248</v>
      </c>
      <c r="E79" s="8">
        <v>4</v>
      </c>
    </row>
    <row r="80" ht="32" customHeight="1" spans="1:5">
      <c r="A80" s="8">
        <v>77</v>
      </c>
      <c r="B80" s="8" t="s">
        <v>43</v>
      </c>
      <c r="C80" s="14" t="s">
        <v>272</v>
      </c>
      <c r="D80" s="33" t="s">
        <v>248</v>
      </c>
      <c r="E80" s="8">
        <v>5</v>
      </c>
    </row>
    <row r="81" ht="32" customHeight="1" spans="1:5">
      <c r="A81" s="8">
        <v>78</v>
      </c>
      <c r="B81" s="28" t="s">
        <v>273</v>
      </c>
      <c r="C81" s="14" t="s">
        <v>274</v>
      </c>
      <c r="D81" s="33" t="s">
        <v>275</v>
      </c>
      <c r="E81" s="8">
        <v>10</v>
      </c>
    </row>
    <row r="82" ht="32" customHeight="1" spans="1:5">
      <c r="A82" s="8">
        <v>79</v>
      </c>
      <c r="B82" s="28" t="s">
        <v>276</v>
      </c>
      <c r="C82" s="14" t="s">
        <v>274</v>
      </c>
      <c r="D82" s="33" t="s">
        <v>277</v>
      </c>
      <c r="E82" s="8">
        <v>10</v>
      </c>
    </row>
    <row r="83" ht="32" customHeight="1" spans="1:5">
      <c r="A83" s="8">
        <v>80</v>
      </c>
      <c r="B83" s="28" t="s">
        <v>276</v>
      </c>
      <c r="C83" s="14" t="s">
        <v>278</v>
      </c>
      <c r="D83" s="33" t="s">
        <v>277</v>
      </c>
      <c r="E83" s="8">
        <v>10</v>
      </c>
    </row>
    <row r="84" ht="32" customHeight="1" spans="1:5">
      <c r="A84" s="8">
        <v>81</v>
      </c>
      <c r="B84" s="28" t="s">
        <v>273</v>
      </c>
      <c r="C84" s="14" t="s">
        <v>278</v>
      </c>
      <c r="D84" s="33" t="s">
        <v>275</v>
      </c>
      <c r="E84" s="8">
        <v>10</v>
      </c>
    </row>
    <row r="85" ht="32" customHeight="1" spans="1:5">
      <c r="A85" s="8">
        <v>82</v>
      </c>
      <c r="B85" s="8" t="s">
        <v>270</v>
      </c>
      <c r="C85" s="14" t="s">
        <v>279</v>
      </c>
      <c r="D85" s="33" t="s">
        <v>271</v>
      </c>
      <c r="E85" s="8">
        <v>10</v>
      </c>
    </row>
    <row r="86" ht="32" customHeight="1" spans="1:5">
      <c r="A86" s="8">
        <v>83</v>
      </c>
      <c r="B86" s="8" t="s">
        <v>188</v>
      </c>
      <c r="C86" s="14">
        <v>46201</v>
      </c>
      <c r="D86" s="33" t="s">
        <v>251</v>
      </c>
      <c r="E86" s="8">
        <v>5</v>
      </c>
    </row>
    <row r="87" ht="32" customHeight="1" spans="1:5">
      <c r="A87" s="8">
        <v>84</v>
      </c>
      <c r="B87" s="8" t="s">
        <v>41</v>
      </c>
      <c r="C87" s="14" t="s">
        <v>280</v>
      </c>
      <c r="D87" s="34" t="s">
        <v>281</v>
      </c>
      <c r="E87" s="8">
        <v>16</v>
      </c>
    </row>
    <row r="88" ht="32" customHeight="1" spans="1:5">
      <c r="A88" s="8">
        <v>85</v>
      </c>
      <c r="B88" s="8" t="s">
        <v>45</v>
      </c>
      <c r="C88" s="14" t="s">
        <v>280</v>
      </c>
      <c r="D88" s="34" t="s">
        <v>281</v>
      </c>
      <c r="E88" s="8">
        <v>16</v>
      </c>
    </row>
    <row r="89" ht="32" customHeight="1" spans="1:5">
      <c r="A89" s="8">
        <v>86</v>
      </c>
      <c r="B89" s="8" t="s">
        <v>43</v>
      </c>
      <c r="C89" s="14" t="s">
        <v>280</v>
      </c>
      <c r="D89" s="34" t="s">
        <v>281</v>
      </c>
      <c r="E89" s="8">
        <v>16</v>
      </c>
    </row>
    <row r="90" ht="32" customHeight="1" spans="1:5">
      <c r="A90" s="8">
        <v>87</v>
      </c>
      <c r="B90" s="28" t="s">
        <v>49</v>
      </c>
      <c r="C90" s="14" t="s">
        <v>282</v>
      </c>
      <c r="D90" s="35" t="s">
        <v>283</v>
      </c>
      <c r="E90" s="8">
        <v>5</v>
      </c>
    </row>
    <row r="91" ht="32" customHeight="1" spans="1:5">
      <c r="A91" s="8">
        <v>88</v>
      </c>
      <c r="B91" s="28" t="s">
        <v>284</v>
      </c>
      <c r="C91" s="14" t="s">
        <v>282</v>
      </c>
      <c r="D91" s="35" t="s">
        <v>283</v>
      </c>
      <c r="E91" s="8">
        <v>5</v>
      </c>
    </row>
    <row r="92" ht="32" customHeight="1" spans="1:5">
      <c r="A92" s="8">
        <v>89</v>
      </c>
      <c r="B92" s="28" t="s">
        <v>285</v>
      </c>
      <c r="C92" s="14" t="s">
        <v>282</v>
      </c>
      <c r="D92" s="35" t="s">
        <v>283</v>
      </c>
      <c r="E92" s="8">
        <v>5</v>
      </c>
    </row>
    <row r="93" ht="32" customHeight="1" spans="1:5">
      <c r="A93" s="8">
        <v>90</v>
      </c>
      <c r="B93" s="28" t="s">
        <v>103</v>
      </c>
      <c r="C93" s="14" t="s">
        <v>282</v>
      </c>
      <c r="D93" s="35" t="s">
        <v>283</v>
      </c>
      <c r="E93" s="8">
        <v>5</v>
      </c>
    </row>
    <row r="94" ht="32" customHeight="1" spans="1:5">
      <c r="A94" s="8">
        <v>91</v>
      </c>
      <c r="B94" s="28" t="s">
        <v>127</v>
      </c>
      <c r="C94" s="14" t="s">
        <v>282</v>
      </c>
      <c r="D94" s="35" t="s">
        <v>283</v>
      </c>
      <c r="E94" s="8">
        <v>5</v>
      </c>
    </row>
    <row r="95" ht="32" customHeight="1" spans="1:5">
      <c r="A95" s="8">
        <v>92</v>
      </c>
      <c r="B95" s="28" t="s">
        <v>160</v>
      </c>
      <c r="C95" s="14" t="s">
        <v>282</v>
      </c>
      <c r="D95" s="35" t="s">
        <v>283</v>
      </c>
      <c r="E95" s="8">
        <v>5</v>
      </c>
    </row>
    <row r="96" ht="32" customHeight="1" spans="1:5">
      <c r="A96" s="8">
        <v>93</v>
      </c>
      <c r="B96" s="28" t="s">
        <v>232</v>
      </c>
      <c r="C96" s="14" t="s">
        <v>282</v>
      </c>
      <c r="D96" s="35" t="s">
        <v>286</v>
      </c>
      <c r="E96" s="8">
        <v>5</v>
      </c>
    </row>
    <row r="97" ht="32" customHeight="1" spans="1:7">
      <c r="A97" s="8">
        <v>94</v>
      </c>
      <c r="B97" s="28" t="s">
        <v>19</v>
      </c>
      <c r="C97" s="14" t="s">
        <v>282</v>
      </c>
      <c r="D97" s="35" t="s">
        <v>286</v>
      </c>
      <c r="E97" s="8">
        <v>5</v>
      </c>
    </row>
    <row r="98" ht="32" customHeight="1" spans="1:7">
      <c r="A98" s="8">
        <v>95</v>
      </c>
      <c r="B98" s="14" t="s">
        <v>15</v>
      </c>
      <c r="C98" s="14" t="s">
        <v>282</v>
      </c>
      <c r="D98" s="36" t="s">
        <v>287</v>
      </c>
      <c r="E98" s="8">
        <v>10</v>
      </c>
    </row>
    <row r="99" ht="32" customHeight="1" spans="1:7">
      <c r="A99" s="8">
        <v>96</v>
      </c>
      <c r="B99" s="14" t="s">
        <v>46</v>
      </c>
      <c r="C99" s="14" t="s">
        <v>282</v>
      </c>
      <c r="D99" s="36" t="s">
        <v>288</v>
      </c>
      <c r="E99" s="8">
        <v>10</v>
      </c>
    </row>
    <row r="100" ht="32" customHeight="1" spans="1:7">
      <c r="A100" s="8">
        <v>97</v>
      </c>
      <c r="B100" s="14" t="s">
        <v>43</v>
      </c>
      <c r="C100" s="14" t="s">
        <v>282</v>
      </c>
      <c r="D100" s="36" t="s">
        <v>289</v>
      </c>
      <c r="E100" s="8">
        <v>10</v>
      </c>
      <c r="F100" s="24"/>
      <c r="G100" s="24"/>
    </row>
    <row r="101" ht="32" customHeight="1" spans="1:7">
      <c r="A101" s="8">
        <v>98</v>
      </c>
      <c r="B101" s="8" t="s">
        <v>113</v>
      </c>
      <c r="C101" s="14" t="s">
        <v>282</v>
      </c>
      <c r="D101" s="34" t="s">
        <v>290</v>
      </c>
      <c r="E101" s="8">
        <f>291*0.2</f>
        <v>58.2</v>
      </c>
      <c r="F101" s="24"/>
      <c r="G101" s="24"/>
    </row>
    <row r="102" ht="32" customHeight="1" spans="1:7">
      <c r="A102" s="8">
        <v>99</v>
      </c>
      <c r="B102" s="8" t="s">
        <v>12</v>
      </c>
      <c r="C102" s="14" t="s">
        <v>282</v>
      </c>
      <c r="D102" s="34" t="s">
        <v>291</v>
      </c>
      <c r="E102" s="8">
        <f>110*0.2</f>
        <v>22</v>
      </c>
      <c r="F102" s="25"/>
      <c r="G102" s="24"/>
    </row>
    <row r="103" ht="32" customHeight="1" spans="1:7">
      <c r="A103" s="8">
        <v>100</v>
      </c>
      <c r="B103" s="8" t="s">
        <v>92</v>
      </c>
      <c r="C103" s="14" t="s">
        <v>282</v>
      </c>
      <c r="D103" s="34" t="s">
        <v>292</v>
      </c>
      <c r="E103" s="8">
        <f>183*0.2</f>
        <v>36.6</v>
      </c>
      <c r="F103" s="24"/>
      <c r="G103" s="24"/>
    </row>
    <row r="104" ht="32" customHeight="1" spans="1:7">
      <c r="A104" s="8">
        <v>101</v>
      </c>
      <c r="B104" s="8" t="s">
        <v>113</v>
      </c>
      <c r="C104" s="14" t="s">
        <v>282</v>
      </c>
      <c r="D104" s="34" t="s">
        <v>293</v>
      </c>
      <c r="E104" s="8">
        <v>80</v>
      </c>
    </row>
    <row r="105" ht="32" customHeight="1" spans="1:7">
      <c r="A105" s="8">
        <v>102</v>
      </c>
      <c r="B105" s="8" t="s">
        <v>12</v>
      </c>
      <c r="C105" s="14" t="s">
        <v>282</v>
      </c>
      <c r="D105" s="34" t="s">
        <v>200</v>
      </c>
      <c r="E105" s="8">
        <v>40</v>
      </c>
    </row>
    <row r="106" ht="32" customHeight="1" spans="1:7">
      <c r="A106" s="8">
        <v>103</v>
      </c>
      <c r="B106" s="8" t="s">
        <v>92</v>
      </c>
      <c r="C106" s="14" t="s">
        <v>282</v>
      </c>
      <c r="D106" s="34" t="s">
        <v>171</v>
      </c>
      <c r="E106" s="8">
        <v>10</v>
      </c>
    </row>
    <row r="107" ht="32" customHeight="1" spans="1:7">
      <c r="A107" s="8" t="s">
        <v>24</v>
      </c>
      <c r="B107" s="15"/>
      <c r="C107" s="13"/>
      <c r="D107" s="13"/>
      <c r="E107" s="8">
        <f>SUM(E4:E106)</f>
        <v>977.8</v>
      </c>
    </row>
    <row r="108" ht="32" customHeight="1" spans="1:7">
      <c r="A108" s="37" t="s">
        <v>294</v>
      </c>
      <c r="B108" s="37"/>
      <c r="C108" s="37"/>
      <c r="D108" s="37"/>
      <c r="E108" s="37"/>
    </row>
    <row r="109" ht="32" customHeight="1" spans="1:7">
      <c r="A109" s="37" t="s">
        <v>295</v>
      </c>
      <c r="B109" s="37"/>
      <c r="C109" s="37"/>
      <c r="D109" s="37"/>
      <c r="E109" s="37"/>
    </row>
    <row r="110" ht="32" customHeight="1"/>
    <row r="111" ht="32" customHeight="1"/>
    <row r="112" ht="32" customHeight="1"/>
    <row r="113" ht="32" customHeight="1"/>
    <row r="114" ht="32" customHeight="1"/>
    <row r="115" ht="32" customHeight="1"/>
    <row r="116" ht="32" customHeight="1"/>
    <row r="117" ht="32" customHeight="1"/>
    <row r="118" ht="32" customHeight="1"/>
  </sheetData>
  <autoFilter xmlns:etc="http://www.wps.cn/officeDocument/2017/etCustomData" ref="A1:E109" etc:filterBottomFollowUsedRange="0">
    <extLst/>
  </autoFilter>
  <mergeCells count="4">
    <mergeCell ref="A1:E1"/>
    <mergeCell ref="A2:E2"/>
    <mergeCell ref="A108:E108"/>
    <mergeCell ref="A109:E109"/>
  </mergeCells>
  <conditionalFormatting sqref="E$1:E$1048576">
    <cfRule type="cellIs" dxfId="0" priority="1" operator="lessThan">
      <formula>0</formula>
    </cfRule>
  </conditionalFormatting>
  <pageMargins left="0.75" right="0.75" top="1" bottom="1" header="0.5" footer="0.5"/>
  <pageSetup paperSize="9" scale="85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9"/>
  <sheetViews>
    <sheetView topLeftCell="A28" workbookViewId="0">
      <selection activeCell="F47" sqref="F47"/>
    </sheetView>
  </sheetViews>
  <sheetFormatPr defaultColWidth="9" defaultRowHeight="13.5"/>
  <cols>
    <col min="1" max="1" width="6.875" customWidth="1"/>
    <col min="2" max="2" width="15.25" style="1" customWidth="1"/>
    <col min="3" max="3" width="17.25" customWidth="1"/>
    <col min="4" max="4" width="38.75" customWidth="1"/>
    <col min="5" max="5" width="11.125" style="1" customWidth="1"/>
    <col min="6" max="6" width="13" customWidth="1"/>
    <col min="8" max="8" width="12.625"/>
  </cols>
  <sheetData>
    <row r="1" ht="31.5" customHeight="1" spans="1:18">
      <c r="A1" s="2" t="s">
        <v>0</v>
      </c>
      <c r="B1" s="2"/>
      <c r="C1" s="2"/>
      <c r="D1" s="2"/>
      <c r="E1" s="2"/>
      <c r="F1" s="2"/>
    </row>
    <row r="2" ht="27" customHeight="1" spans="1:18">
      <c r="A2" s="5" t="s">
        <v>296</v>
      </c>
      <c r="B2" s="6"/>
      <c r="C2" s="6"/>
      <c r="D2" s="6"/>
      <c r="E2" s="6"/>
      <c r="F2" s="7"/>
    </row>
    <row r="3" ht="28" customHeight="1" spans="1:18">
      <c r="A3" s="8" t="s">
        <v>2</v>
      </c>
      <c r="B3" s="8" t="s">
        <v>3</v>
      </c>
      <c r="C3" s="8" t="s">
        <v>4</v>
      </c>
      <c r="D3" s="23" t="s">
        <v>5</v>
      </c>
      <c r="E3" s="8" t="s">
        <v>6</v>
      </c>
      <c r="F3" s="8" t="s">
        <v>297</v>
      </c>
    </row>
    <row r="4" ht="28" customHeight="1" spans="1:18">
      <c r="A4" s="8">
        <f>ROW()-3</f>
        <v>1</v>
      </c>
      <c r="B4" s="8" t="s">
        <v>113</v>
      </c>
      <c r="C4" s="12">
        <v>46211</v>
      </c>
      <c r="D4" s="23" t="s">
        <v>237</v>
      </c>
      <c r="E4" s="8">
        <v>50</v>
      </c>
      <c r="F4" s="13"/>
    </row>
    <row r="5" ht="28" customHeight="1" spans="1:18">
      <c r="A5" s="8">
        <f t="shared" ref="A5:A14" si="0">ROW()-3</f>
        <v>2</v>
      </c>
      <c r="B5" s="8" t="s">
        <v>92</v>
      </c>
      <c r="C5" s="12">
        <v>46211</v>
      </c>
      <c r="D5" s="23" t="s">
        <v>237</v>
      </c>
      <c r="E5" s="8">
        <v>50</v>
      </c>
      <c r="F5" s="13"/>
    </row>
    <row r="6" ht="28" customHeight="1" spans="1:18">
      <c r="A6" s="8">
        <f t="shared" si="0"/>
        <v>3</v>
      </c>
      <c r="B6" s="8" t="s">
        <v>113</v>
      </c>
      <c r="C6" s="12">
        <v>46212</v>
      </c>
      <c r="D6" s="23" t="s">
        <v>298</v>
      </c>
      <c r="E6" s="8">
        <v>50</v>
      </c>
      <c r="F6" s="13"/>
    </row>
    <row r="7" ht="30" customHeight="1" spans="1:18">
      <c r="A7" s="8">
        <f t="shared" si="0"/>
        <v>4</v>
      </c>
      <c r="B7" s="8" t="s">
        <v>56</v>
      </c>
      <c r="C7" s="12">
        <v>46213</v>
      </c>
      <c r="D7" s="23" t="s">
        <v>299</v>
      </c>
      <c r="E7" s="8">
        <v>10</v>
      </c>
      <c r="F7" s="13"/>
    </row>
    <row r="8" ht="30" customHeight="1" spans="1:18">
      <c r="A8" s="8">
        <f t="shared" si="0"/>
        <v>5</v>
      </c>
      <c r="B8" s="8" t="s">
        <v>160</v>
      </c>
      <c r="C8" s="14">
        <v>46214</v>
      </c>
      <c r="D8" s="23" t="s">
        <v>300</v>
      </c>
      <c r="E8" s="8">
        <v>-5</v>
      </c>
      <c r="F8" s="13"/>
      <c r="K8" s="24"/>
      <c r="L8" s="24"/>
      <c r="M8" s="24"/>
      <c r="N8" s="24"/>
      <c r="O8" s="24"/>
      <c r="P8" s="24"/>
      <c r="Q8" s="24"/>
      <c r="R8" s="24"/>
    </row>
    <row r="9" ht="30" customHeight="1" spans="1:18">
      <c r="A9" s="8">
        <f t="shared" si="0"/>
        <v>6</v>
      </c>
      <c r="B9" s="8" t="s">
        <v>232</v>
      </c>
      <c r="C9" s="12">
        <v>46216</v>
      </c>
      <c r="D9" s="23" t="s">
        <v>301</v>
      </c>
      <c r="E9" s="8">
        <v>-3</v>
      </c>
      <c r="F9" s="13"/>
      <c r="K9" s="24"/>
      <c r="L9" s="24"/>
      <c r="M9" s="24"/>
      <c r="N9" s="24"/>
      <c r="O9" s="24"/>
      <c r="P9" s="24"/>
      <c r="Q9" s="24"/>
      <c r="R9" s="24"/>
    </row>
    <row r="10" ht="30" customHeight="1" spans="1:18">
      <c r="A10" s="8">
        <f t="shared" si="0"/>
        <v>7</v>
      </c>
      <c r="B10" s="8" t="s">
        <v>7</v>
      </c>
      <c r="C10" s="14">
        <v>46219</v>
      </c>
      <c r="D10" s="23" t="s">
        <v>302</v>
      </c>
      <c r="E10" s="8">
        <v>10</v>
      </c>
      <c r="F10" s="13"/>
      <c r="K10" s="24"/>
      <c r="L10" s="24"/>
      <c r="M10" s="24"/>
      <c r="N10" s="24"/>
      <c r="O10" s="24"/>
      <c r="P10" s="24"/>
      <c r="Q10" s="24"/>
      <c r="R10" s="24"/>
    </row>
    <row r="11" ht="30" customHeight="1" spans="1:18">
      <c r="A11" s="8">
        <f t="shared" si="0"/>
        <v>8</v>
      </c>
      <c r="B11" s="8" t="s">
        <v>37</v>
      </c>
      <c r="C11" s="14">
        <v>46219</v>
      </c>
      <c r="D11" s="23" t="s">
        <v>303</v>
      </c>
      <c r="E11" s="8">
        <v>5</v>
      </c>
      <c r="F11" s="13"/>
      <c r="K11" s="24"/>
      <c r="L11" s="24"/>
      <c r="M11" s="24"/>
      <c r="N11" s="24"/>
      <c r="O11" s="24"/>
      <c r="P11" s="24"/>
      <c r="Q11" s="24"/>
      <c r="R11" s="24"/>
    </row>
    <row r="12" ht="30" customHeight="1" spans="1:18">
      <c r="A12" s="8">
        <f t="shared" si="0"/>
        <v>9</v>
      </c>
      <c r="B12" s="8" t="s">
        <v>160</v>
      </c>
      <c r="C12" s="14">
        <v>46220</v>
      </c>
      <c r="D12" s="23" t="s">
        <v>304</v>
      </c>
      <c r="E12" s="8">
        <v>5</v>
      </c>
      <c r="F12" s="13"/>
      <c r="K12" s="24"/>
      <c r="L12" s="24"/>
      <c r="M12" s="24"/>
      <c r="N12" s="24"/>
      <c r="O12" s="24"/>
      <c r="P12" s="24"/>
      <c r="Q12" s="24"/>
      <c r="R12" s="24"/>
    </row>
    <row r="13" ht="30" customHeight="1" spans="1:18">
      <c r="A13" s="8">
        <f t="shared" si="0"/>
        <v>10</v>
      </c>
      <c r="B13" s="8" t="s">
        <v>7</v>
      </c>
      <c r="C13" s="14">
        <v>46220</v>
      </c>
      <c r="D13" s="23" t="s">
        <v>305</v>
      </c>
      <c r="E13" s="8">
        <v>5</v>
      </c>
      <c r="F13" s="13"/>
      <c r="K13" s="24"/>
      <c r="L13" s="25"/>
      <c r="M13" s="26"/>
      <c r="N13" s="27"/>
      <c r="O13" s="25"/>
      <c r="P13" s="24"/>
      <c r="Q13" s="24"/>
      <c r="R13" s="24"/>
    </row>
    <row r="14" ht="30" customHeight="1" spans="1:18">
      <c r="A14" s="8">
        <f t="shared" si="0"/>
        <v>11</v>
      </c>
      <c r="B14" s="8" t="s">
        <v>77</v>
      </c>
      <c r="C14" s="14">
        <v>46220</v>
      </c>
      <c r="D14" s="23" t="s">
        <v>306</v>
      </c>
      <c r="E14" s="8">
        <v>5</v>
      </c>
      <c r="F14" s="13"/>
      <c r="K14" s="24"/>
      <c r="L14" s="24"/>
      <c r="M14" s="24"/>
      <c r="N14" s="24"/>
      <c r="O14" s="24"/>
      <c r="P14" s="24"/>
      <c r="Q14" s="24"/>
      <c r="R14" s="24"/>
    </row>
    <row r="15" ht="30" customHeight="1" spans="1:18">
      <c r="A15" s="8">
        <f t="shared" ref="A15:A24" si="1">ROW()-3</f>
        <v>12</v>
      </c>
      <c r="B15" s="8" t="s">
        <v>37</v>
      </c>
      <c r="C15" s="14">
        <v>46220</v>
      </c>
      <c r="D15" s="23" t="s">
        <v>307</v>
      </c>
      <c r="E15" s="8">
        <v>5</v>
      </c>
      <c r="F15" s="13"/>
      <c r="K15" s="24"/>
      <c r="L15" s="24"/>
      <c r="M15" s="24"/>
      <c r="N15" s="24"/>
      <c r="O15" s="24"/>
      <c r="P15" s="24"/>
      <c r="Q15" s="24"/>
      <c r="R15" s="24"/>
    </row>
    <row r="16" ht="30" customHeight="1" spans="1:18">
      <c r="A16" s="8">
        <f t="shared" si="1"/>
        <v>13</v>
      </c>
      <c r="B16" s="8" t="s">
        <v>160</v>
      </c>
      <c r="C16" s="14">
        <v>46221</v>
      </c>
      <c r="D16" s="23" t="s">
        <v>304</v>
      </c>
      <c r="E16" s="8">
        <v>5</v>
      </c>
      <c r="F16" s="13"/>
      <c r="K16" s="24"/>
      <c r="L16" s="24"/>
      <c r="M16" s="24"/>
      <c r="N16" s="24"/>
      <c r="O16" s="24"/>
      <c r="P16" s="24"/>
      <c r="Q16" s="24"/>
      <c r="R16" s="24"/>
    </row>
    <row r="17" ht="30" customHeight="1" spans="1:18">
      <c r="A17" s="8">
        <f t="shared" si="1"/>
        <v>14</v>
      </c>
      <c r="B17" s="8" t="s">
        <v>7</v>
      </c>
      <c r="C17" s="14">
        <v>46221</v>
      </c>
      <c r="D17" s="23" t="s">
        <v>305</v>
      </c>
      <c r="E17" s="8">
        <v>5</v>
      </c>
      <c r="F17" s="13"/>
      <c r="K17" s="24"/>
      <c r="L17" s="24"/>
      <c r="M17" s="24"/>
      <c r="N17" s="24"/>
      <c r="O17" s="24"/>
      <c r="P17" s="24"/>
      <c r="Q17" s="24"/>
      <c r="R17" s="24"/>
    </row>
    <row r="18" ht="30" customHeight="1" spans="1:18">
      <c r="A18" s="8">
        <f t="shared" si="1"/>
        <v>15</v>
      </c>
      <c r="B18" s="8" t="s">
        <v>74</v>
      </c>
      <c r="C18" s="14">
        <v>46221</v>
      </c>
      <c r="D18" s="23" t="s">
        <v>308</v>
      </c>
      <c r="E18" s="8">
        <v>10</v>
      </c>
      <c r="F18" s="13"/>
    </row>
    <row r="19" ht="30" customHeight="1" spans="1:18">
      <c r="A19" s="8">
        <f t="shared" si="1"/>
        <v>16</v>
      </c>
      <c r="B19" s="8" t="s">
        <v>160</v>
      </c>
      <c r="C19" s="14">
        <v>46222</v>
      </c>
      <c r="D19" s="23" t="s">
        <v>304</v>
      </c>
      <c r="E19" s="8">
        <v>5</v>
      </c>
      <c r="F19" s="13"/>
    </row>
    <row r="20" ht="30" customHeight="1" spans="1:18">
      <c r="A20" s="8">
        <f t="shared" si="1"/>
        <v>17</v>
      </c>
      <c r="B20" s="8" t="s">
        <v>7</v>
      </c>
      <c r="C20" s="14">
        <v>46222</v>
      </c>
      <c r="D20" s="23" t="s">
        <v>305</v>
      </c>
      <c r="E20" s="8">
        <v>5</v>
      </c>
      <c r="F20" s="13"/>
    </row>
    <row r="21" ht="30" customHeight="1" spans="1:18">
      <c r="A21" s="8">
        <f t="shared" si="1"/>
        <v>18</v>
      </c>
      <c r="B21" s="8" t="s">
        <v>77</v>
      </c>
      <c r="C21" s="14">
        <v>46222</v>
      </c>
      <c r="D21" s="23" t="s">
        <v>306</v>
      </c>
      <c r="E21" s="8">
        <v>5</v>
      </c>
      <c r="F21" s="13"/>
    </row>
    <row r="22" ht="30" customHeight="1" spans="1:18">
      <c r="A22" s="8">
        <f t="shared" si="1"/>
        <v>19</v>
      </c>
      <c r="B22" s="8" t="s">
        <v>37</v>
      </c>
      <c r="C22" s="14">
        <v>46222</v>
      </c>
      <c r="D22" s="23" t="s">
        <v>307</v>
      </c>
      <c r="E22" s="8">
        <v>5</v>
      </c>
      <c r="F22" s="13"/>
    </row>
    <row r="23" ht="30" customHeight="1" spans="1:18">
      <c r="A23" s="8">
        <f t="shared" ref="A23:A41" si="2">ROW()-3</f>
        <v>20</v>
      </c>
      <c r="B23" s="8" t="s">
        <v>284</v>
      </c>
      <c r="C23" s="14">
        <v>46223</v>
      </c>
      <c r="D23" s="23" t="s">
        <v>309</v>
      </c>
      <c r="E23" s="8">
        <v>10</v>
      </c>
      <c r="F23" s="13"/>
    </row>
    <row r="24" ht="30" customHeight="1" spans="1:18">
      <c r="A24" s="8">
        <f t="shared" si="2"/>
        <v>21</v>
      </c>
      <c r="B24" s="8" t="s">
        <v>160</v>
      </c>
      <c r="C24" s="14">
        <v>46225</v>
      </c>
      <c r="D24" s="23" t="s">
        <v>304</v>
      </c>
      <c r="E24" s="8">
        <v>5</v>
      </c>
      <c r="F24" s="13"/>
    </row>
    <row r="25" ht="30" customHeight="1" spans="1:18">
      <c r="A25" s="8">
        <f t="shared" si="2"/>
        <v>22</v>
      </c>
      <c r="B25" s="8" t="s">
        <v>7</v>
      </c>
      <c r="C25" s="14">
        <v>46225</v>
      </c>
      <c r="D25" s="23" t="s">
        <v>305</v>
      </c>
      <c r="E25" s="8">
        <v>5</v>
      </c>
      <c r="F25" s="13"/>
    </row>
    <row r="26" ht="30" customHeight="1" spans="1:18">
      <c r="A26" s="8">
        <f t="shared" si="2"/>
        <v>23</v>
      </c>
      <c r="B26" s="8" t="s">
        <v>99</v>
      </c>
      <c r="C26" s="14">
        <v>46225</v>
      </c>
      <c r="D26" s="23" t="s">
        <v>310</v>
      </c>
      <c r="E26" s="8">
        <v>10</v>
      </c>
      <c r="F26" s="13"/>
    </row>
    <row r="27" ht="30" customHeight="1" spans="1:18">
      <c r="A27" s="8">
        <f t="shared" si="2"/>
        <v>24</v>
      </c>
      <c r="B27" s="8" t="s">
        <v>160</v>
      </c>
      <c r="C27" s="14">
        <v>46226</v>
      </c>
      <c r="D27" s="23" t="s">
        <v>304</v>
      </c>
      <c r="E27" s="8">
        <v>5</v>
      </c>
      <c r="F27" s="13"/>
    </row>
    <row r="28" ht="30" customHeight="1" spans="1:18">
      <c r="A28" s="8">
        <f t="shared" si="2"/>
        <v>25</v>
      </c>
      <c r="B28" s="8" t="s">
        <v>7</v>
      </c>
      <c r="C28" s="14">
        <v>46226</v>
      </c>
      <c r="D28" s="23" t="s">
        <v>305</v>
      </c>
      <c r="E28" s="8">
        <v>5</v>
      </c>
      <c r="F28" s="13"/>
    </row>
    <row r="29" ht="30" customHeight="1" spans="1:18">
      <c r="A29" s="8">
        <f t="shared" si="2"/>
        <v>26</v>
      </c>
      <c r="B29" s="8" t="s">
        <v>74</v>
      </c>
      <c r="C29" s="14">
        <v>46226</v>
      </c>
      <c r="D29" s="23" t="s">
        <v>311</v>
      </c>
      <c r="E29" s="8">
        <v>5</v>
      </c>
      <c r="F29" s="13"/>
    </row>
    <row r="30" ht="30" customHeight="1" spans="1:18">
      <c r="A30" s="8">
        <f t="shared" si="2"/>
        <v>27</v>
      </c>
      <c r="B30" s="8" t="s">
        <v>151</v>
      </c>
      <c r="C30" s="14">
        <v>46226</v>
      </c>
      <c r="D30" s="23" t="s">
        <v>312</v>
      </c>
      <c r="E30" s="8">
        <v>-5</v>
      </c>
      <c r="F30" s="13"/>
    </row>
    <row r="31" ht="30" customHeight="1" spans="1:18">
      <c r="A31" s="8">
        <f t="shared" si="2"/>
        <v>28</v>
      </c>
      <c r="B31" s="8" t="s">
        <v>74</v>
      </c>
      <c r="C31" s="14">
        <v>46228</v>
      </c>
      <c r="D31" s="23" t="s">
        <v>308</v>
      </c>
      <c r="E31" s="8">
        <v>10</v>
      </c>
      <c r="F31" s="13"/>
    </row>
    <row r="32" ht="30" customHeight="1" spans="1:18">
      <c r="A32" s="8">
        <f t="shared" si="2"/>
        <v>29</v>
      </c>
      <c r="B32" s="8" t="s">
        <v>124</v>
      </c>
      <c r="C32" s="14">
        <v>46228</v>
      </c>
      <c r="D32" s="23" t="s">
        <v>313</v>
      </c>
      <c r="E32" s="8">
        <v>10</v>
      </c>
      <c r="F32" s="13"/>
    </row>
    <row r="33" ht="30" customHeight="1" spans="1:6">
      <c r="A33" s="8">
        <f t="shared" si="2"/>
        <v>30</v>
      </c>
      <c r="B33" s="8" t="s">
        <v>56</v>
      </c>
      <c r="C33" s="14">
        <v>46229</v>
      </c>
      <c r="D33" s="23" t="s">
        <v>314</v>
      </c>
      <c r="E33" s="8">
        <v>10</v>
      </c>
      <c r="F33" s="13"/>
    </row>
    <row r="34" ht="30" customHeight="1" spans="1:6">
      <c r="A34" s="8">
        <f t="shared" si="2"/>
        <v>31</v>
      </c>
      <c r="B34" s="8" t="s">
        <v>315</v>
      </c>
      <c r="C34" s="14">
        <v>46229</v>
      </c>
      <c r="D34" s="23" t="s">
        <v>316</v>
      </c>
      <c r="E34" s="8">
        <v>-3</v>
      </c>
      <c r="F34" s="13"/>
    </row>
    <row r="35" ht="30" customHeight="1" spans="1:6">
      <c r="A35" s="8">
        <f t="shared" si="2"/>
        <v>32</v>
      </c>
      <c r="B35" s="8" t="s">
        <v>160</v>
      </c>
      <c r="C35" s="14">
        <v>46231</v>
      </c>
      <c r="D35" s="23" t="s">
        <v>317</v>
      </c>
      <c r="E35" s="8">
        <v>-10</v>
      </c>
      <c r="F35" s="13"/>
    </row>
    <row r="36" ht="30" customHeight="1" spans="1:6">
      <c r="A36" s="8">
        <f t="shared" si="2"/>
        <v>33</v>
      </c>
      <c r="B36" s="8" t="s">
        <v>12</v>
      </c>
      <c r="C36" s="14">
        <v>46231</v>
      </c>
      <c r="D36" s="23" t="s">
        <v>317</v>
      </c>
      <c r="E36" s="8">
        <v>-5</v>
      </c>
      <c r="F36" s="13"/>
    </row>
    <row r="37" ht="30" customHeight="1" spans="1:6">
      <c r="A37" s="8">
        <f t="shared" si="2"/>
        <v>34</v>
      </c>
      <c r="B37" s="8" t="s">
        <v>124</v>
      </c>
      <c r="C37" s="14">
        <v>46231</v>
      </c>
      <c r="D37" s="23" t="s">
        <v>313</v>
      </c>
      <c r="E37" s="8">
        <v>10</v>
      </c>
      <c r="F37" s="13"/>
    </row>
    <row r="38" ht="30" customHeight="1" spans="1:6">
      <c r="A38" s="8">
        <f t="shared" si="2"/>
        <v>35</v>
      </c>
      <c r="B38" s="8" t="s">
        <v>124</v>
      </c>
      <c r="C38" s="14">
        <v>46232</v>
      </c>
      <c r="D38" s="23" t="s">
        <v>313</v>
      </c>
      <c r="E38" s="8">
        <v>10</v>
      </c>
      <c r="F38" s="13"/>
    </row>
    <row r="39" ht="30" customHeight="1" spans="1:6">
      <c r="A39" s="8">
        <f t="shared" si="2"/>
        <v>36</v>
      </c>
      <c r="B39" s="8" t="s">
        <v>124</v>
      </c>
      <c r="C39" s="14">
        <v>46233</v>
      </c>
      <c r="D39" s="23" t="s">
        <v>313</v>
      </c>
      <c r="E39" s="8">
        <v>10</v>
      </c>
      <c r="F39" s="13"/>
    </row>
    <row r="40" ht="32" customHeight="1" spans="1:6">
      <c r="A40" s="8">
        <f t="shared" si="2"/>
        <v>37</v>
      </c>
      <c r="B40" s="8" t="s">
        <v>124</v>
      </c>
      <c r="C40" s="14">
        <v>46234</v>
      </c>
      <c r="D40" s="23" t="s">
        <v>313</v>
      </c>
      <c r="E40" s="8">
        <v>10</v>
      </c>
      <c r="F40" s="13"/>
    </row>
    <row r="41" ht="32" customHeight="1" spans="1:6">
      <c r="A41" s="8">
        <f t="shared" si="2"/>
        <v>38</v>
      </c>
      <c r="B41" s="28" t="s">
        <v>160</v>
      </c>
      <c r="C41" s="14" t="s">
        <v>318</v>
      </c>
      <c r="D41" s="29" t="s">
        <v>319</v>
      </c>
      <c r="E41" s="8">
        <v>10</v>
      </c>
      <c r="F41" s="13"/>
    </row>
    <row r="42" ht="32" customHeight="1" spans="1:6">
      <c r="A42" s="8">
        <f t="shared" ref="A42:A47" si="3">ROW()-3</f>
        <v>39</v>
      </c>
      <c r="B42" s="8" t="s">
        <v>113</v>
      </c>
      <c r="C42" s="14" t="s">
        <v>318</v>
      </c>
      <c r="D42" s="8" t="s">
        <v>320</v>
      </c>
      <c r="E42" s="8">
        <f>65*0.2</f>
        <v>13</v>
      </c>
      <c r="F42" s="13"/>
    </row>
    <row r="43" ht="32" customHeight="1" spans="1:6">
      <c r="A43" s="8">
        <f t="shared" si="3"/>
        <v>40</v>
      </c>
      <c r="B43" s="8" t="s">
        <v>12</v>
      </c>
      <c r="C43" s="14" t="s">
        <v>318</v>
      </c>
      <c r="D43" s="8" t="s">
        <v>321</v>
      </c>
      <c r="E43" s="8">
        <f>130*0.2</f>
        <v>26</v>
      </c>
      <c r="F43" s="13"/>
    </row>
    <row r="44" ht="32" customHeight="1" spans="1:6">
      <c r="A44" s="8">
        <f t="shared" si="3"/>
        <v>41</v>
      </c>
      <c r="B44" s="8" t="s">
        <v>92</v>
      </c>
      <c r="C44" s="14" t="s">
        <v>318</v>
      </c>
      <c r="D44" s="8" t="s">
        <v>322</v>
      </c>
      <c r="E44" s="8">
        <f>194*0.2</f>
        <v>38.8</v>
      </c>
      <c r="F44" s="13"/>
    </row>
    <row r="45" ht="32" customHeight="1" spans="1:6">
      <c r="A45" s="8">
        <f t="shared" si="3"/>
        <v>42</v>
      </c>
      <c r="B45" s="8" t="s">
        <v>113</v>
      </c>
      <c r="C45" s="14" t="s">
        <v>318</v>
      </c>
      <c r="D45" s="8" t="s">
        <v>323</v>
      </c>
      <c r="E45" s="8">
        <f>17*5</f>
        <v>85</v>
      </c>
      <c r="F45" s="13"/>
    </row>
    <row r="46" ht="32" customHeight="1" spans="1:6">
      <c r="A46" s="8">
        <f t="shared" si="3"/>
        <v>43</v>
      </c>
      <c r="B46" s="8" t="s">
        <v>12</v>
      </c>
      <c r="C46" s="14" t="s">
        <v>318</v>
      </c>
      <c r="D46" s="8" t="s">
        <v>324</v>
      </c>
      <c r="E46" s="8">
        <f>9*5</f>
        <v>45</v>
      </c>
      <c r="F46" s="13"/>
    </row>
    <row r="47" ht="32" customHeight="1" spans="1:6">
      <c r="A47" s="8">
        <f t="shared" si="3"/>
        <v>44</v>
      </c>
      <c r="B47" s="8" t="s">
        <v>92</v>
      </c>
      <c r="C47" s="14" t="s">
        <v>318</v>
      </c>
      <c r="D47" s="8" t="s">
        <v>325</v>
      </c>
      <c r="E47" s="8">
        <f>5*5</f>
        <v>25</v>
      </c>
      <c r="F47" s="13"/>
    </row>
    <row r="48" ht="32" customHeight="1" spans="1:6">
      <c r="A48" s="8" t="s">
        <v>24</v>
      </c>
      <c r="B48" s="15"/>
      <c r="C48" s="13"/>
      <c r="D48" s="13"/>
      <c r="E48" s="8">
        <f>SUM(E4:E47)</f>
        <v>561.8</v>
      </c>
      <c r="F48" s="13"/>
    </row>
    <row r="49" ht="50" customHeight="1" spans="1:6">
      <c r="A49" s="20" t="s">
        <v>326</v>
      </c>
      <c r="B49" s="21"/>
      <c r="C49" s="21"/>
      <c r="D49" s="21"/>
      <c r="E49" s="21"/>
      <c r="F49" s="22"/>
    </row>
    <row r="50" ht="50" customHeight="1" spans="1:6">
      <c r="A50" s="20" t="s">
        <v>327</v>
      </c>
      <c r="B50" s="21"/>
      <c r="C50" s="21"/>
      <c r="D50" s="21"/>
      <c r="E50" s="21"/>
      <c r="F50" s="22"/>
    </row>
    <row r="51" ht="32" customHeight="1"/>
    <row r="52" ht="32" customHeight="1"/>
    <row r="53" ht="32" customHeight="1"/>
    <row r="54" ht="32" customHeight="1"/>
    <row r="55" ht="32" customHeight="1"/>
    <row r="56" ht="32" customHeight="1"/>
    <row r="57" ht="32" customHeight="1"/>
    <row r="58" ht="32" customHeight="1"/>
    <row r="59" ht="32" customHeight="1"/>
  </sheetData>
  <conditionalFormatting sqref="O13">
    <cfRule type="cellIs" dxfId="0" priority="1" operator="lessThan">
      <formula>0</formula>
    </cfRule>
  </conditionalFormatting>
  <pageMargins left="0.75" right="0.75" top="1" bottom="1" header="0.5" footer="0.5"/>
  <pageSetup paperSize="9" scale="85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abSelected="1" workbookViewId="0">
      <selection activeCell="J32" sqref="J32"/>
    </sheetView>
  </sheetViews>
  <sheetFormatPr defaultColWidth="9" defaultRowHeight="13.5"/>
  <cols>
    <col min="1" max="1" width="6.875" customWidth="1"/>
    <col min="2" max="2" width="15.25" style="1" customWidth="1"/>
    <col min="3" max="3" width="17.25" customWidth="1"/>
    <col min="4" max="4" width="28" customWidth="1"/>
    <col min="5" max="7" width="9.625" style="1" customWidth="1"/>
    <col min="8" max="8" width="12.125" customWidth="1"/>
    <col min="10" max="10" width="12.625"/>
  </cols>
  <sheetData>
    <row r="1" ht="31.5" customHeight="1" spans="1:16">
      <c r="A1" s="2" t="s">
        <v>0</v>
      </c>
      <c r="B1" s="2"/>
      <c r="C1" s="2"/>
      <c r="D1" s="2"/>
      <c r="E1" s="2"/>
      <c r="F1" s="2"/>
      <c r="G1" s="2"/>
      <c r="H1" s="2"/>
      <c r="J1" s="3" t="s">
        <v>328</v>
      </c>
      <c r="K1" s="4"/>
      <c r="L1" s="4"/>
      <c r="M1" s="4"/>
      <c r="N1" s="4"/>
      <c r="O1" s="4"/>
      <c r="P1" s="4"/>
    </row>
    <row r="2" ht="27" customHeight="1" spans="1:16">
      <c r="A2" s="5" t="s">
        <v>296</v>
      </c>
      <c r="B2" s="6"/>
      <c r="C2" s="6"/>
      <c r="D2" s="6"/>
      <c r="E2" s="6"/>
      <c r="F2" s="6"/>
      <c r="G2" s="6"/>
      <c r="H2" s="7"/>
      <c r="J2" s="4"/>
      <c r="K2" s="4"/>
      <c r="L2" s="4"/>
      <c r="M2" s="4"/>
      <c r="N2" s="4"/>
      <c r="O2" s="4"/>
      <c r="P2" s="4"/>
    </row>
    <row r="3" ht="28" customHeight="1" spans="1:16">
      <c r="A3" s="8" t="s">
        <v>2</v>
      </c>
      <c r="B3" s="8" t="s">
        <v>3</v>
      </c>
      <c r="C3" s="8" t="s">
        <v>4</v>
      </c>
      <c r="D3" s="9" t="s">
        <v>5</v>
      </c>
      <c r="E3" s="10"/>
      <c r="F3" s="11"/>
      <c r="G3" s="8" t="s">
        <v>6</v>
      </c>
      <c r="H3" s="8" t="s">
        <v>297</v>
      </c>
      <c r="J3" s="4"/>
      <c r="K3" s="4"/>
      <c r="L3" s="4"/>
      <c r="M3" s="4"/>
      <c r="N3" s="4"/>
      <c r="O3" s="4"/>
      <c r="P3" s="4"/>
    </row>
    <row r="4" ht="28" customHeight="1" spans="1:16">
      <c r="A4" s="8">
        <f t="shared" ref="A4:A47" si="0">ROW()-3</f>
        <v>1</v>
      </c>
      <c r="B4" s="8" t="s">
        <v>56</v>
      </c>
      <c r="C4" s="12">
        <v>46237</v>
      </c>
      <c r="D4" s="9" t="s">
        <v>207</v>
      </c>
      <c r="E4" s="10"/>
      <c r="F4" s="11"/>
      <c r="G4" s="8">
        <v>10</v>
      </c>
      <c r="H4" s="13"/>
      <c r="J4" s="4"/>
      <c r="K4" s="4"/>
      <c r="L4" s="4"/>
      <c r="M4" s="4"/>
      <c r="N4" s="4"/>
      <c r="O4" s="4"/>
      <c r="P4" s="4"/>
    </row>
    <row r="5" ht="28" customHeight="1" spans="1:16">
      <c r="A5" s="8">
        <f t="shared" si="0"/>
        <v>2</v>
      </c>
      <c r="B5" s="8" t="s">
        <v>124</v>
      </c>
      <c r="C5" s="14">
        <v>46237</v>
      </c>
      <c r="D5" s="9" t="s">
        <v>329</v>
      </c>
      <c r="E5" s="10"/>
      <c r="F5" s="11"/>
      <c r="G5" s="8">
        <v>10</v>
      </c>
      <c r="H5" s="13"/>
      <c r="J5" s="4"/>
      <c r="K5" s="4"/>
      <c r="L5" s="4"/>
      <c r="M5" s="4"/>
      <c r="N5" s="4"/>
      <c r="O5" s="4"/>
      <c r="P5" s="4"/>
    </row>
    <row r="6" ht="28" customHeight="1" spans="1:16">
      <c r="A6" s="8">
        <f t="shared" si="0"/>
        <v>3</v>
      </c>
      <c r="B6" s="8" t="s">
        <v>124</v>
      </c>
      <c r="C6" s="14">
        <v>46238</v>
      </c>
      <c r="D6" s="9" t="s">
        <v>329</v>
      </c>
      <c r="E6" s="10"/>
      <c r="F6" s="11"/>
      <c r="G6" s="8">
        <v>10</v>
      </c>
      <c r="H6" s="13"/>
    </row>
    <row r="7" ht="30" customHeight="1" spans="1:16">
      <c r="A7" s="8">
        <f t="shared" si="0"/>
        <v>4</v>
      </c>
      <c r="B7" s="8" t="s">
        <v>124</v>
      </c>
      <c r="C7" s="14">
        <v>46239</v>
      </c>
      <c r="D7" s="9" t="s">
        <v>329</v>
      </c>
      <c r="E7" s="10"/>
      <c r="F7" s="11"/>
      <c r="G7" s="8">
        <v>10</v>
      </c>
      <c r="H7" s="13"/>
    </row>
    <row r="8" ht="30" customHeight="1" spans="1:16">
      <c r="A8" s="8">
        <f t="shared" si="0"/>
        <v>5</v>
      </c>
      <c r="B8" s="8" t="s">
        <v>124</v>
      </c>
      <c r="C8" s="14">
        <v>46240</v>
      </c>
      <c r="D8" s="9" t="s">
        <v>329</v>
      </c>
      <c r="E8" s="10"/>
      <c r="F8" s="11"/>
      <c r="G8" s="8">
        <v>10</v>
      </c>
      <c r="H8" s="13"/>
    </row>
    <row r="9" ht="30" customHeight="1" spans="1:16">
      <c r="A9" s="8">
        <f t="shared" si="0"/>
        <v>6</v>
      </c>
      <c r="B9" s="8" t="s">
        <v>56</v>
      </c>
      <c r="C9" s="14">
        <v>46241</v>
      </c>
      <c r="D9" s="9" t="s">
        <v>330</v>
      </c>
      <c r="E9" s="10"/>
      <c r="F9" s="11"/>
      <c r="G9" s="8">
        <v>10</v>
      </c>
      <c r="H9" s="13"/>
    </row>
    <row r="10" ht="30" customHeight="1" spans="1:16">
      <c r="A10" s="8">
        <f t="shared" si="0"/>
        <v>7</v>
      </c>
      <c r="B10" s="8" t="s">
        <v>56</v>
      </c>
      <c r="C10" s="14">
        <v>46242</v>
      </c>
      <c r="D10" s="9" t="s">
        <v>331</v>
      </c>
      <c r="E10" s="10"/>
      <c r="F10" s="11"/>
      <c r="G10" s="8">
        <v>5</v>
      </c>
      <c r="H10" s="13"/>
    </row>
    <row r="11" ht="30" customHeight="1" spans="1:16">
      <c r="A11" s="8">
        <f t="shared" si="0"/>
        <v>8</v>
      </c>
      <c r="B11" s="8" t="s">
        <v>99</v>
      </c>
      <c r="C11" s="14">
        <v>46243</v>
      </c>
      <c r="D11" s="9" t="s">
        <v>331</v>
      </c>
      <c r="E11" s="10"/>
      <c r="F11" s="11"/>
      <c r="G11" s="8">
        <v>5</v>
      </c>
      <c r="H11" s="13"/>
    </row>
    <row r="12" ht="30" customHeight="1" spans="1:16">
      <c r="A12" s="8">
        <f t="shared" si="0"/>
        <v>9</v>
      </c>
      <c r="B12" s="8" t="s">
        <v>92</v>
      </c>
      <c r="C12" s="14">
        <v>46245</v>
      </c>
      <c r="D12" s="9" t="s">
        <v>167</v>
      </c>
      <c r="E12" s="10"/>
      <c r="F12" s="11"/>
      <c r="G12" s="8">
        <v>30</v>
      </c>
      <c r="H12" s="13"/>
    </row>
    <row r="13" ht="30" customHeight="1" spans="1:16">
      <c r="A13" s="8">
        <f t="shared" si="0"/>
        <v>10</v>
      </c>
      <c r="B13" s="8" t="s">
        <v>92</v>
      </c>
      <c r="C13" s="14">
        <v>46246</v>
      </c>
      <c r="D13" s="9" t="s">
        <v>332</v>
      </c>
      <c r="E13" s="10"/>
      <c r="F13" s="11"/>
      <c r="G13" s="8">
        <v>10</v>
      </c>
      <c r="H13" s="13"/>
    </row>
    <row r="14" ht="30" customHeight="1" spans="1:16">
      <c r="A14" s="8">
        <f t="shared" si="0"/>
        <v>11</v>
      </c>
      <c r="B14" s="8" t="s">
        <v>49</v>
      </c>
      <c r="C14" s="14">
        <v>46253</v>
      </c>
      <c r="D14" s="9" t="s">
        <v>333</v>
      </c>
      <c r="E14" s="10"/>
      <c r="F14" s="11"/>
      <c r="G14" s="8">
        <v>10</v>
      </c>
      <c r="H14" s="13"/>
    </row>
    <row r="15" ht="30" customHeight="1" spans="1:16">
      <c r="A15" s="8">
        <f t="shared" si="0"/>
        <v>12</v>
      </c>
      <c r="B15" s="8" t="s">
        <v>49</v>
      </c>
      <c r="C15" s="14">
        <v>46254</v>
      </c>
      <c r="D15" s="9" t="s">
        <v>333</v>
      </c>
      <c r="E15" s="10"/>
      <c r="F15" s="11"/>
      <c r="G15" s="8">
        <v>10</v>
      </c>
      <c r="H15" s="13"/>
    </row>
    <row r="16" ht="30" customHeight="1" spans="1:16">
      <c r="A16" s="8">
        <f t="shared" si="0"/>
        <v>13</v>
      </c>
      <c r="B16" s="8" t="s">
        <v>74</v>
      </c>
      <c r="C16" s="14">
        <v>46255</v>
      </c>
      <c r="D16" s="9" t="s">
        <v>334</v>
      </c>
      <c r="E16" s="10"/>
      <c r="F16" s="11"/>
      <c r="G16" s="8">
        <v>10</v>
      </c>
      <c r="H16" s="13"/>
    </row>
    <row r="17" ht="30" customHeight="1" spans="1:8">
      <c r="A17" s="8">
        <f t="shared" si="0"/>
        <v>14</v>
      </c>
      <c r="B17" s="8" t="s">
        <v>335</v>
      </c>
      <c r="C17" s="14">
        <v>46255</v>
      </c>
      <c r="D17" s="9" t="s">
        <v>336</v>
      </c>
      <c r="E17" s="10"/>
      <c r="F17" s="11"/>
      <c r="G17" s="8">
        <v>10</v>
      </c>
      <c r="H17" s="13"/>
    </row>
    <row r="18" ht="30" customHeight="1" spans="1:8">
      <c r="A18" s="8">
        <f t="shared" si="0"/>
        <v>15</v>
      </c>
      <c r="B18" s="8" t="s">
        <v>335</v>
      </c>
      <c r="C18" s="14">
        <v>46256</v>
      </c>
      <c r="D18" s="9" t="s">
        <v>336</v>
      </c>
      <c r="E18" s="10"/>
      <c r="F18" s="11"/>
      <c r="G18" s="8">
        <v>10</v>
      </c>
      <c r="H18" s="13"/>
    </row>
    <row r="19" ht="30" customHeight="1" spans="1:8">
      <c r="A19" s="8">
        <f t="shared" si="0"/>
        <v>16</v>
      </c>
      <c r="B19" s="8" t="s">
        <v>99</v>
      </c>
      <c r="C19" s="14">
        <v>46261</v>
      </c>
      <c r="D19" s="9" t="s">
        <v>337</v>
      </c>
      <c r="E19" s="10"/>
      <c r="F19" s="11"/>
      <c r="G19" s="8">
        <v>5</v>
      </c>
      <c r="H19" s="13"/>
    </row>
    <row r="20" ht="30" customHeight="1" spans="1:8">
      <c r="A20" s="8">
        <f t="shared" si="0"/>
        <v>17</v>
      </c>
      <c r="B20" s="8" t="s">
        <v>56</v>
      </c>
      <c r="C20" s="14">
        <v>46261</v>
      </c>
      <c r="D20" s="9" t="s">
        <v>337</v>
      </c>
      <c r="E20" s="10"/>
      <c r="F20" s="11"/>
      <c r="G20" s="8">
        <v>5</v>
      </c>
      <c r="H20" s="13"/>
    </row>
    <row r="21" ht="30" customHeight="1" spans="1:8">
      <c r="A21" s="8">
        <f t="shared" si="0"/>
        <v>18</v>
      </c>
      <c r="B21" s="8" t="s">
        <v>99</v>
      </c>
      <c r="C21" s="14">
        <v>46261</v>
      </c>
      <c r="D21" s="9" t="s">
        <v>337</v>
      </c>
      <c r="E21" s="10"/>
      <c r="F21" s="11"/>
      <c r="G21" s="8">
        <v>5</v>
      </c>
      <c r="H21" s="13"/>
    </row>
    <row r="22" ht="30" customHeight="1" spans="1:8">
      <c r="A22" s="8">
        <f t="shared" si="0"/>
        <v>19</v>
      </c>
      <c r="B22" s="8" t="s">
        <v>56</v>
      </c>
      <c r="C22" s="14">
        <v>46261</v>
      </c>
      <c r="D22" s="9" t="s">
        <v>337</v>
      </c>
      <c r="E22" s="10"/>
      <c r="F22" s="11"/>
      <c r="G22" s="8">
        <v>5</v>
      </c>
      <c r="H22" s="13"/>
    </row>
    <row r="23" ht="30" customHeight="1" spans="1:8">
      <c r="A23" s="8">
        <f t="shared" si="0"/>
        <v>20</v>
      </c>
      <c r="B23" s="8" t="s">
        <v>160</v>
      </c>
      <c r="C23" s="14">
        <v>46263</v>
      </c>
      <c r="D23" s="9" t="s">
        <v>338</v>
      </c>
      <c r="E23" s="10"/>
      <c r="F23" s="11"/>
      <c r="G23" s="8">
        <v>10</v>
      </c>
      <c r="H23" s="13"/>
    </row>
    <row r="24" ht="30" customHeight="1" spans="1:8">
      <c r="A24" s="8">
        <f t="shared" si="0"/>
        <v>21</v>
      </c>
      <c r="B24" s="8" t="s">
        <v>160</v>
      </c>
      <c r="C24" s="14">
        <v>46264</v>
      </c>
      <c r="D24" s="9" t="s">
        <v>338</v>
      </c>
      <c r="E24" s="10"/>
      <c r="F24" s="11"/>
      <c r="G24" s="8">
        <v>10</v>
      </c>
      <c r="H24" s="13"/>
    </row>
    <row r="25" ht="30" customHeight="1" spans="1:8">
      <c r="A25" s="8">
        <f t="shared" si="0"/>
        <v>22</v>
      </c>
      <c r="B25" s="8" t="s">
        <v>56</v>
      </c>
      <c r="C25" s="14">
        <v>46265</v>
      </c>
      <c r="D25" s="9" t="s">
        <v>330</v>
      </c>
      <c r="E25" s="10"/>
      <c r="F25" s="11"/>
      <c r="G25" s="8">
        <v>10</v>
      </c>
      <c r="H25" s="13"/>
    </row>
    <row r="26" ht="30" customHeight="1" spans="1:8">
      <c r="A26" s="8">
        <f t="shared" si="0"/>
        <v>23</v>
      </c>
      <c r="B26" s="8" t="s">
        <v>99</v>
      </c>
      <c r="C26" s="14">
        <v>46265</v>
      </c>
      <c r="D26" s="9" t="s">
        <v>310</v>
      </c>
      <c r="E26" s="10"/>
      <c r="F26" s="11"/>
      <c r="G26" s="8">
        <v>10</v>
      </c>
      <c r="H26" s="13"/>
    </row>
    <row r="27" ht="30" customHeight="1" spans="1:8">
      <c r="A27" s="8">
        <f t="shared" si="0"/>
        <v>24</v>
      </c>
      <c r="B27" s="8" t="s">
        <v>113</v>
      </c>
      <c r="C27" s="14" t="s">
        <v>339</v>
      </c>
      <c r="D27" s="9" t="s">
        <v>340</v>
      </c>
      <c r="E27" s="10"/>
      <c r="F27" s="11"/>
      <c r="G27" s="8">
        <f>159*0.2</f>
        <v>31.8</v>
      </c>
      <c r="H27" s="13"/>
    </row>
    <row r="28" ht="30" customHeight="1" spans="1:8">
      <c r="A28" s="8">
        <f t="shared" si="0"/>
        <v>25</v>
      </c>
      <c r="B28" s="8" t="s">
        <v>12</v>
      </c>
      <c r="C28" s="14" t="s">
        <v>339</v>
      </c>
      <c r="D28" s="9" t="s">
        <v>341</v>
      </c>
      <c r="E28" s="10"/>
      <c r="F28" s="11"/>
      <c r="G28" s="8">
        <f>271*0.2</f>
        <v>54.2</v>
      </c>
      <c r="H28" s="13"/>
    </row>
    <row r="29" ht="30" customHeight="1" spans="1:8">
      <c r="A29" s="8">
        <f t="shared" si="0"/>
        <v>26</v>
      </c>
      <c r="B29" s="8" t="s">
        <v>92</v>
      </c>
      <c r="C29" s="14" t="s">
        <v>339</v>
      </c>
      <c r="D29" s="9" t="s">
        <v>342</v>
      </c>
      <c r="E29" s="10"/>
      <c r="F29" s="11"/>
      <c r="G29" s="8">
        <f>146*0.2</f>
        <v>29.2</v>
      </c>
      <c r="H29" s="13"/>
    </row>
    <row r="30" ht="30" customHeight="1" spans="1:8">
      <c r="A30" s="8">
        <f t="shared" si="0"/>
        <v>27</v>
      </c>
      <c r="B30" s="8" t="s">
        <v>113</v>
      </c>
      <c r="C30" s="14" t="s">
        <v>339</v>
      </c>
      <c r="D30" s="9" t="s">
        <v>202</v>
      </c>
      <c r="E30" s="10"/>
      <c r="F30" s="11"/>
      <c r="G30" s="8">
        <f>7*5</f>
        <v>35</v>
      </c>
      <c r="H30" s="13"/>
    </row>
    <row r="31" ht="30" customHeight="1" spans="1:8">
      <c r="A31" s="8">
        <f t="shared" si="0"/>
        <v>28</v>
      </c>
      <c r="B31" s="8" t="s">
        <v>12</v>
      </c>
      <c r="C31" s="14" t="s">
        <v>339</v>
      </c>
      <c r="D31" s="9" t="s">
        <v>325</v>
      </c>
      <c r="E31" s="10"/>
      <c r="F31" s="11"/>
      <c r="G31" s="8">
        <f>5*5</f>
        <v>25</v>
      </c>
      <c r="H31" s="13"/>
    </row>
    <row r="32" ht="30" customHeight="1" spans="1:8">
      <c r="A32" s="8">
        <f t="shared" si="0"/>
        <v>29</v>
      </c>
      <c r="B32" s="8" t="s">
        <v>92</v>
      </c>
      <c r="C32" s="14" t="s">
        <v>339</v>
      </c>
      <c r="D32" s="9" t="s">
        <v>343</v>
      </c>
      <c r="E32" s="10"/>
      <c r="F32" s="11"/>
      <c r="G32" s="8">
        <f>5*5</f>
        <v>25</v>
      </c>
      <c r="H32" s="13"/>
    </row>
    <row r="33" ht="30" customHeight="1" spans="1:8">
      <c r="A33" s="8">
        <f t="shared" si="0"/>
        <v>30</v>
      </c>
      <c r="B33" s="8" t="s">
        <v>86</v>
      </c>
      <c r="C33" s="14">
        <v>46265</v>
      </c>
      <c r="D33" s="9" t="s">
        <v>344</v>
      </c>
      <c r="E33" s="10"/>
      <c r="F33" s="11"/>
      <c r="G33" s="8">
        <v>-10</v>
      </c>
      <c r="H33" s="8"/>
    </row>
    <row r="34" ht="32" customHeight="1" spans="1:8">
      <c r="A34" s="8" t="s">
        <v>24</v>
      </c>
      <c r="B34" s="15"/>
      <c r="C34" s="13"/>
      <c r="D34" s="16"/>
      <c r="E34" s="17" t="s">
        <v>345</v>
      </c>
      <c r="F34" s="18">
        <f>SUM(G4:G32)</f>
        <v>420.2</v>
      </c>
      <c r="G34" s="17" t="s">
        <v>346</v>
      </c>
      <c r="H34" s="19">
        <f>G33</f>
        <v>-10</v>
      </c>
    </row>
    <row r="35" ht="50" customHeight="1" spans="1:8">
      <c r="A35" s="20" t="s">
        <v>326</v>
      </c>
      <c r="B35" s="21"/>
      <c r="C35" s="21"/>
      <c r="D35" s="21"/>
      <c r="E35" s="21"/>
      <c r="F35" s="21"/>
      <c r="G35" s="21"/>
      <c r="H35" s="22"/>
    </row>
    <row r="36" ht="50" customHeight="1" spans="1:8">
      <c r="A36" s="20" t="s">
        <v>327</v>
      </c>
      <c r="B36" s="21"/>
      <c r="C36" s="21"/>
      <c r="D36" s="21"/>
      <c r="E36" s="21"/>
      <c r="F36" s="21"/>
      <c r="G36" s="21"/>
      <c r="H36" s="22"/>
    </row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32" customHeight="1"/>
    <row r="45" ht="32" customHeight="1"/>
  </sheetData>
  <mergeCells count="32"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J1:P5"/>
  </mergeCells>
  <conditionalFormatting sqref="G4">
    <cfRule type="cellIs" dxfId="0" priority="5" stopIfTrue="1" operator="lessThan">
      <formula>0</formula>
    </cfRule>
  </conditionalFormatting>
  <conditionalFormatting sqref="G7:G8">
    <cfRule type="cellIs" dxfId="1" priority="3" operator="lessThan">
      <formula>0</formula>
    </cfRule>
  </conditionalFormatting>
  <conditionalFormatting sqref="G21:G22">
    <cfRule type="cellIs" dxfId="1" priority="2" operator="lessThan">
      <formula>0</formula>
    </cfRule>
  </conditionalFormatting>
  <conditionalFormatting sqref="G27:G32">
    <cfRule type="cellIs" dxfId="1" priority="1" operator="lessThan">
      <formula>0</formula>
    </cfRule>
  </conditionalFormatting>
  <conditionalFormatting sqref="G4:G6 G9:G13 G19:G20 G25:G26">
    <cfRule type="cellIs" dxfId="1" priority="4" operator="lessThan">
      <formula>0</formula>
    </cfRule>
  </conditionalFormatting>
  <pageMargins left="0.75" right="0.75" top="1" bottom="1" header="0.5" footer="0.5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10月绩效</vt:lpstr>
      <vt:lpstr>11月绩效</vt:lpstr>
      <vt:lpstr>12月绩效 </vt:lpstr>
      <vt:lpstr>1月绩效</vt:lpstr>
      <vt:lpstr>2月绩效</vt:lpstr>
      <vt:lpstr>3月绩效</vt:lpstr>
      <vt:lpstr>4月绩效</vt:lpstr>
      <vt:lpstr>5月绩效</vt:lpstr>
      <vt:lpstr>6月绩效 </vt:lpstr>
      <vt:lpstr>7月绩效</vt:lpstr>
      <vt:lpstr>8月绩效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103统计员陆春晓</cp:lastModifiedBy>
  <dcterms:created xsi:type="dcterms:W3CDTF">2024-10-08T01:05:00Z</dcterms:created>
  <dcterms:modified xsi:type="dcterms:W3CDTF">2026-09-11T09:28:18Z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BFBFC790BEE4444BA1E7FE5E1FFDF29C_13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