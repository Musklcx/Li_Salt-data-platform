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睿勤统计员\4_岗位职工\3_合成釜\"/>
    </mc:Choice>
  </mc:AlternateContent>
  <bookViews>
    <workbookView windowWidth="28800" windowHeight="12375" activeTab="4"/>
  </bookViews>
  <sheets>
    <sheet name="3月合成釜" sheetId="1" r:id="rId1"/>
    <sheet name="3月槽罐" sheetId="2" r:id="rId2"/>
    <sheet name="2季度合成釜" sheetId="3" r:id="rId3"/>
    <sheet name="2季度槽罐" sheetId="4" r:id="rId4"/>
    <sheet name="3季度合成釜" sheetId="5" r:id="rId5"/>
    <sheet name="3季度槽罐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27" authorId="0">
      <text>
        <r>
          <rPr>
            <sz val="9"/>
            <rFont val="宋体"/>
            <charset val="134"/>
          </rPr>
          <t>清釜总次数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E27" authorId="0">
      <text>
        <r>
          <rPr>
            <sz val="9"/>
            <rFont val="宋体"/>
            <charset val="134"/>
          </rPr>
          <t>清釜总次数</t>
        </r>
      </text>
    </comment>
    <comment ref="E55" authorId="0">
      <text>
        <r>
          <rPr>
            <sz val="9"/>
            <rFont val="宋体"/>
            <charset val="134"/>
          </rPr>
          <t>清釜总次数</t>
        </r>
      </text>
    </comment>
    <comment ref="E83" authorId="0">
      <text>
        <r>
          <rPr>
            <sz val="9"/>
            <rFont val="宋体"/>
            <charset val="134"/>
          </rPr>
          <t>清釜总次数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D14" authorId="0">
      <text>
        <r>
          <rPr>
            <sz val="9"/>
            <rFont val="宋体"/>
            <charset val="134"/>
          </rPr>
          <t>共8包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E27" authorId="0">
      <text>
        <r>
          <rPr>
            <sz val="9"/>
            <rFont val="宋体"/>
            <charset val="134"/>
          </rPr>
          <t>清釜总次数</t>
        </r>
      </text>
    </comment>
    <comment ref="E55" authorId="0">
      <text>
        <r>
          <rPr>
            <sz val="9"/>
            <rFont val="宋体"/>
            <charset val="134"/>
          </rPr>
          <t>清釜总次数</t>
        </r>
      </text>
    </comment>
    <comment ref="E83" authorId="0">
      <text>
        <r>
          <rPr>
            <sz val="9"/>
            <rFont val="宋体"/>
            <charset val="134"/>
          </rPr>
          <t>清釜总次数</t>
        </r>
      </text>
    </comment>
  </commentList>
</comments>
</file>

<file path=xl/sharedStrings.xml><?xml version="1.0" encoding="utf-8"?>
<sst xmlns="http://schemas.openxmlformats.org/spreadsheetml/2006/main" count="2927" uniqueCount="152">
  <si>
    <t>3月合成釜清理情况记录表</t>
  </si>
  <si>
    <t>3.10</t>
  </si>
  <si>
    <t>3.20</t>
  </si>
  <si>
    <t>3.30</t>
  </si>
  <si>
    <t>合成釜A</t>
  </si>
  <si>
    <t>/</t>
  </si>
  <si>
    <t>甲</t>
  </si>
  <si>
    <t>合成釜B</t>
  </si>
  <si>
    <t>乙</t>
  </si>
  <si>
    <t>合成釜C</t>
  </si>
  <si>
    <t>丙</t>
  </si>
  <si>
    <t>合成釜D</t>
  </si>
  <si>
    <t>合成釜E</t>
  </si>
  <si>
    <t>合成釜F</t>
  </si>
  <si>
    <t>转换成数字表</t>
  </si>
  <si>
    <t>釜累计</t>
  </si>
  <si>
    <t>总累计</t>
  </si>
  <si>
    <t>合成釜清理次数汇总表</t>
  </si>
  <si>
    <t>核算</t>
  </si>
  <si>
    <t>其它情况说明：</t>
  </si>
  <si>
    <t>2月28日：合成釜A、B、C、D、E清理，全部安装滤网；</t>
  </si>
  <si>
    <t>班累计</t>
  </si>
  <si>
    <t>3月槽罐清理情况记录表</t>
  </si>
  <si>
    <t>一次洗液
渣浆化槽</t>
  </si>
  <si>
    <t>新碳酸锂
母液罐</t>
  </si>
  <si>
    <t>新二次洗液储槽</t>
  </si>
  <si>
    <t>碳酸锂一次浆洗反应釜C</t>
  </si>
  <si>
    <t>碳酸锂一次浆洗反应釜D</t>
  </si>
  <si>
    <t>碳酸锂
二次浆洗C</t>
  </si>
  <si>
    <t>碳酸锂
二次浆洗D</t>
  </si>
  <si>
    <t>沉降罐</t>
  </si>
  <si>
    <t>4月合成釜清理情况记录表</t>
  </si>
  <si>
    <t>4.01</t>
  </si>
  <si>
    <t>4.02</t>
  </si>
  <si>
    <t>4.03</t>
  </si>
  <si>
    <t>4.04</t>
  </si>
  <si>
    <t>4.05</t>
  </si>
  <si>
    <t>4.06</t>
  </si>
  <si>
    <t>4.07</t>
  </si>
  <si>
    <t>4.08</t>
  </si>
  <si>
    <t>4.09</t>
  </si>
  <si>
    <t>4.10</t>
  </si>
  <si>
    <t>4.11</t>
  </si>
  <si>
    <t>4.12</t>
  </si>
  <si>
    <t>4.13</t>
  </si>
  <si>
    <t>4.14</t>
  </si>
  <si>
    <t>4.20</t>
  </si>
  <si>
    <t>4.30</t>
  </si>
  <si>
    <t>4.40</t>
  </si>
  <si>
    <t>5月合成釜清理情况记录表</t>
  </si>
  <si>
    <t>5.01</t>
  </si>
  <si>
    <t>5.02</t>
  </si>
  <si>
    <t>5.03</t>
  </si>
  <si>
    <t>5.04</t>
  </si>
  <si>
    <t>5.05</t>
  </si>
  <si>
    <t>5.06</t>
  </si>
  <si>
    <t>5.07</t>
  </si>
  <si>
    <t>5.08</t>
  </si>
  <si>
    <t>5.09</t>
  </si>
  <si>
    <t>5.10</t>
  </si>
  <si>
    <t>5.11</t>
  </si>
  <si>
    <t>5.12</t>
  </si>
  <si>
    <t>5.13</t>
  </si>
  <si>
    <t>5.14</t>
  </si>
  <si>
    <t>5.20</t>
  </si>
  <si>
    <t>5.30</t>
  </si>
  <si>
    <t>6月合成釜清理情况记录表</t>
  </si>
  <si>
    <t>6.01</t>
  </si>
  <si>
    <t>6.02</t>
  </si>
  <si>
    <t>6.03</t>
  </si>
  <si>
    <t>6.04</t>
  </si>
  <si>
    <t>6.05</t>
  </si>
  <si>
    <t>6.06</t>
  </si>
  <si>
    <t>6.07</t>
  </si>
  <si>
    <t>6.08</t>
  </si>
  <si>
    <t>6.09</t>
  </si>
  <si>
    <t>6.10</t>
  </si>
  <si>
    <t>6.11</t>
  </si>
  <si>
    <t>6.12</t>
  </si>
  <si>
    <t>6.13</t>
  </si>
  <si>
    <t>6.14</t>
  </si>
  <si>
    <t>6.20</t>
  </si>
  <si>
    <t>6.30</t>
  </si>
  <si>
    <t>4月槽罐清理情况记录表</t>
  </si>
  <si>
    <t>纯水储槽</t>
  </si>
  <si>
    <t>5月槽罐清理情况记录表</t>
  </si>
  <si>
    <t>一次浆洗A</t>
  </si>
  <si>
    <t>一次浆洗B</t>
  </si>
  <si>
    <t>二次浆洗A</t>
  </si>
  <si>
    <t>二次浆洗B</t>
  </si>
  <si>
    <t>6月槽罐清理情况记录表</t>
  </si>
  <si>
    <t>一次洗液</t>
  </si>
  <si>
    <t>二次浆洗C</t>
  </si>
  <si>
    <t>二次浆洗D</t>
  </si>
  <si>
    <t>一次浆洗C</t>
  </si>
  <si>
    <t>一次浆洗D</t>
  </si>
  <si>
    <t>7月合成釜清理情况记录表</t>
  </si>
  <si>
    <t>7.01</t>
  </si>
  <si>
    <t>7.02</t>
  </si>
  <si>
    <t>7.03</t>
  </si>
  <si>
    <t>7.04</t>
  </si>
  <si>
    <t>7.05</t>
  </si>
  <si>
    <t>7.06</t>
  </si>
  <si>
    <t>7.07</t>
  </si>
  <si>
    <t>7.08</t>
  </si>
  <si>
    <t>7.09</t>
  </si>
  <si>
    <t>7.10</t>
  </si>
  <si>
    <t>7.11</t>
  </si>
  <si>
    <t>7.12</t>
  </si>
  <si>
    <t>7.13</t>
  </si>
  <si>
    <t>7.14</t>
  </si>
  <si>
    <t>7.20</t>
  </si>
  <si>
    <t>7.30</t>
  </si>
  <si>
    <t>8月合成釜清理情况记录表</t>
  </si>
  <si>
    <t>8.01</t>
  </si>
  <si>
    <t>8.02</t>
  </si>
  <si>
    <t>8.03</t>
  </si>
  <si>
    <t>8.04</t>
  </si>
  <si>
    <t>8.05</t>
  </si>
  <si>
    <t>8.06</t>
  </si>
  <si>
    <t>8.07</t>
  </si>
  <si>
    <t>8.08</t>
  </si>
  <si>
    <t>8.09</t>
  </si>
  <si>
    <t>8.10</t>
  </si>
  <si>
    <t>8.11</t>
  </si>
  <si>
    <t>8.12</t>
  </si>
  <si>
    <t>8.13</t>
  </si>
  <si>
    <t>8.14</t>
  </si>
  <si>
    <t>8.20</t>
  </si>
  <si>
    <t>8.30</t>
  </si>
  <si>
    <t>9月合成釜清理情况记录表</t>
  </si>
  <si>
    <t>9.01</t>
  </si>
  <si>
    <t>9.02</t>
  </si>
  <si>
    <t>9.03</t>
  </si>
  <si>
    <t>9.04</t>
  </si>
  <si>
    <t>9.05</t>
  </si>
  <si>
    <t>9.06</t>
  </si>
  <si>
    <t>9.07</t>
  </si>
  <si>
    <t>9.08</t>
  </si>
  <si>
    <t>9.09</t>
  </si>
  <si>
    <t>9.10</t>
  </si>
  <si>
    <t>9.11</t>
  </si>
  <si>
    <t>9.12</t>
  </si>
  <si>
    <t>9.13</t>
  </si>
  <si>
    <t>9.14</t>
  </si>
  <si>
    <t>9.20</t>
  </si>
  <si>
    <t>9.30</t>
  </si>
  <si>
    <t>7月槽罐清理情况记录表</t>
  </si>
  <si>
    <t>8月槽罐清理情况记录表</t>
  </si>
  <si>
    <t>碳酸锂母液A</t>
  </si>
  <si>
    <t>碳酸锂母液B</t>
  </si>
  <si>
    <t>9月槽罐清理情况记录表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</si>
</sst>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25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5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6" borderId="6">
      <alignment vertical="center"/>
    </xf>
    <xf numFmtId="0" fontId="14" fillId="7" borderId="7">
      <alignment vertical="center"/>
    </xf>
    <xf numFmtId="0" fontId="15" fillId="7" borderId="6">
      <alignment vertical="center"/>
    </xf>
    <xf numFmtId="0" fontId="16" fillId="8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</cellStyleXfs>
  <cellXfs count="2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Continuous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0" fillId="0" borderId="0" xfId="0" applyAlignment="1">
      <alignment vertical="top" wrapText="1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Continuous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8"/>
  <sheetViews>
    <sheetView zoomScale="85" zoomScaleNormal="85" workbookViewId="0">
      <selection activeCell="AI9" sqref="AB7 AI9"/>
    </sheetView>
  </sheetViews>
  <sheetFormatPr defaultColWidth="9" defaultRowHeight="13.5"/>
  <cols>
    <col min="1" max="1" width="15" style="1" customWidth="1"/>
    <col min="2" max="34" width="6.625" style="1" customWidth="1"/>
    <col min="35" max="16383" width="9" style="1"/>
  </cols>
  <sheetData>
    <row r="1" ht="45" customHeight="1" spans="1:34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="1" customFormat="1" ht="30" customHeight="1" spans="1:34">
      <c r="A2" s="11"/>
      <c r="B2" s="6">
        <v>3.01</v>
      </c>
      <c r="C2" s="6">
        <v>3.02</v>
      </c>
      <c r="D2" s="6">
        <v>3.03</v>
      </c>
      <c r="E2" s="6">
        <v>3.04</v>
      </c>
      <c r="F2" s="6">
        <v>3.05</v>
      </c>
      <c r="G2" s="6">
        <v>3.06</v>
      </c>
      <c r="H2" s="6">
        <v>3.07</v>
      </c>
      <c r="I2" s="6">
        <v>3.08</v>
      </c>
      <c r="J2" s="6">
        <v>3.09</v>
      </c>
      <c r="K2" s="6" t="s">
        <v>1</v>
      </c>
      <c r="L2" s="6">
        <v>3.11</v>
      </c>
      <c r="M2" s="6">
        <v>3.12</v>
      </c>
      <c r="N2" s="6">
        <v>3.13</v>
      </c>
      <c r="O2" s="6">
        <v>3.14</v>
      </c>
      <c r="P2" s="7">
        <v>3.15</v>
      </c>
      <c r="Q2" s="7">
        <v>3.16</v>
      </c>
      <c r="R2" s="7">
        <v>3.17</v>
      </c>
      <c r="S2" s="7">
        <v>3.18</v>
      </c>
      <c r="T2" s="7">
        <v>3.19</v>
      </c>
      <c r="U2" s="6" t="s">
        <v>2</v>
      </c>
      <c r="V2" s="7">
        <v>3.21</v>
      </c>
      <c r="W2" s="7">
        <v>3.22</v>
      </c>
      <c r="X2" s="7">
        <v>3.23</v>
      </c>
      <c r="Y2" s="7">
        <v>3.24</v>
      </c>
      <c r="Z2" s="7">
        <v>3.25</v>
      </c>
      <c r="AA2" s="7">
        <v>3.26</v>
      </c>
      <c r="AB2" s="7">
        <v>3.27</v>
      </c>
      <c r="AC2" s="7">
        <v>3.28</v>
      </c>
      <c r="AD2" s="7">
        <v>3.29</v>
      </c>
      <c r="AE2" s="6" t="s">
        <v>3</v>
      </c>
      <c r="AF2" s="7">
        <v>3.31</v>
      </c>
      <c r="AG2" s="8"/>
      <c r="AH2" s="8"/>
    </row>
    <row r="3" ht="30" customHeight="1" spans="1:34">
      <c r="A3" s="11" t="s">
        <v>4</v>
      </c>
      <c r="B3" s="9" t="s">
        <v>5</v>
      </c>
      <c r="C3" s="9" t="s">
        <v>5</v>
      </c>
      <c r="D3" s="9" t="s">
        <v>5</v>
      </c>
      <c r="E3" s="9" t="s">
        <v>6</v>
      </c>
      <c r="F3" s="9" t="s">
        <v>5</v>
      </c>
      <c r="G3" s="9" t="s">
        <v>5</v>
      </c>
      <c r="H3" s="9" t="s">
        <v>5</v>
      </c>
      <c r="I3" s="9" t="s">
        <v>5</v>
      </c>
      <c r="J3" s="9" t="s">
        <v>5</v>
      </c>
      <c r="K3" s="9" t="s">
        <v>5</v>
      </c>
      <c r="L3" s="9" t="s">
        <v>5</v>
      </c>
      <c r="M3" s="9" t="s">
        <v>5</v>
      </c>
      <c r="N3" s="9" t="s">
        <v>5</v>
      </c>
      <c r="O3" s="9" t="s">
        <v>5</v>
      </c>
      <c r="P3" s="9" t="s">
        <v>5</v>
      </c>
      <c r="Q3" s="9" t="s">
        <v>5</v>
      </c>
      <c r="R3" s="9" t="s">
        <v>5</v>
      </c>
      <c r="S3" s="9" t="s">
        <v>5</v>
      </c>
      <c r="T3" s="9" t="s">
        <v>5</v>
      </c>
      <c r="U3" s="9" t="s">
        <v>5</v>
      </c>
      <c r="V3" s="9" t="s">
        <v>5</v>
      </c>
      <c r="W3" s="9" t="s">
        <v>5</v>
      </c>
      <c r="X3" s="9" t="s">
        <v>6</v>
      </c>
      <c r="Y3" s="9" t="s">
        <v>5</v>
      </c>
      <c r="Z3" s="9" t="s">
        <v>5</v>
      </c>
      <c r="AA3" s="9" t="s">
        <v>5</v>
      </c>
      <c r="AB3" s="9" t="s">
        <v>5</v>
      </c>
      <c r="AC3" s="9" t="s">
        <v>5</v>
      </c>
      <c r="AD3" s="9" t="s">
        <v>5</v>
      </c>
      <c r="AE3" s="9" t="s">
        <v>5</v>
      </c>
      <c r="AF3" s="9" t="s">
        <v>5</v>
      </c>
    </row>
    <row r="4" ht="30" customHeight="1" spans="1:34">
      <c r="A4" s="11" t="s">
        <v>7</v>
      </c>
      <c r="B4" s="9" t="s">
        <v>5</v>
      </c>
      <c r="C4" s="9" t="s">
        <v>5</v>
      </c>
      <c r="D4" s="9" t="s">
        <v>5</v>
      </c>
      <c r="E4" s="9" t="s">
        <v>5</v>
      </c>
      <c r="F4" s="9" t="s">
        <v>5</v>
      </c>
      <c r="G4" s="9" t="s">
        <v>5</v>
      </c>
      <c r="H4" s="9" t="s">
        <v>8</v>
      </c>
      <c r="I4" s="9" t="s">
        <v>5</v>
      </c>
      <c r="J4" s="9" t="s">
        <v>5</v>
      </c>
      <c r="K4" s="9" t="s">
        <v>5</v>
      </c>
      <c r="L4" s="9" t="s">
        <v>5</v>
      </c>
      <c r="M4" s="9" t="s">
        <v>5</v>
      </c>
      <c r="N4" s="9" t="s">
        <v>5</v>
      </c>
      <c r="O4" s="9" t="s">
        <v>5</v>
      </c>
      <c r="P4" s="9" t="s">
        <v>5</v>
      </c>
      <c r="Q4" s="9" t="s">
        <v>5</v>
      </c>
      <c r="R4" s="9" t="s">
        <v>5</v>
      </c>
      <c r="S4" s="9" t="s">
        <v>5</v>
      </c>
      <c r="T4" s="9" t="s">
        <v>8</v>
      </c>
      <c r="U4" s="9" t="s">
        <v>5</v>
      </c>
      <c r="V4" s="9" t="s">
        <v>5</v>
      </c>
      <c r="W4" s="9" t="s">
        <v>5</v>
      </c>
      <c r="X4" s="9" t="s">
        <v>5</v>
      </c>
      <c r="Y4" s="9" t="s">
        <v>5</v>
      </c>
      <c r="Z4" s="9" t="s">
        <v>5</v>
      </c>
      <c r="AA4" s="9" t="s">
        <v>5</v>
      </c>
      <c r="AB4" s="9" t="s">
        <v>5</v>
      </c>
      <c r="AC4" s="9" t="s">
        <v>5</v>
      </c>
      <c r="AD4" s="9" t="s">
        <v>5</v>
      </c>
      <c r="AE4" s="9" t="s">
        <v>8</v>
      </c>
      <c r="AF4" s="9" t="s">
        <v>5</v>
      </c>
    </row>
    <row r="5" ht="30" customHeight="1" spans="1:34">
      <c r="A5" s="11" t="s">
        <v>9</v>
      </c>
      <c r="B5" s="9" t="s">
        <v>5</v>
      </c>
      <c r="C5" s="9" t="s">
        <v>5</v>
      </c>
      <c r="D5" s="9" t="s">
        <v>5</v>
      </c>
      <c r="E5" s="9" t="s">
        <v>5</v>
      </c>
      <c r="F5" s="9" t="s">
        <v>5</v>
      </c>
      <c r="G5" s="9" t="s">
        <v>5</v>
      </c>
      <c r="H5" s="9" t="s">
        <v>8</v>
      </c>
      <c r="I5" s="9" t="s">
        <v>5</v>
      </c>
      <c r="J5" s="9" t="s">
        <v>5</v>
      </c>
      <c r="K5" s="9" t="s">
        <v>5</v>
      </c>
      <c r="L5" s="9" t="s">
        <v>5</v>
      </c>
      <c r="M5" s="9" t="s">
        <v>5</v>
      </c>
      <c r="N5" s="9" t="s">
        <v>5</v>
      </c>
      <c r="O5" s="9" t="s">
        <v>5</v>
      </c>
      <c r="P5" s="9" t="s">
        <v>5</v>
      </c>
      <c r="Q5" s="9" t="s">
        <v>5</v>
      </c>
      <c r="R5" s="9" t="s">
        <v>5</v>
      </c>
      <c r="S5" s="9" t="s">
        <v>5</v>
      </c>
      <c r="T5" s="9" t="s">
        <v>8</v>
      </c>
      <c r="U5" s="9" t="s">
        <v>5</v>
      </c>
      <c r="V5" s="9" t="s">
        <v>5</v>
      </c>
      <c r="W5" s="9" t="s">
        <v>5</v>
      </c>
      <c r="X5" s="9" t="s">
        <v>5</v>
      </c>
      <c r="Y5" s="9" t="s">
        <v>5</v>
      </c>
      <c r="Z5" s="9" t="s">
        <v>5</v>
      </c>
      <c r="AA5" s="9" t="s">
        <v>10</v>
      </c>
      <c r="AB5" s="9" t="s">
        <v>5</v>
      </c>
      <c r="AC5" s="9" t="s">
        <v>5</v>
      </c>
      <c r="AD5" s="9" t="s">
        <v>5</v>
      </c>
      <c r="AE5" s="9" t="s">
        <v>5</v>
      </c>
      <c r="AF5" s="9" t="s">
        <v>5</v>
      </c>
    </row>
    <row r="6" ht="30" customHeight="1" spans="1:34">
      <c r="A6" s="11" t="s">
        <v>11</v>
      </c>
      <c r="B6" s="9" t="s">
        <v>5</v>
      </c>
      <c r="C6" s="9" t="s">
        <v>5</v>
      </c>
      <c r="D6" s="9" t="s">
        <v>5</v>
      </c>
      <c r="E6" s="9" t="s">
        <v>5</v>
      </c>
      <c r="F6" s="9" t="s">
        <v>5</v>
      </c>
      <c r="G6" s="9" t="s">
        <v>5</v>
      </c>
      <c r="H6" s="9" t="s">
        <v>5</v>
      </c>
      <c r="I6" s="9" t="s">
        <v>5</v>
      </c>
      <c r="J6" s="9" t="s">
        <v>5</v>
      </c>
      <c r="K6" s="9" t="s">
        <v>5</v>
      </c>
      <c r="L6" s="9" t="s">
        <v>5</v>
      </c>
      <c r="M6" s="9" t="s">
        <v>5</v>
      </c>
      <c r="N6" s="9" t="s">
        <v>5</v>
      </c>
      <c r="O6" s="9" t="s">
        <v>5</v>
      </c>
      <c r="P6" s="9" t="s">
        <v>5</v>
      </c>
      <c r="Q6" s="9" t="s">
        <v>5</v>
      </c>
      <c r="R6" s="9" t="s">
        <v>6</v>
      </c>
      <c r="S6" s="9" t="s">
        <v>5</v>
      </c>
      <c r="T6" s="9" t="s">
        <v>5</v>
      </c>
      <c r="U6" s="9" t="s">
        <v>5</v>
      </c>
      <c r="V6" s="9" t="s">
        <v>5</v>
      </c>
      <c r="W6" s="9" t="s">
        <v>5</v>
      </c>
      <c r="X6" s="9" t="s">
        <v>5</v>
      </c>
      <c r="Y6" s="9" t="s">
        <v>5</v>
      </c>
      <c r="Z6" s="9" t="s">
        <v>5</v>
      </c>
      <c r="AA6" s="9" t="s">
        <v>5</v>
      </c>
      <c r="AB6" s="9" t="s">
        <v>5</v>
      </c>
      <c r="AC6" s="9" t="s">
        <v>5</v>
      </c>
      <c r="AD6" s="9" t="s">
        <v>5</v>
      </c>
      <c r="AE6" s="9" t="s">
        <v>8</v>
      </c>
      <c r="AF6" s="9" t="s">
        <v>5</v>
      </c>
    </row>
    <row r="7" ht="30" customHeight="1" spans="1:34">
      <c r="A7" s="11" t="s">
        <v>12</v>
      </c>
      <c r="B7" s="9" t="s">
        <v>5</v>
      </c>
      <c r="C7" s="9" t="s">
        <v>5</v>
      </c>
      <c r="D7" s="9" t="s">
        <v>5</v>
      </c>
      <c r="E7" s="9" t="s">
        <v>5</v>
      </c>
      <c r="F7" s="9" t="s">
        <v>5</v>
      </c>
      <c r="G7" s="9" t="s">
        <v>5</v>
      </c>
      <c r="H7" s="9" t="s">
        <v>5</v>
      </c>
      <c r="I7" s="9" t="s">
        <v>5</v>
      </c>
      <c r="J7" s="9" t="s">
        <v>5</v>
      </c>
      <c r="K7" s="9" t="s">
        <v>5</v>
      </c>
      <c r="L7" s="9" t="s">
        <v>5</v>
      </c>
      <c r="M7" s="9" t="s">
        <v>5</v>
      </c>
      <c r="N7" s="9" t="s">
        <v>5</v>
      </c>
      <c r="O7" s="9" t="s">
        <v>5</v>
      </c>
      <c r="P7" s="9" t="s">
        <v>5</v>
      </c>
      <c r="Q7" s="9" t="s">
        <v>6</v>
      </c>
      <c r="R7" s="9" t="s">
        <v>5</v>
      </c>
      <c r="S7" s="9" t="s">
        <v>5</v>
      </c>
      <c r="T7" s="9" t="s">
        <v>5</v>
      </c>
      <c r="U7" s="9" t="s">
        <v>5</v>
      </c>
      <c r="V7" s="9" t="s">
        <v>5</v>
      </c>
      <c r="W7" s="9" t="s">
        <v>5</v>
      </c>
      <c r="X7" s="9" t="s">
        <v>5</v>
      </c>
      <c r="Y7" s="9" t="s">
        <v>5</v>
      </c>
      <c r="Z7" s="9" t="s">
        <v>5</v>
      </c>
      <c r="AA7" s="9" t="s">
        <v>5</v>
      </c>
      <c r="AB7" s="9" t="s">
        <v>10</v>
      </c>
      <c r="AC7" s="9" t="s">
        <v>5</v>
      </c>
      <c r="AD7" s="9" t="s">
        <v>5</v>
      </c>
      <c r="AE7" s="9" t="s">
        <v>5</v>
      </c>
      <c r="AF7" s="9" t="s">
        <v>5</v>
      </c>
    </row>
    <row r="8" ht="30" customHeight="1" spans="1:34">
      <c r="A8" s="11" t="s">
        <v>13</v>
      </c>
      <c r="B8" s="9" t="s">
        <v>5</v>
      </c>
      <c r="C8" s="9" t="s">
        <v>5</v>
      </c>
      <c r="D8" s="9" t="s">
        <v>5</v>
      </c>
      <c r="E8" s="9" t="s">
        <v>5</v>
      </c>
      <c r="F8" s="9" t="s">
        <v>5</v>
      </c>
      <c r="G8" s="9" t="s">
        <v>5</v>
      </c>
      <c r="H8" s="9" t="s">
        <v>5</v>
      </c>
      <c r="I8" s="9" t="s">
        <v>5</v>
      </c>
      <c r="J8" s="9" t="s">
        <v>5</v>
      </c>
      <c r="K8" s="9" t="s">
        <v>5</v>
      </c>
      <c r="L8" s="9" t="s">
        <v>5</v>
      </c>
      <c r="M8" s="9" t="s">
        <v>5</v>
      </c>
      <c r="N8" s="9" t="s">
        <v>5</v>
      </c>
      <c r="O8" s="9" t="s">
        <v>5</v>
      </c>
      <c r="P8" s="9" t="s">
        <v>5</v>
      </c>
      <c r="Q8" s="9" t="s">
        <v>5</v>
      </c>
      <c r="R8" s="9" t="s">
        <v>6</v>
      </c>
      <c r="S8" s="9" t="s">
        <v>5</v>
      </c>
      <c r="T8" s="9" t="s">
        <v>5</v>
      </c>
      <c r="U8" s="9" t="s">
        <v>5</v>
      </c>
      <c r="V8" s="9" t="s">
        <v>5</v>
      </c>
      <c r="W8" s="9" t="s">
        <v>5</v>
      </c>
      <c r="X8" s="9" t="s">
        <v>5</v>
      </c>
      <c r="Y8" s="9" t="s">
        <v>5</v>
      </c>
      <c r="Z8" s="9" t="s">
        <v>5</v>
      </c>
      <c r="AA8" s="9" t="s">
        <v>5</v>
      </c>
      <c r="AB8" s="9" t="s">
        <v>5</v>
      </c>
      <c r="AC8" s="9" t="s">
        <v>6</v>
      </c>
      <c r="AD8" s="9" t="s">
        <v>5</v>
      </c>
      <c r="AE8" s="9" t="s">
        <v>5</v>
      </c>
      <c r="AF8" s="9" t="s">
        <v>5</v>
      </c>
    </row>
    <row r="9" ht="30" customHeight="1"/>
    <row r="10" ht="45" customHeight="1" spans="1:34">
      <c r="A10" s="4" t="s">
        <v>14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ht="25" customHeight="1" spans="1:34">
      <c r="B11" s="6">
        <v>3.01</v>
      </c>
      <c r="C11" s="6">
        <v>3.02</v>
      </c>
      <c r="D11" s="6">
        <v>3.03</v>
      </c>
      <c r="E11" s="6">
        <v>3.04</v>
      </c>
      <c r="F11" s="6">
        <v>3.05</v>
      </c>
      <c r="G11" s="6">
        <v>3.06</v>
      </c>
      <c r="H11" s="6">
        <v>3.07</v>
      </c>
      <c r="I11" s="6">
        <v>3.08</v>
      </c>
      <c r="J11" s="6">
        <v>3.09</v>
      </c>
      <c r="K11" s="6" t="s">
        <v>1</v>
      </c>
      <c r="L11" s="6">
        <v>3.11</v>
      </c>
      <c r="M11" s="6">
        <v>3.12</v>
      </c>
      <c r="N11" s="6">
        <v>3.13</v>
      </c>
      <c r="O11" s="6">
        <v>3.14</v>
      </c>
      <c r="P11" s="7">
        <v>3.15</v>
      </c>
      <c r="Q11" s="7">
        <v>3.16</v>
      </c>
      <c r="R11" s="7">
        <v>3.17</v>
      </c>
      <c r="S11" s="7">
        <v>3.18</v>
      </c>
      <c r="T11" s="7">
        <v>3.19</v>
      </c>
      <c r="U11" s="6" t="s">
        <v>2</v>
      </c>
      <c r="V11" s="7">
        <v>3.21</v>
      </c>
      <c r="W11" s="7">
        <v>3.22</v>
      </c>
      <c r="X11" s="7">
        <v>3.23</v>
      </c>
      <c r="Y11" s="7">
        <v>3.24</v>
      </c>
      <c r="Z11" s="7">
        <v>3.25</v>
      </c>
      <c r="AA11" s="7">
        <v>3.26</v>
      </c>
      <c r="AB11" s="7">
        <v>3.27</v>
      </c>
      <c r="AC11" s="7">
        <v>3.28</v>
      </c>
      <c r="AD11" s="7">
        <v>3.29</v>
      </c>
      <c r="AE11" s="6" t="s">
        <v>3</v>
      </c>
      <c r="AF11" s="7">
        <v>3.31</v>
      </c>
      <c r="AG11" s="9" t="s">
        <v>15</v>
      </c>
      <c r="AH11" s="9" t="s">
        <v>16</v>
      </c>
    </row>
    <row r="12" ht="25" customHeight="1" spans="1:34">
      <c r="A12" s="11" t="s">
        <v>4</v>
      </c>
      <c r="B12" s="9">
        <f>IF(B3="/",0,1)</f>
        <v>0</v>
      </c>
      <c r="C12" s="9">
        <f t="shared" ref="C12:AF12" si="0">IF(C3="/",0,1)</f>
        <v>0</v>
      </c>
      <c r="D12" s="9">
        <f t="shared" si="0"/>
        <v>0</v>
      </c>
      <c r="E12" s="9">
        <f t="shared" si="0"/>
        <v>1</v>
      </c>
      <c r="F12" s="9">
        <f t="shared" si="0"/>
        <v>0</v>
      </c>
      <c r="G12" s="9">
        <f t="shared" si="0"/>
        <v>0</v>
      </c>
      <c r="H12" s="9">
        <f t="shared" si="0"/>
        <v>0</v>
      </c>
      <c r="I12" s="9">
        <f t="shared" si="0"/>
        <v>0</v>
      </c>
      <c r="J12" s="9">
        <f t="shared" si="0"/>
        <v>0</v>
      </c>
      <c r="K12" s="9">
        <f t="shared" si="0"/>
        <v>0</v>
      </c>
      <c r="L12" s="9">
        <f t="shared" si="0"/>
        <v>0</v>
      </c>
      <c r="M12" s="9">
        <f t="shared" si="0"/>
        <v>0</v>
      </c>
      <c r="N12" s="9">
        <f t="shared" si="0"/>
        <v>0</v>
      </c>
      <c r="O12" s="9">
        <f t="shared" si="0"/>
        <v>0</v>
      </c>
      <c r="P12" s="9">
        <f t="shared" si="0"/>
        <v>0</v>
      </c>
      <c r="Q12" s="9">
        <f t="shared" si="0"/>
        <v>0</v>
      </c>
      <c r="R12" s="9">
        <f t="shared" si="0"/>
        <v>0</v>
      </c>
      <c r="S12" s="9">
        <f t="shared" si="0"/>
        <v>0</v>
      </c>
      <c r="T12" s="9">
        <f t="shared" si="0"/>
        <v>0</v>
      </c>
      <c r="U12" s="9">
        <f t="shared" si="0"/>
        <v>0</v>
      </c>
      <c r="V12" s="9">
        <f t="shared" si="0"/>
        <v>0</v>
      </c>
      <c r="W12" s="9">
        <f t="shared" si="0"/>
        <v>0</v>
      </c>
      <c r="X12" s="9">
        <f t="shared" si="0"/>
        <v>1</v>
      </c>
      <c r="Y12" s="9">
        <f t="shared" si="0"/>
        <v>0</v>
      </c>
      <c r="Z12" s="9">
        <f t="shared" si="0"/>
        <v>0</v>
      </c>
      <c r="AA12" s="9">
        <f t="shared" si="0"/>
        <v>0</v>
      </c>
      <c r="AB12" s="9">
        <f t="shared" si="0"/>
        <v>0</v>
      </c>
      <c r="AC12" s="9">
        <f t="shared" si="0"/>
        <v>0</v>
      </c>
      <c r="AD12" s="9">
        <f t="shared" si="0"/>
        <v>0</v>
      </c>
      <c r="AE12" s="9">
        <f t="shared" si="0"/>
        <v>0</v>
      </c>
      <c r="AF12" s="9">
        <f t="shared" si="0"/>
        <v>0</v>
      </c>
      <c r="AG12" s="12">
        <f t="shared" ref="AG12:AG19" si="1">SUM(B12:AF12)</f>
        <v>2</v>
      </c>
      <c r="AH12" s="13">
        <f>SUM(AG12:AG17)</f>
        <v>14</v>
      </c>
    </row>
    <row r="13" ht="25" customHeight="1" spans="1:34">
      <c r="A13" s="11" t="s">
        <v>7</v>
      </c>
      <c r="B13" s="9">
        <f t="shared" ref="B13:AF13" si="2">IF(B4="/",0,1)</f>
        <v>0</v>
      </c>
      <c r="C13" s="9">
        <f t="shared" si="2"/>
        <v>0</v>
      </c>
      <c r="D13" s="9">
        <f t="shared" si="2"/>
        <v>0</v>
      </c>
      <c r="E13" s="9">
        <f t="shared" si="2"/>
        <v>0</v>
      </c>
      <c r="F13" s="9">
        <f t="shared" si="2"/>
        <v>0</v>
      </c>
      <c r="G13" s="9">
        <f t="shared" si="2"/>
        <v>0</v>
      </c>
      <c r="H13" s="9">
        <f t="shared" si="2"/>
        <v>1</v>
      </c>
      <c r="I13" s="9">
        <f t="shared" si="2"/>
        <v>0</v>
      </c>
      <c r="J13" s="9">
        <f t="shared" si="2"/>
        <v>0</v>
      </c>
      <c r="K13" s="9">
        <f t="shared" si="2"/>
        <v>0</v>
      </c>
      <c r="L13" s="9">
        <f t="shared" si="2"/>
        <v>0</v>
      </c>
      <c r="M13" s="9">
        <f t="shared" si="2"/>
        <v>0</v>
      </c>
      <c r="N13" s="9">
        <f t="shared" si="2"/>
        <v>0</v>
      </c>
      <c r="O13" s="9">
        <f t="shared" si="2"/>
        <v>0</v>
      </c>
      <c r="P13" s="9">
        <f t="shared" si="2"/>
        <v>0</v>
      </c>
      <c r="Q13" s="9">
        <f t="shared" si="2"/>
        <v>0</v>
      </c>
      <c r="R13" s="9">
        <f t="shared" si="2"/>
        <v>0</v>
      </c>
      <c r="S13" s="9">
        <f t="shared" si="2"/>
        <v>0</v>
      </c>
      <c r="T13" s="9">
        <f t="shared" si="2"/>
        <v>1</v>
      </c>
      <c r="U13" s="9">
        <f t="shared" si="2"/>
        <v>0</v>
      </c>
      <c r="V13" s="9">
        <f t="shared" si="2"/>
        <v>0</v>
      </c>
      <c r="W13" s="9">
        <f t="shared" si="2"/>
        <v>0</v>
      </c>
      <c r="X13" s="9">
        <f t="shared" si="2"/>
        <v>0</v>
      </c>
      <c r="Y13" s="9">
        <f t="shared" si="2"/>
        <v>0</v>
      </c>
      <c r="Z13" s="9">
        <f t="shared" si="2"/>
        <v>0</v>
      </c>
      <c r="AA13" s="9">
        <f t="shared" si="2"/>
        <v>0</v>
      </c>
      <c r="AB13" s="9">
        <f t="shared" si="2"/>
        <v>0</v>
      </c>
      <c r="AC13" s="9">
        <f t="shared" si="2"/>
        <v>0</v>
      </c>
      <c r="AD13" s="9">
        <f t="shared" si="2"/>
        <v>0</v>
      </c>
      <c r="AE13" s="9">
        <f t="shared" si="2"/>
        <v>1</v>
      </c>
      <c r="AF13" s="9">
        <f t="shared" si="2"/>
        <v>0</v>
      </c>
      <c r="AG13" s="12">
        <f t="shared" si="1"/>
        <v>3</v>
      </c>
    </row>
    <row r="14" ht="25" customHeight="1" spans="1:34">
      <c r="A14" s="11" t="s">
        <v>9</v>
      </c>
      <c r="B14" s="9">
        <f t="shared" ref="B14:AF14" si="3">IF(B5="/",0,1)</f>
        <v>0</v>
      </c>
      <c r="C14" s="9">
        <f t="shared" si="3"/>
        <v>0</v>
      </c>
      <c r="D14" s="9">
        <f t="shared" si="3"/>
        <v>0</v>
      </c>
      <c r="E14" s="9">
        <f t="shared" si="3"/>
        <v>0</v>
      </c>
      <c r="F14" s="9">
        <f t="shared" si="3"/>
        <v>0</v>
      </c>
      <c r="G14" s="9">
        <f t="shared" si="3"/>
        <v>0</v>
      </c>
      <c r="H14" s="9">
        <f t="shared" si="3"/>
        <v>1</v>
      </c>
      <c r="I14" s="9">
        <f t="shared" si="3"/>
        <v>0</v>
      </c>
      <c r="J14" s="9">
        <f t="shared" si="3"/>
        <v>0</v>
      </c>
      <c r="K14" s="9">
        <f t="shared" si="3"/>
        <v>0</v>
      </c>
      <c r="L14" s="9">
        <f t="shared" si="3"/>
        <v>0</v>
      </c>
      <c r="M14" s="9">
        <f t="shared" si="3"/>
        <v>0</v>
      </c>
      <c r="N14" s="9">
        <f t="shared" si="3"/>
        <v>0</v>
      </c>
      <c r="O14" s="9">
        <f t="shared" si="3"/>
        <v>0</v>
      </c>
      <c r="P14" s="9">
        <f t="shared" si="3"/>
        <v>0</v>
      </c>
      <c r="Q14" s="9">
        <f t="shared" si="3"/>
        <v>0</v>
      </c>
      <c r="R14" s="9">
        <f t="shared" si="3"/>
        <v>0</v>
      </c>
      <c r="S14" s="9">
        <f t="shared" si="3"/>
        <v>0</v>
      </c>
      <c r="T14" s="9">
        <f t="shared" si="3"/>
        <v>1</v>
      </c>
      <c r="U14" s="9">
        <f t="shared" si="3"/>
        <v>0</v>
      </c>
      <c r="V14" s="9">
        <f t="shared" si="3"/>
        <v>0</v>
      </c>
      <c r="W14" s="9">
        <f t="shared" si="3"/>
        <v>0</v>
      </c>
      <c r="X14" s="9">
        <f t="shared" si="3"/>
        <v>0</v>
      </c>
      <c r="Y14" s="9">
        <f t="shared" si="3"/>
        <v>0</v>
      </c>
      <c r="Z14" s="9">
        <f t="shared" si="3"/>
        <v>0</v>
      </c>
      <c r="AA14" s="9">
        <f t="shared" si="3"/>
        <v>1</v>
      </c>
      <c r="AB14" s="9">
        <f t="shared" si="3"/>
        <v>0</v>
      </c>
      <c r="AC14" s="9">
        <f t="shared" si="3"/>
        <v>0</v>
      </c>
      <c r="AD14" s="9">
        <f t="shared" si="3"/>
        <v>0</v>
      </c>
      <c r="AE14" s="9">
        <f t="shared" si="3"/>
        <v>0</v>
      </c>
      <c r="AF14" s="9">
        <f t="shared" si="3"/>
        <v>0</v>
      </c>
      <c r="AG14" s="12">
        <f t="shared" si="1"/>
        <v>3</v>
      </c>
    </row>
    <row r="15" ht="25" customHeight="1" spans="1:34">
      <c r="A15" s="11" t="s">
        <v>11</v>
      </c>
      <c r="B15" s="9">
        <f t="shared" ref="B15:AF15" si="4">IF(B6="/",0,1)</f>
        <v>0</v>
      </c>
      <c r="C15" s="9">
        <f t="shared" si="4"/>
        <v>0</v>
      </c>
      <c r="D15" s="9">
        <f t="shared" si="4"/>
        <v>0</v>
      </c>
      <c r="E15" s="9">
        <f t="shared" si="4"/>
        <v>0</v>
      </c>
      <c r="F15" s="9">
        <f t="shared" si="4"/>
        <v>0</v>
      </c>
      <c r="G15" s="9">
        <f t="shared" si="4"/>
        <v>0</v>
      </c>
      <c r="H15" s="9">
        <f t="shared" si="4"/>
        <v>0</v>
      </c>
      <c r="I15" s="9">
        <f t="shared" si="4"/>
        <v>0</v>
      </c>
      <c r="J15" s="9">
        <f t="shared" si="4"/>
        <v>0</v>
      </c>
      <c r="K15" s="9">
        <f t="shared" si="4"/>
        <v>0</v>
      </c>
      <c r="L15" s="9">
        <f t="shared" si="4"/>
        <v>0</v>
      </c>
      <c r="M15" s="9">
        <f t="shared" si="4"/>
        <v>0</v>
      </c>
      <c r="N15" s="9">
        <f t="shared" si="4"/>
        <v>0</v>
      </c>
      <c r="O15" s="9">
        <f t="shared" si="4"/>
        <v>0</v>
      </c>
      <c r="P15" s="9">
        <f t="shared" si="4"/>
        <v>0</v>
      </c>
      <c r="Q15" s="9">
        <f t="shared" si="4"/>
        <v>0</v>
      </c>
      <c r="R15" s="9">
        <f t="shared" si="4"/>
        <v>1</v>
      </c>
      <c r="S15" s="9">
        <f t="shared" si="4"/>
        <v>0</v>
      </c>
      <c r="T15" s="9">
        <f t="shared" si="4"/>
        <v>0</v>
      </c>
      <c r="U15" s="9">
        <f t="shared" si="4"/>
        <v>0</v>
      </c>
      <c r="V15" s="9">
        <f t="shared" si="4"/>
        <v>0</v>
      </c>
      <c r="W15" s="9">
        <f t="shared" si="4"/>
        <v>0</v>
      </c>
      <c r="X15" s="9">
        <f t="shared" si="4"/>
        <v>0</v>
      </c>
      <c r="Y15" s="9">
        <f t="shared" si="4"/>
        <v>0</v>
      </c>
      <c r="Z15" s="9">
        <f t="shared" si="4"/>
        <v>0</v>
      </c>
      <c r="AA15" s="9">
        <f t="shared" si="4"/>
        <v>0</v>
      </c>
      <c r="AB15" s="9">
        <f t="shared" si="4"/>
        <v>0</v>
      </c>
      <c r="AC15" s="9">
        <f t="shared" si="4"/>
        <v>0</v>
      </c>
      <c r="AD15" s="9">
        <f t="shared" si="4"/>
        <v>0</v>
      </c>
      <c r="AE15" s="9">
        <f t="shared" si="4"/>
        <v>1</v>
      </c>
      <c r="AF15" s="9">
        <f t="shared" si="4"/>
        <v>0</v>
      </c>
      <c r="AG15" s="12">
        <f t="shared" si="1"/>
        <v>2</v>
      </c>
    </row>
    <row r="16" ht="25" customHeight="1" spans="1:34">
      <c r="A16" s="11" t="s">
        <v>12</v>
      </c>
      <c r="B16" s="9">
        <f t="shared" ref="B16:AF16" si="5">IF(B7="/",0,1)</f>
        <v>0</v>
      </c>
      <c r="C16" s="9">
        <f t="shared" si="5"/>
        <v>0</v>
      </c>
      <c r="D16" s="9">
        <f t="shared" si="5"/>
        <v>0</v>
      </c>
      <c r="E16" s="9">
        <f t="shared" si="5"/>
        <v>0</v>
      </c>
      <c r="F16" s="9">
        <f t="shared" si="5"/>
        <v>0</v>
      </c>
      <c r="G16" s="9">
        <f t="shared" si="5"/>
        <v>0</v>
      </c>
      <c r="H16" s="9">
        <f t="shared" si="5"/>
        <v>0</v>
      </c>
      <c r="I16" s="9">
        <f t="shared" si="5"/>
        <v>0</v>
      </c>
      <c r="J16" s="9">
        <f t="shared" si="5"/>
        <v>0</v>
      </c>
      <c r="K16" s="9">
        <f t="shared" si="5"/>
        <v>0</v>
      </c>
      <c r="L16" s="9">
        <f t="shared" si="5"/>
        <v>0</v>
      </c>
      <c r="M16" s="9">
        <f t="shared" si="5"/>
        <v>0</v>
      </c>
      <c r="N16" s="9">
        <f t="shared" si="5"/>
        <v>0</v>
      </c>
      <c r="O16" s="9">
        <f t="shared" si="5"/>
        <v>0</v>
      </c>
      <c r="P16" s="9">
        <f t="shared" si="5"/>
        <v>0</v>
      </c>
      <c r="Q16" s="9">
        <f t="shared" si="5"/>
        <v>1</v>
      </c>
      <c r="R16" s="9">
        <f t="shared" si="5"/>
        <v>0</v>
      </c>
      <c r="S16" s="9">
        <f t="shared" si="5"/>
        <v>0</v>
      </c>
      <c r="T16" s="9">
        <f t="shared" si="5"/>
        <v>0</v>
      </c>
      <c r="U16" s="9">
        <f t="shared" si="5"/>
        <v>0</v>
      </c>
      <c r="V16" s="9">
        <f t="shared" si="5"/>
        <v>0</v>
      </c>
      <c r="W16" s="9">
        <f t="shared" si="5"/>
        <v>0</v>
      </c>
      <c r="X16" s="9">
        <f t="shared" si="5"/>
        <v>0</v>
      </c>
      <c r="Y16" s="9">
        <f t="shared" si="5"/>
        <v>0</v>
      </c>
      <c r="Z16" s="9">
        <f t="shared" si="5"/>
        <v>0</v>
      </c>
      <c r="AA16" s="9">
        <f t="shared" si="5"/>
        <v>0</v>
      </c>
      <c r="AB16" s="9">
        <f t="shared" si="5"/>
        <v>1</v>
      </c>
      <c r="AC16" s="9">
        <f t="shared" si="5"/>
        <v>0</v>
      </c>
      <c r="AD16" s="9">
        <f t="shared" si="5"/>
        <v>0</v>
      </c>
      <c r="AE16" s="9">
        <f t="shared" si="5"/>
        <v>0</v>
      </c>
      <c r="AF16" s="9">
        <f t="shared" si="5"/>
        <v>0</v>
      </c>
      <c r="AG16" s="12">
        <f t="shared" si="1"/>
        <v>2</v>
      </c>
    </row>
    <row r="17" ht="25" customHeight="1" spans="1:33">
      <c r="A17" s="11" t="s">
        <v>13</v>
      </c>
      <c r="B17" s="9">
        <f t="shared" ref="B17:AF17" si="6">IF(B8="/",0,1)</f>
        <v>0</v>
      </c>
      <c r="C17" s="9">
        <f t="shared" si="6"/>
        <v>0</v>
      </c>
      <c r="D17" s="9">
        <f t="shared" si="6"/>
        <v>0</v>
      </c>
      <c r="E17" s="9">
        <f t="shared" si="6"/>
        <v>0</v>
      </c>
      <c r="F17" s="9">
        <f t="shared" si="6"/>
        <v>0</v>
      </c>
      <c r="G17" s="9">
        <f t="shared" si="6"/>
        <v>0</v>
      </c>
      <c r="H17" s="9">
        <f t="shared" si="6"/>
        <v>0</v>
      </c>
      <c r="I17" s="9">
        <f t="shared" si="6"/>
        <v>0</v>
      </c>
      <c r="J17" s="9">
        <f t="shared" si="6"/>
        <v>0</v>
      </c>
      <c r="K17" s="9">
        <f t="shared" si="6"/>
        <v>0</v>
      </c>
      <c r="L17" s="9">
        <f t="shared" si="6"/>
        <v>0</v>
      </c>
      <c r="M17" s="9">
        <f t="shared" si="6"/>
        <v>0</v>
      </c>
      <c r="N17" s="9">
        <f t="shared" si="6"/>
        <v>0</v>
      </c>
      <c r="O17" s="9">
        <f t="shared" si="6"/>
        <v>0</v>
      </c>
      <c r="P17" s="9">
        <f t="shared" si="6"/>
        <v>0</v>
      </c>
      <c r="Q17" s="9">
        <f t="shared" si="6"/>
        <v>0</v>
      </c>
      <c r="R17" s="9">
        <f t="shared" si="6"/>
        <v>1</v>
      </c>
      <c r="S17" s="9">
        <f t="shared" si="6"/>
        <v>0</v>
      </c>
      <c r="T17" s="9">
        <f t="shared" si="6"/>
        <v>0</v>
      </c>
      <c r="U17" s="9">
        <f t="shared" si="6"/>
        <v>0</v>
      </c>
      <c r="V17" s="9">
        <f t="shared" si="6"/>
        <v>0</v>
      </c>
      <c r="W17" s="9">
        <f t="shared" si="6"/>
        <v>0</v>
      </c>
      <c r="X17" s="9">
        <f t="shared" si="6"/>
        <v>0</v>
      </c>
      <c r="Y17" s="9">
        <f t="shared" si="6"/>
        <v>0</v>
      </c>
      <c r="Z17" s="9">
        <f t="shared" si="6"/>
        <v>0</v>
      </c>
      <c r="AA17" s="9">
        <f t="shared" si="6"/>
        <v>0</v>
      </c>
      <c r="AB17" s="9">
        <f t="shared" si="6"/>
        <v>0</v>
      </c>
      <c r="AC17" s="9">
        <f t="shared" si="6"/>
        <v>1</v>
      </c>
      <c r="AD17" s="9">
        <f t="shared" si="6"/>
        <v>0</v>
      </c>
      <c r="AE17" s="9">
        <f t="shared" si="6"/>
        <v>0</v>
      </c>
      <c r="AF17" s="9">
        <f t="shared" si="6"/>
        <v>0</v>
      </c>
      <c r="AG17" s="12">
        <f t="shared" si="1"/>
        <v>2</v>
      </c>
    </row>
    <row r="18" ht="25" customHeight="1"/>
    <row r="19" ht="37" customHeight="1" spans="1:33">
      <c r="A19" s="14" t="s">
        <v>17</v>
      </c>
      <c r="B19" s="14"/>
      <c r="C19" s="14"/>
      <c r="D19" s="14"/>
      <c r="E19" s="14"/>
      <c r="F19" s="15"/>
      <c r="R19"/>
    </row>
    <row r="20" ht="25" customHeight="1" spans="1:33">
      <c r="A20" s="9"/>
      <c r="B20" s="9" t="s">
        <v>6</v>
      </c>
      <c r="C20" s="9" t="s">
        <v>8</v>
      </c>
      <c r="D20" s="9" t="s">
        <v>10</v>
      </c>
      <c r="E20" s="9" t="s">
        <v>15</v>
      </c>
      <c r="F20" s="9" t="s">
        <v>18</v>
      </c>
      <c r="R20" s="16"/>
    </row>
    <row r="21" ht="25" customHeight="1" spans="1:33">
      <c r="A21" s="11" t="s">
        <v>4</v>
      </c>
      <c r="B21" s="9">
        <f t="shared" ref="B21:B28" si="7">COUNTIFS(B3:AF3,"甲")</f>
        <v>2</v>
      </c>
      <c r="C21" s="9">
        <f t="shared" ref="C21:C28" si="8">COUNTIFS(B3:AF3,"乙")</f>
        <v>0</v>
      </c>
      <c r="D21" s="9">
        <f t="shared" ref="D21:D28" si="9">COUNTIFS(B3:AF3,"丙")</f>
        <v>0</v>
      </c>
      <c r="E21" s="12">
        <f t="shared" ref="E21:E28" si="10">SUM(B21:D21)</f>
        <v>2</v>
      </c>
      <c r="F21" s="9">
        <f t="shared" ref="F21:F26" si="11">E21-AG12</f>
        <v>0</v>
      </c>
      <c r="R21" s="16"/>
    </row>
    <row r="22" ht="25" customHeight="1" spans="1:33">
      <c r="A22" s="11" t="s">
        <v>7</v>
      </c>
      <c r="B22" s="9">
        <f t="shared" si="7"/>
        <v>0</v>
      </c>
      <c r="C22" s="9">
        <f t="shared" si="8"/>
        <v>3</v>
      </c>
      <c r="D22" s="9">
        <f t="shared" si="9"/>
        <v>0</v>
      </c>
      <c r="E22" s="12">
        <f t="shared" si="10"/>
        <v>3</v>
      </c>
      <c r="F22" s="9">
        <f t="shared" si="11"/>
        <v>0</v>
      </c>
      <c r="R22" s="16"/>
    </row>
    <row r="23" ht="25" customHeight="1" spans="1:33">
      <c r="A23" s="11" t="s">
        <v>9</v>
      </c>
      <c r="B23" s="9">
        <f t="shared" si="7"/>
        <v>0</v>
      </c>
      <c r="C23" s="9">
        <f t="shared" si="8"/>
        <v>2</v>
      </c>
      <c r="D23" s="9">
        <f t="shared" si="9"/>
        <v>1</v>
      </c>
      <c r="E23" s="12">
        <f t="shared" si="10"/>
        <v>3</v>
      </c>
      <c r="F23" s="9">
        <f t="shared" si="11"/>
        <v>0</v>
      </c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</row>
    <row r="24" ht="25" customHeight="1" spans="1:33">
      <c r="A24" s="11" t="s">
        <v>11</v>
      </c>
      <c r="B24" s="9">
        <f t="shared" si="7"/>
        <v>1</v>
      </c>
      <c r="C24" s="9">
        <f t="shared" si="8"/>
        <v>1</v>
      </c>
      <c r="D24" s="9">
        <f t="shared" si="9"/>
        <v>0</v>
      </c>
      <c r="E24" s="12">
        <f t="shared" si="10"/>
        <v>2</v>
      </c>
      <c r="F24" s="9">
        <f t="shared" si="11"/>
        <v>0</v>
      </c>
      <c r="H24" s="17" t="s">
        <v>19</v>
      </c>
      <c r="I24" s="17"/>
      <c r="J24" s="17"/>
      <c r="K24" s="17"/>
      <c r="L24" s="17"/>
      <c r="M24" s="17"/>
      <c r="N24" s="17"/>
      <c r="O24" s="17"/>
      <c r="P24" s="17"/>
      <c r="Q24" s="17"/>
      <c r="R24" s="16"/>
    </row>
    <row r="25" ht="25" customHeight="1" spans="1:33">
      <c r="A25" s="11" t="s">
        <v>12</v>
      </c>
      <c r="B25" s="9">
        <f t="shared" si="7"/>
        <v>1</v>
      </c>
      <c r="C25" s="9">
        <f t="shared" si="8"/>
        <v>0</v>
      </c>
      <c r="D25" s="9">
        <f t="shared" si="9"/>
        <v>1</v>
      </c>
      <c r="E25" s="12">
        <f t="shared" si="10"/>
        <v>2</v>
      </c>
      <c r="F25" s="9">
        <f t="shared" si="11"/>
        <v>0</v>
      </c>
      <c r="H25" s="18" t="s">
        <v>20</v>
      </c>
      <c r="I25" s="18"/>
      <c r="J25" s="18"/>
      <c r="K25" s="18"/>
      <c r="L25" s="18"/>
      <c r="M25" s="18"/>
      <c r="N25" s="18"/>
      <c r="O25" s="18"/>
      <c r="P25" s="18"/>
      <c r="Q25" s="18"/>
      <c r="R25" s="16"/>
    </row>
    <row r="26" ht="25" customHeight="1" spans="1:33">
      <c r="A26" s="11" t="s">
        <v>13</v>
      </c>
      <c r="B26" s="9">
        <f t="shared" si="7"/>
        <v>2</v>
      </c>
      <c r="C26" s="9">
        <f t="shared" si="8"/>
        <v>0</v>
      </c>
      <c r="D26" s="9">
        <f t="shared" si="9"/>
        <v>0</v>
      </c>
      <c r="E26" s="12">
        <f t="shared" si="10"/>
        <v>2</v>
      </c>
      <c r="F26" s="9">
        <f t="shared" si="11"/>
        <v>0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6"/>
    </row>
    <row r="27" ht="25" customHeight="1" spans="1:33">
      <c r="A27" s="11" t="s">
        <v>21</v>
      </c>
      <c r="B27" s="13">
        <f>SUM(B21:B26)</f>
        <v>6</v>
      </c>
      <c r="C27" s="13">
        <f>SUM(C21:C26)</f>
        <v>6</v>
      </c>
      <c r="D27" s="13">
        <f>SUM(D21:D26)</f>
        <v>2</v>
      </c>
      <c r="E27" s="19">
        <f>SUM(E21:E26)</f>
        <v>14</v>
      </c>
      <c r="F27" s="9">
        <f>E27-AH12</f>
        <v>0</v>
      </c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16"/>
    </row>
    <row r="28" ht="25" customHeight="1"/>
  </sheetData>
  <sheetProtection sheet="1" objects="1"/>
  <protectedRanges>
    <protectedRange sqref="B3:AF8 X3 AE4 AE6 AF6 AB7" name="区域1"/>
    <protectedRange sqref="H25:Q27" name="区域2"/>
  </protectedRanges>
  <mergeCells count="7">
    <mergeCell ref="A1:AF1"/>
    <mergeCell ref="A10:AF10"/>
    <mergeCell ref="A19:E19"/>
    <mergeCell ref="H24:Q24"/>
    <mergeCell ref="H25:Q25"/>
    <mergeCell ref="H26:Q26"/>
    <mergeCell ref="H27:Q27"/>
  </mergeCells>
  <conditionalFormatting sqref="D24">
    <cfRule type="containsText" dxfId="0" priority="3" operator="between" text="乙">
      <formula>NOT(ISERROR(SEARCH("乙",D24)))</formula>
    </cfRule>
  </conditionalFormatting>
  <conditionalFormatting sqref="B3:AF8">
    <cfRule type="containsText" dxfId="1" priority="1" operator="between" text="丙">
      <formula>NOT(ISERROR(SEARCH("丙",B3)))</formula>
    </cfRule>
    <cfRule type="containsText" dxfId="0" priority="2" operator="between" text="乙">
      <formula>NOT(ISERROR(SEARCH("乙",B3)))</formula>
    </cfRule>
    <cfRule type="containsText" dxfId="2" priority="4" operator="between" text="甲">
      <formula>NOT(ISERROR(SEARCH("甲",B3)))</formula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4"/>
  <sheetViews>
    <sheetView zoomScale="85" zoomScaleNormal="85" workbookViewId="0">
      <selection activeCell="G9" sqref="G9"/>
    </sheetView>
  </sheetViews>
  <sheetFormatPr defaultColWidth="9" defaultRowHeight="13.5"/>
  <cols>
    <col min="1" max="1" width="15.75" style="2" customWidth="1"/>
    <col min="2" max="34" width="6.625" style="1" customWidth="1"/>
    <col min="35" max="16383" width="9" style="1"/>
  </cols>
  <sheetData>
    <row r="1" s="1" customFormat="1" ht="45" customHeight="1" spans="1:34 16384:16384">
      <c r="A1" s="3" t="s">
        <v>22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XFD1"/>
    </row>
    <row r="2" s="1" customFormat="1" ht="30" customHeight="1" spans="1:34 16384:16384">
      <c r="A2" s="5"/>
      <c r="B2" s="6">
        <v>3.01</v>
      </c>
      <c r="C2" s="6">
        <v>3.02</v>
      </c>
      <c r="D2" s="6">
        <v>3.03</v>
      </c>
      <c r="E2" s="6">
        <v>3.04</v>
      </c>
      <c r="F2" s="6">
        <v>3.05</v>
      </c>
      <c r="G2" s="6">
        <v>3.06</v>
      </c>
      <c r="H2" s="6">
        <v>3.07</v>
      </c>
      <c r="I2" s="6">
        <v>3.08</v>
      </c>
      <c r="J2" s="6">
        <v>3.09</v>
      </c>
      <c r="K2" s="6" t="s">
        <v>1</v>
      </c>
      <c r="L2" s="6">
        <v>3.11</v>
      </c>
      <c r="M2" s="6">
        <v>3.12</v>
      </c>
      <c r="N2" s="6">
        <v>3.13</v>
      </c>
      <c r="O2" s="6">
        <v>3.14</v>
      </c>
      <c r="P2" s="7">
        <v>3.15</v>
      </c>
      <c r="Q2" s="7">
        <v>3.16</v>
      </c>
      <c r="R2" s="7">
        <v>3.17</v>
      </c>
      <c r="S2" s="7">
        <v>3.18</v>
      </c>
      <c r="T2" s="7">
        <v>3.19</v>
      </c>
      <c r="U2" s="6" t="s">
        <v>2</v>
      </c>
      <c r="V2" s="7">
        <v>3.21</v>
      </c>
      <c r="W2" s="7">
        <v>3.22</v>
      </c>
      <c r="X2" s="7">
        <v>3.23</v>
      </c>
      <c r="Y2" s="7">
        <v>3.24</v>
      </c>
      <c r="Z2" s="7">
        <v>3.25</v>
      </c>
      <c r="AA2" s="7">
        <v>3.26</v>
      </c>
      <c r="AB2" s="7">
        <v>3.27</v>
      </c>
      <c r="AC2" s="7">
        <v>3.28</v>
      </c>
      <c r="AD2" s="7">
        <v>3.29</v>
      </c>
      <c r="AE2" s="6" t="s">
        <v>3</v>
      </c>
      <c r="AF2" s="7">
        <v>3.31</v>
      </c>
      <c r="AG2" s="8"/>
      <c r="AH2" s="8"/>
    </row>
    <row r="3" s="1" customFormat="1" ht="45" customHeight="1" spans="1:34 16384:16384">
      <c r="A3" s="5" t="s">
        <v>23</v>
      </c>
      <c r="B3" s="9" t="s">
        <v>5</v>
      </c>
      <c r="C3" s="9" t="s">
        <v>5</v>
      </c>
      <c r="D3" s="9" t="s">
        <v>5</v>
      </c>
      <c r="E3" s="9" t="s">
        <v>5</v>
      </c>
      <c r="F3" s="9" t="s">
        <v>5</v>
      </c>
      <c r="G3" s="9" t="s">
        <v>5</v>
      </c>
      <c r="H3" s="9" t="s">
        <v>5</v>
      </c>
      <c r="I3" s="9" t="s">
        <v>5</v>
      </c>
      <c r="J3" s="9" t="s">
        <v>10</v>
      </c>
      <c r="K3" s="9" t="s">
        <v>5</v>
      </c>
      <c r="L3" s="9" t="s">
        <v>5</v>
      </c>
      <c r="M3" s="9" t="s">
        <v>5</v>
      </c>
      <c r="N3" s="9" t="s">
        <v>5</v>
      </c>
      <c r="O3" s="9" t="s">
        <v>5</v>
      </c>
      <c r="P3" s="9" t="s">
        <v>5</v>
      </c>
      <c r="Q3" s="9" t="s">
        <v>5</v>
      </c>
      <c r="R3" s="9" t="s">
        <v>5</v>
      </c>
      <c r="S3" s="9" t="s">
        <v>5</v>
      </c>
      <c r="T3" s="9" t="s">
        <v>5</v>
      </c>
      <c r="U3" s="9" t="s">
        <v>5</v>
      </c>
      <c r="V3" s="9" t="s">
        <v>5</v>
      </c>
      <c r="W3" s="9" t="s">
        <v>5</v>
      </c>
      <c r="X3" s="9" t="s">
        <v>5</v>
      </c>
      <c r="Y3" s="9" t="s">
        <v>5</v>
      </c>
      <c r="Z3" s="9" t="s">
        <v>5</v>
      </c>
      <c r="AA3" s="9" t="s">
        <v>5</v>
      </c>
      <c r="AB3" s="9" t="s">
        <v>5</v>
      </c>
      <c r="AC3" s="9" t="s">
        <v>5</v>
      </c>
      <c r="AD3" s="9" t="s">
        <v>5</v>
      </c>
      <c r="AE3" s="9" t="s">
        <v>5</v>
      </c>
      <c r="AF3" s="9" t="s">
        <v>5</v>
      </c>
      <c r="XFD3"/>
    </row>
    <row r="4" s="1" customFormat="1" ht="45" customHeight="1" spans="1:34 16384:16384">
      <c r="A4" s="5" t="s">
        <v>24</v>
      </c>
      <c r="B4" s="9" t="s">
        <v>5</v>
      </c>
      <c r="C4" s="9" t="s">
        <v>5</v>
      </c>
      <c r="D4" s="9" t="s">
        <v>5</v>
      </c>
      <c r="E4" s="9" t="s">
        <v>5</v>
      </c>
      <c r="F4" s="9" t="s">
        <v>5</v>
      </c>
      <c r="G4" s="9" t="s">
        <v>5</v>
      </c>
      <c r="H4" s="9" t="s">
        <v>5</v>
      </c>
      <c r="I4" s="9" t="s">
        <v>5</v>
      </c>
      <c r="J4" s="9" t="s">
        <v>5</v>
      </c>
      <c r="K4" s="9" t="s">
        <v>5</v>
      </c>
      <c r="L4" s="9" t="s">
        <v>5</v>
      </c>
      <c r="M4" s="9" t="s">
        <v>5</v>
      </c>
      <c r="N4" s="9" t="s">
        <v>5</v>
      </c>
      <c r="O4" s="9" t="s">
        <v>5</v>
      </c>
      <c r="P4" s="9" t="s">
        <v>5</v>
      </c>
      <c r="Q4" s="9" t="s">
        <v>5</v>
      </c>
      <c r="R4" s="9" t="s">
        <v>5</v>
      </c>
      <c r="S4" s="9" t="s">
        <v>8</v>
      </c>
      <c r="T4" s="9" t="s">
        <v>5</v>
      </c>
      <c r="U4" s="9" t="s">
        <v>5</v>
      </c>
      <c r="V4" s="9" t="s">
        <v>5</v>
      </c>
      <c r="W4" s="9" t="s">
        <v>5</v>
      </c>
      <c r="X4" s="9" t="s">
        <v>5</v>
      </c>
      <c r="Y4" s="9" t="s">
        <v>5</v>
      </c>
      <c r="Z4" s="9" t="s">
        <v>5</v>
      </c>
      <c r="AA4" s="9" t="s">
        <v>5</v>
      </c>
      <c r="AB4" s="9" t="s">
        <v>5</v>
      </c>
      <c r="AC4" s="9" t="s">
        <v>5</v>
      </c>
      <c r="AD4" s="9" t="s">
        <v>5</v>
      </c>
      <c r="AE4" s="9" t="s">
        <v>5</v>
      </c>
      <c r="AF4" s="9" t="s">
        <v>5</v>
      </c>
      <c r="XFD4"/>
    </row>
    <row r="5" s="1" customFormat="1" ht="45" customHeight="1" spans="1:34 16384:16384">
      <c r="A5" s="5" t="s">
        <v>25</v>
      </c>
      <c r="B5" s="9" t="s">
        <v>5</v>
      </c>
      <c r="C5" s="9" t="s">
        <v>5</v>
      </c>
      <c r="D5" s="9" t="s">
        <v>5</v>
      </c>
      <c r="E5" s="9" t="s">
        <v>5</v>
      </c>
      <c r="F5" s="9" t="s">
        <v>5</v>
      </c>
      <c r="G5" s="9" t="s">
        <v>5</v>
      </c>
      <c r="H5" s="9" t="s">
        <v>5</v>
      </c>
      <c r="I5" s="9" t="s">
        <v>5</v>
      </c>
      <c r="J5" s="9" t="s">
        <v>5</v>
      </c>
      <c r="K5" s="9" t="s">
        <v>5</v>
      </c>
      <c r="L5" s="9" t="s">
        <v>5</v>
      </c>
      <c r="M5" s="9" t="s">
        <v>5</v>
      </c>
      <c r="N5" s="9" t="s">
        <v>5</v>
      </c>
      <c r="O5" s="9" t="s">
        <v>5</v>
      </c>
      <c r="P5" s="9" t="s">
        <v>5</v>
      </c>
      <c r="Q5" s="9" t="s">
        <v>5</v>
      </c>
      <c r="R5" s="9" t="s">
        <v>5</v>
      </c>
      <c r="S5" s="9" t="s">
        <v>8</v>
      </c>
      <c r="T5" s="9" t="s">
        <v>5</v>
      </c>
      <c r="U5" s="9" t="s">
        <v>5</v>
      </c>
      <c r="V5" s="9" t="s">
        <v>5</v>
      </c>
      <c r="W5" s="9" t="s">
        <v>5</v>
      </c>
      <c r="X5" s="9" t="s">
        <v>5</v>
      </c>
      <c r="Y5" s="9" t="s">
        <v>5</v>
      </c>
      <c r="Z5" s="9" t="s">
        <v>5</v>
      </c>
      <c r="AA5" s="9" t="s">
        <v>5</v>
      </c>
      <c r="AB5" s="9" t="s">
        <v>5</v>
      </c>
      <c r="AC5" s="9" t="s">
        <v>5</v>
      </c>
      <c r="AD5" s="9" t="s">
        <v>5</v>
      </c>
      <c r="AE5" s="9" t="s">
        <v>5</v>
      </c>
      <c r="AF5" s="9" t="s">
        <v>5</v>
      </c>
      <c r="XFD5"/>
    </row>
    <row r="6" s="1" customFormat="1" ht="45" customHeight="1" spans="1:34 16384:16384">
      <c r="A6" s="5" t="s">
        <v>26</v>
      </c>
      <c r="B6" s="9" t="s">
        <v>5</v>
      </c>
      <c r="C6" s="9" t="s">
        <v>5</v>
      </c>
      <c r="D6" s="9" t="s">
        <v>5</v>
      </c>
      <c r="E6" s="9" t="s">
        <v>5</v>
      </c>
      <c r="F6" s="9" t="s">
        <v>5</v>
      </c>
      <c r="G6" s="9" t="s">
        <v>5</v>
      </c>
      <c r="H6" s="9" t="s">
        <v>5</v>
      </c>
      <c r="I6" s="9" t="s">
        <v>5</v>
      </c>
      <c r="J6" s="9" t="s">
        <v>5</v>
      </c>
      <c r="K6" s="9" t="s">
        <v>5</v>
      </c>
      <c r="L6" s="9" t="s">
        <v>5</v>
      </c>
      <c r="M6" s="9" t="s">
        <v>5</v>
      </c>
      <c r="N6" s="9" t="s">
        <v>5</v>
      </c>
      <c r="O6" s="9" t="s">
        <v>5</v>
      </c>
      <c r="P6" s="9" t="s">
        <v>5</v>
      </c>
      <c r="Q6" s="9" t="s">
        <v>5</v>
      </c>
      <c r="R6" s="9" t="s">
        <v>5</v>
      </c>
      <c r="S6" s="9" t="s">
        <v>5</v>
      </c>
      <c r="T6" s="9" t="s">
        <v>8</v>
      </c>
      <c r="U6" s="9" t="s">
        <v>5</v>
      </c>
      <c r="V6" s="9" t="s">
        <v>5</v>
      </c>
      <c r="W6" s="9" t="s">
        <v>5</v>
      </c>
      <c r="X6" s="9" t="s">
        <v>5</v>
      </c>
      <c r="Y6" s="9" t="s">
        <v>5</v>
      </c>
      <c r="Z6" s="9" t="s">
        <v>5</v>
      </c>
      <c r="AA6" s="9" t="s">
        <v>5</v>
      </c>
      <c r="AB6" s="9" t="s">
        <v>5</v>
      </c>
      <c r="AC6" s="9" t="s">
        <v>5</v>
      </c>
      <c r="AD6" s="9" t="s">
        <v>5</v>
      </c>
      <c r="AE6" s="9" t="s">
        <v>5</v>
      </c>
      <c r="AF6" s="9" t="s">
        <v>5</v>
      </c>
      <c r="XFD6"/>
    </row>
    <row r="7" s="1" customFormat="1" ht="45" customHeight="1" spans="1:34 16384:16384">
      <c r="A7" s="5" t="s">
        <v>27</v>
      </c>
      <c r="B7" s="9" t="s">
        <v>5</v>
      </c>
      <c r="C7" s="9" t="s">
        <v>5</v>
      </c>
      <c r="D7" s="9" t="s">
        <v>5</v>
      </c>
      <c r="E7" s="9" t="s">
        <v>5</v>
      </c>
      <c r="F7" s="9" t="s">
        <v>5</v>
      </c>
      <c r="G7" s="9" t="s">
        <v>5</v>
      </c>
      <c r="H7" s="9" t="s">
        <v>5</v>
      </c>
      <c r="I7" s="9" t="s">
        <v>5</v>
      </c>
      <c r="J7" s="9" t="s">
        <v>5</v>
      </c>
      <c r="K7" s="9" t="s">
        <v>5</v>
      </c>
      <c r="L7" s="9" t="s">
        <v>5</v>
      </c>
      <c r="M7" s="9" t="s">
        <v>5</v>
      </c>
      <c r="N7" s="9" t="s">
        <v>5</v>
      </c>
      <c r="O7" s="9" t="s">
        <v>5</v>
      </c>
      <c r="P7" s="9" t="s">
        <v>5</v>
      </c>
      <c r="Q7" s="9" t="s">
        <v>5</v>
      </c>
      <c r="R7" s="9" t="s">
        <v>5</v>
      </c>
      <c r="S7" s="9" t="s">
        <v>5</v>
      </c>
      <c r="T7" s="9" t="s">
        <v>8</v>
      </c>
      <c r="U7" s="9" t="s">
        <v>5</v>
      </c>
      <c r="V7" s="9" t="s">
        <v>5</v>
      </c>
      <c r="W7" s="9" t="s">
        <v>5</v>
      </c>
      <c r="X7" s="9" t="s">
        <v>5</v>
      </c>
      <c r="Y7" s="9" t="s">
        <v>5</v>
      </c>
      <c r="Z7" s="9" t="s">
        <v>5</v>
      </c>
      <c r="AA7" s="9" t="s">
        <v>5</v>
      </c>
      <c r="AB7" s="9" t="s">
        <v>5</v>
      </c>
      <c r="AC7" s="9" t="s">
        <v>5</v>
      </c>
      <c r="AD7" s="9" t="s">
        <v>5</v>
      </c>
      <c r="AE7" s="9" t="s">
        <v>5</v>
      </c>
      <c r="AF7" s="9" t="s">
        <v>5</v>
      </c>
      <c r="XFD7"/>
    </row>
    <row r="8" s="1" customFormat="1" ht="45" customHeight="1" spans="1:34 16384:16384">
      <c r="A8" s="5" t="s">
        <v>28</v>
      </c>
      <c r="B8" s="9" t="s">
        <v>5</v>
      </c>
      <c r="C8" s="9" t="s">
        <v>5</v>
      </c>
      <c r="D8" s="9" t="s">
        <v>5</v>
      </c>
      <c r="E8" s="9" t="s">
        <v>5</v>
      </c>
      <c r="F8" s="9" t="s">
        <v>5</v>
      </c>
      <c r="G8" s="9" t="s">
        <v>5</v>
      </c>
      <c r="H8" s="9" t="s">
        <v>5</v>
      </c>
      <c r="I8" s="9" t="s">
        <v>5</v>
      </c>
      <c r="J8" s="9" t="s">
        <v>5</v>
      </c>
      <c r="K8" s="9" t="s">
        <v>5</v>
      </c>
      <c r="L8" s="9" t="s">
        <v>5</v>
      </c>
      <c r="M8" s="9" t="s">
        <v>5</v>
      </c>
      <c r="N8" s="9" t="s">
        <v>5</v>
      </c>
      <c r="O8" s="9" t="s">
        <v>5</v>
      </c>
      <c r="P8" s="9" t="s">
        <v>5</v>
      </c>
      <c r="Q8" s="9" t="s">
        <v>5</v>
      </c>
      <c r="R8" s="9" t="s">
        <v>5</v>
      </c>
      <c r="S8" s="9" t="s">
        <v>5</v>
      </c>
      <c r="T8" s="9" t="s">
        <v>8</v>
      </c>
      <c r="U8" s="9" t="s">
        <v>5</v>
      </c>
      <c r="V8" s="9" t="s">
        <v>5</v>
      </c>
      <c r="W8" s="9" t="s">
        <v>5</v>
      </c>
      <c r="X8" s="9" t="s">
        <v>5</v>
      </c>
      <c r="Y8" s="9" t="s">
        <v>5</v>
      </c>
      <c r="Z8" s="9" t="s">
        <v>5</v>
      </c>
      <c r="AA8" s="9" t="s">
        <v>5</v>
      </c>
      <c r="AB8" s="9" t="s">
        <v>5</v>
      </c>
      <c r="AC8" s="9" t="s">
        <v>5</v>
      </c>
      <c r="AD8" s="9" t="s">
        <v>5</v>
      </c>
      <c r="AE8" s="9" t="s">
        <v>5</v>
      </c>
      <c r="AF8" s="9" t="s">
        <v>5</v>
      </c>
      <c r="XFD8"/>
    </row>
    <row r="9" s="1" customFormat="1" ht="45" customHeight="1" spans="1:34 16384:16384">
      <c r="A9" s="5" t="s">
        <v>29</v>
      </c>
      <c r="B9" s="9" t="s">
        <v>5</v>
      </c>
      <c r="C9" s="9" t="s">
        <v>5</v>
      </c>
      <c r="D9" s="9" t="s">
        <v>5</v>
      </c>
      <c r="E9" s="9" t="s">
        <v>5</v>
      </c>
      <c r="F9" s="9" t="s">
        <v>5</v>
      </c>
      <c r="G9" s="9" t="s">
        <v>5</v>
      </c>
      <c r="H9" s="9" t="s">
        <v>5</v>
      </c>
      <c r="I9" s="9" t="s">
        <v>5</v>
      </c>
      <c r="J9" s="9" t="s">
        <v>5</v>
      </c>
      <c r="K9" s="9" t="s">
        <v>5</v>
      </c>
      <c r="L9" s="9" t="s">
        <v>5</v>
      </c>
      <c r="M9" s="9" t="s">
        <v>5</v>
      </c>
      <c r="N9" s="9" t="s">
        <v>5</v>
      </c>
      <c r="O9" s="9" t="s">
        <v>5</v>
      </c>
      <c r="P9" s="9" t="s">
        <v>5</v>
      </c>
      <c r="Q9" s="9" t="s">
        <v>5</v>
      </c>
      <c r="R9" s="9" t="s">
        <v>5</v>
      </c>
      <c r="S9" s="9" t="s">
        <v>5</v>
      </c>
      <c r="T9" s="9" t="s">
        <v>8</v>
      </c>
      <c r="U9" s="9" t="s">
        <v>5</v>
      </c>
      <c r="V9" s="9" t="s">
        <v>5</v>
      </c>
      <c r="W9" s="9" t="s">
        <v>5</v>
      </c>
      <c r="X9" s="9" t="s">
        <v>5</v>
      </c>
      <c r="Y9" s="9" t="s">
        <v>5</v>
      </c>
      <c r="Z9" s="9" t="s">
        <v>5</v>
      </c>
      <c r="AA9" s="9" t="s">
        <v>5</v>
      </c>
      <c r="AB9" s="9" t="s">
        <v>5</v>
      </c>
      <c r="AC9" s="9" t="s">
        <v>5</v>
      </c>
      <c r="AD9" s="9" t="s">
        <v>5</v>
      </c>
      <c r="AE9" s="9" t="s">
        <v>5</v>
      </c>
      <c r="AF9" s="9" t="s">
        <v>5</v>
      </c>
      <c r="XFD9"/>
    </row>
    <row r="10" customFormat="1" ht="45" customHeight="1" spans="1:34 16384:16384">
      <c r="A10" s="5" t="s">
        <v>30</v>
      </c>
      <c r="B10" s="9" t="s">
        <v>5</v>
      </c>
      <c r="C10" s="9" t="s">
        <v>5</v>
      </c>
      <c r="D10" s="9" t="s">
        <v>5</v>
      </c>
      <c r="E10" s="9" t="s">
        <v>5</v>
      </c>
      <c r="F10" s="9" t="s">
        <v>5</v>
      </c>
      <c r="G10" s="9" t="s">
        <v>5</v>
      </c>
      <c r="H10" s="9" t="s">
        <v>5</v>
      </c>
      <c r="I10" s="9" t="s">
        <v>5</v>
      </c>
      <c r="J10" s="9" t="s">
        <v>5</v>
      </c>
      <c r="K10" s="9" t="s">
        <v>5</v>
      </c>
      <c r="L10" s="9" t="s">
        <v>5</v>
      </c>
      <c r="M10" s="9" t="s">
        <v>5</v>
      </c>
      <c r="N10" s="9" t="s">
        <v>5</v>
      </c>
      <c r="O10" s="9" t="s">
        <v>5</v>
      </c>
      <c r="P10" s="9" t="s">
        <v>5</v>
      </c>
      <c r="Q10" s="9" t="s">
        <v>5</v>
      </c>
      <c r="R10" s="9" t="s">
        <v>5</v>
      </c>
      <c r="S10" s="9" t="s">
        <v>5</v>
      </c>
      <c r="T10" s="9" t="s">
        <v>5</v>
      </c>
      <c r="U10" s="9" t="s">
        <v>5</v>
      </c>
      <c r="V10" s="9" t="s">
        <v>5</v>
      </c>
      <c r="W10" s="9" t="s">
        <v>5</v>
      </c>
      <c r="X10" s="9" t="s">
        <v>5</v>
      </c>
      <c r="Y10" s="9" t="s">
        <v>5</v>
      </c>
      <c r="Z10" s="9" t="s">
        <v>5</v>
      </c>
      <c r="AA10" s="9" t="s">
        <v>5</v>
      </c>
      <c r="AB10" s="9" t="s">
        <v>5</v>
      </c>
      <c r="AC10" s="9" t="s">
        <v>6</v>
      </c>
      <c r="AD10" s="9" t="s">
        <v>5</v>
      </c>
      <c r="AE10" s="9" t="s">
        <v>5</v>
      </c>
      <c r="AF10" s="9" t="s">
        <v>5</v>
      </c>
    </row>
    <row r="11" ht="45" customHeight="1"/>
    <row r="12" ht="45" customHeight="1"/>
    <row r="13" ht="45" customHeight="1"/>
    <row r="14" ht="45" customHeight="1"/>
    <row r="15" ht="45" customHeight="1"/>
    <row r="16" ht="45" customHeight="1"/>
    <row r="17" ht="45" customHeight="1"/>
    <row r="18" ht="45" customHeight="1"/>
    <row r="19" ht="45" customHeight="1"/>
    <row r="20" ht="45" customHeight="1"/>
    <row r="21" ht="45" customHeight="1"/>
    <row r="22" ht="45" customHeight="1"/>
    <row r="23" ht="45" customHeight="1"/>
    <row r="24" ht="45" customHeight="1"/>
  </sheetData>
  <protectedRanges>
    <protectedRange sqref="B3:D3 F3:AF3 E3 B4:G4 I4:AF4 H4 B7:P7 R7:AF7 Q7 B6:Q6 S6:AF6 R6 B9:Q9 R9 S9 U9:AF9 S5" name="区域1"/>
  </protectedRanges>
  <mergeCells count="1">
    <mergeCell ref="A1:AF1"/>
  </mergeCells>
  <conditionalFormatting sqref="B3:AF10">
    <cfRule type="containsText" dxfId="1" priority="1" operator="between" text="丙">
      <formula>NOT(ISERROR(SEARCH("丙",B3)))</formula>
    </cfRule>
    <cfRule type="containsText" dxfId="0" priority="2" operator="between" text="乙">
      <formula>NOT(ISERROR(SEARCH("乙",B3)))</formula>
    </cfRule>
    <cfRule type="containsText" dxfId="2" priority="4" operator="between" text="甲">
      <formula>NOT(ISERROR(SEARCH("甲",B3)))</formula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83"/>
  <sheetViews>
    <sheetView topLeftCell="A52" workbookViewId="0">
      <selection activeCell="AG61" sqref="AG61"/>
    </sheetView>
  </sheetViews>
  <sheetFormatPr defaultColWidth="9" defaultRowHeight="13.5"/>
  <cols>
    <col min="1" max="1" width="15" style="1" customWidth="1"/>
    <col min="2" max="33" width="6.625" style="1" customWidth="1"/>
    <col min="34" max="16382" width="9" style="1"/>
  </cols>
  <sheetData>
    <row r="1" ht="45" customHeight="1" spans="1:33">
      <c r="A1" s="10" t="s">
        <v>31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</row>
    <row r="2" s="1" customFormat="1" ht="30" customHeight="1" spans="1:33">
      <c r="A2" s="11"/>
      <c r="B2" s="6" t="s">
        <v>32</v>
      </c>
      <c r="C2" s="6" t="s">
        <v>33</v>
      </c>
      <c r="D2" s="6" t="s">
        <v>34</v>
      </c>
      <c r="E2" s="6" t="s">
        <v>35</v>
      </c>
      <c r="F2" s="6" t="s">
        <v>36</v>
      </c>
      <c r="G2" s="6" t="s">
        <v>37</v>
      </c>
      <c r="H2" s="6" t="s">
        <v>38</v>
      </c>
      <c r="I2" s="6" t="s">
        <v>39</v>
      </c>
      <c r="J2" s="6" t="s">
        <v>40</v>
      </c>
      <c r="K2" s="6" t="s">
        <v>41</v>
      </c>
      <c r="L2" s="6" t="s">
        <v>42</v>
      </c>
      <c r="M2" s="6" t="s">
        <v>43</v>
      </c>
      <c r="N2" s="6" t="s">
        <v>44</v>
      </c>
      <c r="O2" s="6" t="s">
        <v>45</v>
      </c>
      <c r="P2" s="7">
        <v>4.15</v>
      </c>
      <c r="Q2" s="7">
        <v>4.16</v>
      </c>
      <c r="R2" s="7">
        <v>4.17</v>
      </c>
      <c r="S2" s="7">
        <v>4.18</v>
      </c>
      <c r="T2" s="7">
        <v>4.19</v>
      </c>
      <c r="U2" s="6" t="s">
        <v>46</v>
      </c>
      <c r="V2" s="7">
        <v>4.21</v>
      </c>
      <c r="W2" s="7">
        <v>4.22</v>
      </c>
      <c r="X2" s="7">
        <v>4.23</v>
      </c>
      <c r="Y2" s="7">
        <v>4.24</v>
      </c>
      <c r="Z2" s="7">
        <v>4.25</v>
      </c>
      <c r="AA2" s="7">
        <v>4.26</v>
      </c>
      <c r="AB2" s="7">
        <v>4.27</v>
      </c>
      <c r="AC2" s="7">
        <v>4.28</v>
      </c>
      <c r="AD2" s="7">
        <v>4.29</v>
      </c>
      <c r="AE2" s="6" t="s">
        <v>47</v>
      </c>
      <c r="AF2" s="8"/>
      <c r="AG2" s="8"/>
    </row>
    <row r="3" ht="30" customHeight="1" spans="1:33">
      <c r="A3" s="11" t="s">
        <v>4</v>
      </c>
      <c r="B3" s="9" t="s">
        <v>10</v>
      </c>
      <c r="C3" s="9" t="s">
        <v>5</v>
      </c>
      <c r="D3" s="9" t="s">
        <v>6</v>
      </c>
      <c r="E3" s="9" t="s">
        <v>5</v>
      </c>
      <c r="F3" s="9" t="s">
        <v>5</v>
      </c>
      <c r="G3" s="9" t="s">
        <v>5</v>
      </c>
      <c r="H3" s="9" t="s">
        <v>5</v>
      </c>
      <c r="I3" s="9" t="s">
        <v>5</v>
      </c>
      <c r="J3" s="9" t="s">
        <v>5</v>
      </c>
      <c r="K3" s="9" t="s">
        <v>5</v>
      </c>
      <c r="L3" s="9" t="s">
        <v>5</v>
      </c>
      <c r="M3" s="9" t="s">
        <v>5</v>
      </c>
      <c r="N3" s="9" t="s">
        <v>5</v>
      </c>
      <c r="O3" s="9" t="s">
        <v>5</v>
      </c>
      <c r="P3" s="9" t="s">
        <v>6</v>
      </c>
      <c r="Q3" s="9" t="s">
        <v>5</v>
      </c>
      <c r="R3" s="9" t="s">
        <v>5</v>
      </c>
      <c r="S3" s="9" t="s">
        <v>5</v>
      </c>
      <c r="T3" s="9" t="s">
        <v>5</v>
      </c>
      <c r="U3" s="9" t="s">
        <v>5</v>
      </c>
      <c r="V3" s="9" t="s">
        <v>5</v>
      </c>
      <c r="W3" s="9" t="s">
        <v>5</v>
      </c>
      <c r="X3" s="9" t="s">
        <v>8</v>
      </c>
      <c r="Y3" s="9" t="s">
        <v>5</v>
      </c>
      <c r="Z3" s="9" t="s">
        <v>5</v>
      </c>
      <c r="AA3" s="9" t="s">
        <v>5</v>
      </c>
      <c r="AB3" s="9" t="s">
        <v>5</v>
      </c>
      <c r="AC3" s="9" t="s">
        <v>6</v>
      </c>
      <c r="AD3" s="9" t="s">
        <v>5</v>
      </c>
      <c r="AE3" s="9" t="s">
        <v>5</v>
      </c>
    </row>
    <row r="4" ht="30" customHeight="1" spans="1:33">
      <c r="A4" s="11" t="s">
        <v>7</v>
      </c>
      <c r="B4" s="9" t="s">
        <v>5</v>
      </c>
      <c r="C4" s="9" t="s">
        <v>5</v>
      </c>
      <c r="D4" s="9" t="s">
        <v>5</v>
      </c>
      <c r="E4" s="9" t="s">
        <v>5</v>
      </c>
      <c r="F4" s="9" t="s">
        <v>5</v>
      </c>
      <c r="G4" s="9" t="s">
        <v>5</v>
      </c>
      <c r="H4" s="9" t="s">
        <v>10</v>
      </c>
      <c r="I4" s="9" t="s">
        <v>5</v>
      </c>
      <c r="J4" s="9" t="s">
        <v>5</v>
      </c>
      <c r="K4" s="9" t="s">
        <v>5</v>
      </c>
      <c r="L4" s="9" t="s">
        <v>5</v>
      </c>
      <c r="M4" s="9" t="s">
        <v>5</v>
      </c>
      <c r="N4" s="9" t="s">
        <v>5</v>
      </c>
      <c r="O4" s="9" t="s">
        <v>5</v>
      </c>
      <c r="P4" s="9" t="s">
        <v>5</v>
      </c>
      <c r="Q4" s="9" t="s">
        <v>6</v>
      </c>
      <c r="R4" s="9" t="s">
        <v>5</v>
      </c>
      <c r="S4" s="9" t="s">
        <v>5</v>
      </c>
      <c r="T4" s="9" t="s">
        <v>5</v>
      </c>
      <c r="U4" s="9" t="s">
        <v>5</v>
      </c>
      <c r="V4" s="9" t="s">
        <v>5</v>
      </c>
      <c r="W4" s="9" t="s">
        <v>6</v>
      </c>
      <c r="X4" s="9" t="s">
        <v>5</v>
      </c>
      <c r="Y4" s="9" t="s">
        <v>5</v>
      </c>
      <c r="Z4" s="9" t="s">
        <v>5</v>
      </c>
      <c r="AA4" s="9" t="s">
        <v>5</v>
      </c>
      <c r="AB4" s="9" t="s">
        <v>5</v>
      </c>
      <c r="AC4" s="9" t="s">
        <v>5</v>
      </c>
      <c r="AD4" s="9" t="s">
        <v>8</v>
      </c>
      <c r="AE4" s="9" t="s">
        <v>5</v>
      </c>
    </row>
    <row r="5" ht="30" customHeight="1" spans="1:33">
      <c r="A5" s="11" t="s">
        <v>9</v>
      </c>
      <c r="B5" s="9" t="s">
        <v>5</v>
      </c>
      <c r="C5" s="9" t="s">
        <v>5</v>
      </c>
      <c r="D5" s="9" t="s">
        <v>5</v>
      </c>
      <c r="E5" s="9" t="s">
        <v>5</v>
      </c>
      <c r="F5" s="9" t="s">
        <v>5</v>
      </c>
      <c r="G5" s="9" t="s">
        <v>5</v>
      </c>
      <c r="H5" s="9" t="s">
        <v>10</v>
      </c>
      <c r="I5" s="9" t="s">
        <v>5</v>
      </c>
      <c r="J5" s="9" t="s">
        <v>5</v>
      </c>
      <c r="K5" s="9" t="s">
        <v>5</v>
      </c>
      <c r="L5" s="9" t="s">
        <v>5</v>
      </c>
      <c r="M5" s="9" t="s">
        <v>5</v>
      </c>
      <c r="N5" s="9" t="s">
        <v>5</v>
      </c>
      <c r="O5" s="9" t="s">
        <v>5</v>
      </c>
      <c r="P5" s="9" t="s">
        <v>5</v>
      </c>
      <c r="Q5" s="9" t="s">
        <v>5</v>
      </c>
      <c r="R5" s="9" t="s">
        <v>5</v>
      </c>
      <c r="S5" s="9" t="s">
        <v>5</v>
      </c>
      <c r="T5" s="9" t="s">
        <v>10</v>
      </c>
      <c r="U5" s="9" t="s">
        <v>5</v>
      </c>
      <c r="V5" s="9" t="s">
        <v>5</v>
      </c>
      <c r="W5" s="9" t="s">
        <v>5</v>
      </c>
      <c r="X5" s="9" t="s">
        <v>5</v>
      </c>
      <c r="Y5" s="9" t="s">
        <v>5</v>
      </c>
      <c r="Z5" s="9" t="s">
        <v>5</v>
      </c>
      <c r="AA5" s="9" t="s">
        <v>10</v>
      </c>
      <c r="AB5" s="9" t="s">
        <v>5</v>
      </c>
      <c r="AC5" s="9" t="s">
        <v>5</v>
      </c>
      <c r="AD5" s="9" t="s">
        <v>5</v>
      </c>
      <c r="AE5" s="9" t="s">
        <v>5</v>
      </c>
    </row>
    <row r="6" ht="30" customHeight="1" spans="1:33">
      <c r="A6" s="11" t="s">
        <v>11</v>
      </c>
      <c r="B6" s="9" t="s">
        <v>5</v>
      </c>
      <c r="C6" s="9" t="s">
        <v>5</v>
      </c>
      <c r="D6" s="9" t="s">
        <v>5</v>
      </c>
      <c r="E6" s="9" t="s">
        <v>5</v>
      </c>
      <c r="F6" s="9" t="s">
        <v>5</v>
      </c>
      <c r="G6" s="9" t="s">
        <v>5</v>
      </c>
      <c r="H6" s="9" t="s">
        <v>5</v>
      </c>
      <c r="I6" s="9" t="s">
        <v>5</v>
      </c>
      <c r="J6" s="9" t="s">
        <v>5</v>
      </c>
      <c r="K6" s="9" t="s">
        <v>5</v>
      </c>
      <c r="L6" s="9" t="s">
        <v>5</v>
      </c>
      <c r="M6" s="9" t="s">
        <v>5</v>
      </c>
      <c r="N6" s="9" t="s">
        <v>5</v>
      </c>
      <c r="O6" s="9" t="s">
        <v>5</v>
      </c>
      <c r="P6" s="9" t="s">
        <v>5</v>
      </c>
      <c r="Q6" s="9" t="s">
        <v>5</v>
      </c>
      <c r="R6" s="9" t="s">
        <v>5</v>
      </c>
      <c r="S6" s="9" t="s">
        <v>5</v>
      </c>
      <c r="T6" s="9" t="s">
        <v>5</v>
      </c>
      <c r="U6" s="9" t="s">
        <v>8</v>
      </c>
      <c r="V6" s="9" t="s">
        <v>5</v>
      </c>
      <c r="W6" s="9" t="s">
        <v>5</v>
      </c>
      <c r="X6" s="9" t="s">
        <v>5</v>
      </c>
      <c r="Y6" s="9" t="s">
        <v>5</v>
      </c>
      <c r="Z6" s="9" t="s">
        <v>5</v>
      </c>
      <c r="AA6" s="9" t="s">
        <v>5</v>
      </c>
      <c r="AB6" s="9" t="s">
        <v>5</v>
      </c>
      <c r="AC6" s="9" t="s">
        <v>5</v>
      </c>
      <c r="AD6" s="9" t="s">
        <v>5</v>
      </c>
      <c r="AE6" s="9" t="s">
        <v>8</v>
      </c>
    </row>
    <row r="7" ht="30" customHeight="1" spans="1:33">
      <c r="A7" s="11" t="s">
        <v>12</v>
      </c>
      <c r="B7" s="9" t="s">
        <v>5</v>
      </c>
      <c r="C7" s="9" t="s">
        <v>5</v>
      </c>
      <c r="D7" s="9" t="s">
        <v>5</v>
      </c>
      <c r="E7" s="9" t="s">
        <v>5</v>
      </c>
      <c r="F7" s="9" t="s">
        <v>5</v>
      </c>
      <c r="G7" s="9" t="s">
        <v>5</v>
      </c>
      <c r="H7" s="9" t="s">
        <v>5</v>
      </c>
      <c r="I7" s="9" t="s">
        <v>5</v>
      </c>
      <c r="J7" s="9" t="s">
        <v>5</v>
      </c>
      <c r="K7" s="9" t="s">
        <v>5</v>
      </c>
      <c r="L7" s="9" t="s">
        <v>5</v>
      </c>
      <c r="M7" s="9" t="s">
        <v>5</v>
      </c>
      <c r="N7" s="9" t="s">
        <v>5</v>
      </c>
      <c r="O7" s="9" t="s">
        <v>5</v>
      </c>
      <c r="P7" s="9" t="s">
        <v>5</v>
      </c>
      <c r="Q7" s="9" t="s">
        <v>5</v>
      </c>
      <c r="R7" s="9" t="s">
        <v>5</v>
      </c>
      <c r="S7" s="9" t="s">
        <v>5</v>
      </c>
      <c r="T7" s="9" t="s">
        <v>10</v>
      </c>
      <c r="U7" s="9" t="s">
        <v>5</v>
      </c>
      <c r="V7" s="9" t="s">
        <v>5</v>
      </c>
      <c r="W7" s="9" t="s">
        <v>5</v>
      </c>
      <c r="X7" s="9" t="s">
        <v>5</v>
      </c>
      <c r="Y7" s="9" t="s">
        <v>5</v>
      </c>
      <c r="Z7" s="9" t="s">
        <v>5</v>
      </c>
      <c r="AA7" s="9" t="s">
        <v>5</v>
      </c>
      <c r="AB7" s="9" t="s">
        <v>5</v>
      </c>
      <c r="AC7" s="9" t="s">
        <v>5</v>
      </c>
      <c r="AD7" s="9" t="s">
        <v>5</v>
      </c>
      <c r="AE7" s="9" t="s">
        <v>5</v>
      </c>
    </row>
    <row r="8" ht="30" customHeight="1" spans="1:33">
      <c r="A8" s="11" t="s">
        <v>13</v>
      </c>
      <c r="B8" s="9" t="s">
        <v>5</v>
      </c>
      <c r="C8" s="9" t="s">
        <v>5</v>
      </c>
      <c r="D8" s="9" t="s">
        <v>6</v>
      </c>
      <c r="E8" s="9" t="s">
        <v>5</v>
      </c>
      <c r="F8" s="9" t="s">
        <v>5</v>
      </c>
      <c r="G8" s="9" t="s">
        <v>5</v>
      </c>
      <c r="H8" s="9" t="s">
        <v>5</v>
      </c>
      <c r="I8" s="9" t="s">
        <v>5</v>
      </c>
      <c r="J8" s="9" t="s">
        <v>5</v>
      </c>
      <c r="K8" s="9" t="s">
        <v>5</v>
      </c>
      <c r="L8" s="9" t="s">
        <v>5</v>
      </c>
      <c r="M8" s="9" t="s">
        <v>5</v>
      </c>
      <c r="N8" s="9" t="s">
        <v>5</v>
      </c>
      <c r="O8" s="9" t="s">
        <v>5</v>
      </c>
      <c r="P8" s="9" t="s">
        <v>5</v>
      </c>
      <c r="Q8" s="9" t="s">
        <v>5</v>
      </c>
      <c r="R8" s="9" t="s">
        <v>5</v>
      </c>
      <c r="S8" s="9" t="s">
        <v>5</v>
      </c>
      <c r="T8" s="9" t="s">
        <v>5</v>
      </c>
      <c r="U8" s="9" t="s">
        <v>10</v>
      </c>
      <c r="V8" s="9" t="s">
        <v>5</v>
      </c>
      <c r="W8" s="9" t="s">
        <v>5</v>
      </c>
      <c r="X8" s="9" t="s">
        <v>5</v>
      </c>
      <c r="Y8" s="9" t="s">
        <v>5</v>
      </c>
      <c r="Z8" s="9" t="s">
        <v>5</v>
      </c>
      <c r="AA8" s="9" t="s">
        <v>5</v>
      </c>
      <c r="AB8" s="9" t="s">
        <v>5</v>
      </c>
      <c r="AC8" s="9" t="s">
        <v>6</v>
      </c>
      <c r="AD8" s="9" t="s">
        <v>5</v>
      </c>
      <c r="AE8" s="9" t="s">
        <v>5</v>
      </c>
    </row>
    <row r="9" ht="30" customHeight="1"/>
    <row r="10" ht="45" hidden="1" customHeight="1" spans="1:33">
      <c r="A10" s="4" t="s">
        <v>14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ht="25" hidden="1" customHeight="1" spans="1:33">
      <c r="B11" s="6" t="s">
        <v>32</v>
      </c>
      <c r="C11" s="6" t="s">
        <v>33</v>
      </c>
      <c r="D11" s="6" t="s">
        <v>35</v>
      </c>
      <c r="E11" s="6" t="s">
        <v>35</v>
      </c>
      <c r="F11" s="6" t="s">
        <v>36</v>
      </c>
      <c r="G11" s="6" t="s">
        <v>37</v>
      </c>
      <c r="H11" s="6" t="s">
        <v>38</v>
      </c>
      <c r="I11" s="6" t="s">
        <v>39</v>
      </c>
      <c r="J11" s="6" t="s">
        <v>40</v>
      </c>
      <c r="K11" s="6" t="s">
        <v>41</v>
      </c>
      <c r="L11" s="6" t="s">
        <v>42</v>
      </c>
      <c r="M11" s="6" t="s">
        <v>43</v>
      </c>
      <c r="N11" s="6" t="s">
        <v>45</v>
      </c>
      <c r="O11" s="6" t="s">
        <v>45</v>
      </c>
      <c r="P11" s="7">
        <v>4.15</v>
      </c>
      <c r="Q11" s="7">
        <v>4.16</v>
      </c>
      <c r="R11" s="7">
        <v>4.17</v>
      </c>
      <c r="S11" s="7">
        <v>4.18</v>
      </c>
      <c r="T11" s="7">
        <v>4.19</v>
      </c>
      <c r="U11" s="6" t="s">
        <v>46</v>
      </c>
      <c r="V11" s="7">
        <v>4.21</v>
      </c>
      <c r="W11" s="7">
        <v>4.22</v>
      </c>
      <c r="X11" s="7">
        <v>4.24</v>
      </c>
      <c r="Y11" s="7">
        <v>4.24</v>
      </c>
      <c r="Z11" s="7">
        <v>4.25</v>
      </c>
      <c r="AA11" s="7">
        <v>4.26</v>
      </c>
      <c r="AB11" s="7">
        <v>4.27</v>
      </c>
      <c r="AC11" s="7">
        <v>4.28</v>
      </c>
      <c r="AD11" s="7">
        <v>4.29</v>
      </c>
      <c r="AE11" s="6" t="s">
        <v>48</v>
      </c>
      <c r="AF11" s="9" t="s">
        <v>15</v>
      </c>
      <c r="AG11" s="9" t="s">
        <v>16</v>
      </c>
    </row>
    <row r="12" ht="25" hidden="1" customHeight="1" spans="1:33">
      <c r="A12" s="11" t="s">
        <v>4</v>
      </c>
      <c r="B12" s="9">
        <f t="shared" ref="B12:AF12" si="0">IF(B3="/",0,1)</f>
        <v>1</v>
      </c>
      <c r="C12" s="9">
        <f t="shared" si="0"/>
        <v>0</v>
      </c>
      <c r="D12" s="9">
        <f t="shared" si="0"/>
        <v>1</v>
      </c>
      <c r="E12" s="9">
        <f t="shared" si="0"/>
        <v>0</v>
      </c>
      <c r="F12" s="9">
        <f t="shared" si="0"/>
        <v>0</v>
      </c>
      <c r="G12" s="9">
        <f t="shared" si="0"/>
        <v>0</v>
      </c>
      <c r="H12" s="9">
        <f t="shared" si="0"/>
        <v>0</v>
      </c>
      <c r="I12" s="9">
        <f t="shared" si="0"/>
        <v>0</v>
      </c>
      <c r="J12" s="9">
        <f t="shared" si="0"/>
        <v>0</v>
      </c>
      <c r="K12" s="9">
        <f t="shared" si="0"/>
        <v>0</v>
      </c>
      <c r="L12" s="9">
        <f t="shared" si="0"/>
        <v>0</v>
      </c>
      <c r="M12" s="9">
        <f t="shared" si="0"/>
        <v>0</v>
      </c>
      <c r="N12" s="9">
        <f t="shared" si="0"/>
        <v>0</v>
      </c>
      <c r="O12" s="9">
        <f t="shared" si="0"/>
        <v>0</v>
      </c>
      <c r="P12" s="9">
        <f t="shared" si="0"/>
        <v>1</v>
      </c>
      <c r="Q12" s="9">
        <f t="shared" si="0"/>
        <v>0</v>
      </c>
      <c r="R12" s="9">
        <f t="shared" si="0"/>
        <v>0</v>
      </c>
      <c r="S12" s="9">
        <f t="shared" si="0"/>
        <v>0</v>
      </c>
      <c r="T12" s="9">
        <f t="shared" si="0"/>
        <v>0</v>
      </c>
      <c r="U12" s="9">
        <f t="shared" si="0"/>
        <v>0</v>
      </c>
      <c r="V12" s="9">
        <f t="shared" si="0"/>
        <v>0</v>
      </c>
      <c r="W12" s="9">
        <f t="shared" si="0"/>
        <v>0</v>
      </c>
      <c r="X12" s="9">
        <f t="shared" si="0"/>
        <v>1</v>
      </c>
      <c r="Y12" s="9">
        <f t="shared" si="0"/>
        <v>0</v>
      </c>
      <c r="Z12" s="9">
        <f t="shared" si="0"/>
        <v>0</v>
      </c>
      <c r="AA12" s="9">
        <f t="shared" si="0"/>
        <v>0</v>
      </c>
      <c r="AB12" s="9">
        <f t="shared" si="0"/>
        <v>0</v>
      </c>
      <c r="AC12" s="9">
        <f t="shared" si="0"/>
        <v>1</v>
      </c>
      <c r="AD12" s="9">
        <f t="shared" si="0"/>
        <v>0</v>
      </c>
      <c r="AE12" s="9">
        <f t="shared" si="0"/>
        <v>0</v>
      </c>
      <c r="AF12" s="12">
        <f t="shared" ref="AF12:AF17" si="1">SUM(B12:AE12)</f>
        <v>5</v>
      </c>
      <c r="AG12" s="13">
        <f>SUM(AF12:AF17)</f>
        <v>18</v>
      </c>
    </row>
    <row r="13" ht="25" hidden="1" customHeight="1" spans="1:33">
      <c r="A13" s="11" t="s">
        <v>7</v>
      </c>
      <c r="B13" s="9">
        <f t="shared" ref="B13:AF13" si="2">IF(B4="/",0,1)</f>
        <v>0</v>
      </c>
      <c r="C13" s="9">
        <f t="shared" si="2"/>
        <v>0</v>
      </c>
      <c r="D13" s="9">
        <f t="shared" si="2"/>
        <v>0</v>
      </c>
      <c r="E13" s="9">
        <f t="shared" si="2"/>
        <v>0</v>
      </c>
      <c r="F13" s="9">
        <f t="shared" si="2"/>
        <v>0</v>
      </c>
      <c r="G13" s="9">
        <f t="shared" si="2"/>
        <v>0</v>
      </c>
      <c r="H13" s="9">
        <f t="shared" si="2"/>
        <v>1</v>
      </c>
      <c r="I13" s="9">
        <f t="shared" si="2"/>
        <v>0</v>
      </c>
      <c r="J13" s="9">
        <f t="shared" si="2"/>
        <v>0</v>
      </c>
      <c r="K13" s="9">
        <f t="shared" si="2"/>
        <v>0</v>
      </c>
      <c r="L13" s="9">
        <f t="shared" si="2"/>
        <v>0</v>
      </c>
      <c r="M13" s="9">
        <f t="shared" si="2"/>
        <v>0</v>
      </c>
      <c r="N13" s="9">
        <f t="shared" si="2"/>
        <v>0</v>
      </c>
      <c r="O13" s="9">
        <f t="shared" si="2"/>
        <v>0</v>
      </c>
      <c r="P13" s="9">
        <f t="shared" si="2"/>
        <v>0</v>
      </c>
      <c r="Q13" s="9">
        <f t="shared" si="2"/>
        <v>1</v>
      </c>
      <c r="R13" s="9">
        <f t="shared" si="2"/>
        <v>0</v>
      </c>
      <c r="S13" s="9">
        <f t="shared" si="2"/>
        <v>0</v>
      </c>
      <c r="T13" s="9">
        <f t="shared" si="2"/>
        <v>0</v>
      </c>
      <c r="U13" s="9">
        <f t="shared" si="2"/>
        <v>0</v>
      </c>
      <c r="V13" s="9">
        <f t="shared" si="2"/>
        <v>0</v>
      </c>
      <c r="W13" s="9">
        <f t="shared" si="2"/>
        <v>1</v>
      </c>
      <c r="X13" s="9">
        <f t="shared" si="2"/>
        <v>0</v>
      </c>
      <c r="Y13" s="9">
        <f t="shared" si="2"/>
        <v>0</v>
      </c>
      <c r="Z13" s="9">
        <f t="shared" si="2"/>
        <v>0</v>
      </c>
      <c r="AA13" s="9">
        <f t="shared" si="2"/>
        <v>0</v>
      </c>
      <c r="AB13" s="9">
        <f t="shared" si="2"/>
        <v>0</v>
      </c>
      <c r="AC13" s="9">
        <f t="shared" si="2"/>
        <v>0</v>
      </c>
      <c r="AD13" s="9">
        <f t="shared" si="2"/>
        <v>1</v>
      </c>
      <c r="AE13" s="9">
        <f t="shared" si="2"/>
        <v>0</v>
      </c>
      <c r="AF13" s="12">
        <f t="shared" si="1"/>
        <v>4</v>
      </c>
    </row>
    <row r="14" ht="25" hidden="1" customHeight="1" spans="1:33">
      <c r="A14" s="11" t="s">
        <v>9</v>
      </c>
      <c r="B14" s="9">
        <f t="shared" ref="B14:AF14" si="3">IF(B5="/",0,1)</f>
        <v>0</v>
      </c>
      <c r="C14" s="9">
        <f t="shared" si="3"/>
        <v>0</v>
      </c>
      <c r="D14" s="9">
        <f t="shared" si="3"/>
        <v>0</v>
      </c>
      <c r="E14" s="9">
        <f t="shared" si="3"/>
        <v>0</v>
      </c>
      <c r="F14" s="9">
        <f t="shared" si="3"/>
        <v>0</v>
      </c>
      <c r="G14" s="9">
        <f t="shared" si="3"/>
        <v>0</v>
      </c>
      <c r="H14" s="9">
        <f t="shared" si="3"/>
        <v>1</v>
      </c>
      <c r="I14" s="9">
        <f t="shared" si="3"/>
        <v>0</v>
      </c>
      <c r="J14" s="9">
        <f t="shared" si="3"/>
        <v>0</v>
      </c>
      <c r="K14" s="9">
        <f t="shared" si="3"/>
        <v>0</v>
      </c>
      <c r="L14" s="9">
        <f t="shared" si="3"/>
        <v>0</v>
      </c>
      <c r="M14" s="9">
        <f t="shared" si="3"/>
        <v>0</v>
      </c>
      <c r="N14" s="9">
        <f t="shared" si="3"/>
        <v>0</v>
      </c>
      <c r="O14" s="9">
        <f t="shared" si="3"/>
        <v>0</v>
      </c>
      <c r="P14" s="9">
        <f t="shared" si="3"/>
        <v>0</v>
      </c>
      <c r="Q14" s="9">
        <f t="shared" si="3"/>
        <v>0</v>
      </c>
      <c r="R14" s="9">
        <f t="shared" si="3"/>
        <v>0</v>
      </c>
      <c r="S14" s="9">
        <f t="shared" si="3"/>
        <v>0</v>
      </c>
      <c r="T14" s="9">
        <f t="shared" si="3"/>
        <v>1</v>
      </c>
      <c r="U14" s="9">
        <f t="shared" si="3"/>
        <v>0</v>
      </c>
      <c r="V14" s="9">
        <f t="shared" si="3"/>
        <v>0</v>
      </c>
      <c r="W14" s="9">
        <f t="shared" si="3"/>
        <v>0</v>
      </c>
      <c r="X14" s="9">
        <f t="shared" si="3"/>
        <v>0</v>
      </c>
      <c r="Y14" s="9">
        <f t="shared" si="3"/>
        <v>0</v>
      </c>
      <c r="Z14" s="9">
        <f t="shared" si="3"/>
        <v>0</v>
      </c>
      <c r="AA14" s="9">
        <f t="shared" si="3"/>
        <v>1</v>
      </c>
      <c r="AB14" s="9">
        <f t="shared" si="3"/>
        <v>0</v>
      </c>
      <c r="AC14" s="9">
        <f t="shared" si="3"/>
        <v>0</v>
      </c>
      <c r="AD14" s="9">
        <f t="shared" si="3"/>
        <v>0</v>
      </c>
      <c r="AE14" s="9">
        <f t="shared" si="3"/>
        <v>0</v>
      </c>
      <c r="AF14" s="12">
        <f t="shared" si="1"/>
        <v>3</v>
      </c>
    </row>
    <row r="15" ht="25" hidden="1" customHeight="1" spans="1:33">
      <c r="A15" s="11" t="s">
        <v>11</v>
      </c>
      <c r="B15" s="9">
        <f t="shared" ref="B15:AF15" si="4">IF(B6="/",0,1)</f>
        <v>0</v>
      </c>
      <c r="C15" s="9">
        <f t="shared" si="4"/>
        <v>0</v>
      </c>
      <c r="D15" s="9">
        <f t="shared" si="4"/>
        <v>0</v>
      </c>
      <c r="E15" s="9">
        <f t="shared" si="4"/>
        <v>0</v>
      </c>
      <c r="F15" s="9">
        <f t="shared" si="4"/>
        <v>0</v>
      </c>
      <c r="G15" s="9">
        <f t="shared" si="4"/>
        <v>0</v>
      </c>
      <c r="H15" s="9">
        <f t="shared" si="4"/>
        <v>0</v>
      </c>
      <c r="I15" s="9">
        <f t="shared" si="4"/>
        <v>0</v>
      </c>
      <c r="J15" s="9">
        <f t="shared" si="4"/>
        <v>0</v>
      </c>
      <c r="K15" s="9">
        <f t="shared" si="4"/>
        <v>0</v>
      </c>
      <c r="L15" s="9">
        <f t="shared" si="4"/>
        <v>0</v>
      </c>
      <c r="M15" s="9">
        <f t="shared" si="4"/>
        <v>0</v>
      </c>
      <c r="N15" s="9">
        <f t="shared" si="4"/>
        <v>0</v>
      </c>
      <c r="O15" s="9">
        <f t="shared" si="4"/>
        <v>0</v>
      </c>
      <c r="P15" s="9">
        <f t="shared" si="4"/>
        <v>0</v>
      </c>
      <c r="Q15" s="9">
        <f t="shared" si="4"/>
        <v>0</v>
      </c>
      <c r="R15" s="9">
        <f t="shared" si="4"/>
        <v>0</v>
      </c>
      <c r="S15" s="9">
        <f t="shared" si="4"/>
        <v>0</v>
      </c>
      <c r="T15" s="9">
        <f t="shared" si="4"/>
        <v>0</v>
      </c>
      <c r="U15" s="9">
        <f t="shared" si="4"/>
        <v>1</v>
      </c>
      <c r="V15" s="9">
        <f t="shared" si="4"/>
        <v>0</v>
      </c>
      <c r="W15" s="9">
        <f t="shared" si="4"/>
        <v>0</v>
      </c>
      <c r="X15" s="9">
        <f t="shared" si="4"/>
        <v>0</v>
      </c>
      <c r="Y15" s="9">
        <f t="shared" si="4"/>
        <v>0</v>
      </c>
      <c r="Z15" s="9">
        <f t="shared" si="4"/>
        <v>0</v>
      </c>
      <c r="AA15" s="9">
        <f t="shared" si="4"/>
        <v>0</v>
      </c>
      <c r="AB15" s="9">
        <f t="shared" si="4"/>
        <v>0</v>
      </c>
      <c r="AC15" s="9">
        <f t="shared" si="4"/>
        <v>0</v>
      </c>
      <c r="AD15" s="9">
        <f t="shared" si="4"/>
        <v>0</v>
      </c>
      <c r="AE15" s="9">
        <f t="shared" si="4"/>
        <v>1</v>
      </c>
      <c r="AF15" s="12">
        <f t="shared" si="1"/>
        <v>2</v>
      </c>
    </row>
    <row r="16" ht="25" hidden="1" customHeight="1" spans="1:33">
      <c r="A16" s="11" t="s">
        <v>12</v>
      </c>
      <c r="B16" s="9">
        <f t="shared" ref="B16:AF16" si="5">IF(B7="/",0,1)</f>
        <v>0</v>
      </c>
      <c r="C16" s="9">
        <f t="shared" si="5"/>
        <v>0</v>
      </c>
      <c r="D16" s="9">
        <f t="shared" si="5"/>
        <v>0</v>
      </c>
      <c r="E16" s="9">
        <f t="shared" si="5"/>
        <v>0</v>
      </c>
      <c r="F16" s="9">
        <f t="shared" si="5"/>
        <v>0</v>
      </c>
      <c r="G16" s="9">
        <f t="shared" si="5"/>
        <v>0</v>
      </c>
      <c r="H16" s="9">
        <f t="shared" si="5"/>
        <v>0</v>
      </c>
      <c r="I16" s="9">
        <f t="shared" si="5"/>
        <v>0</v>
      </c>
      <c r="J16" s="9">
        <f t="shared" si="5"/>
        <v>0</v>
      </c>
      <c r="K16" s="9">
        <f t="shared" si="5"/>
        <v>0</v>
      </c>
      <c r="L16" s="9">
        <f t="shared" si="5"/>
        <v>0</v>
      </c>
      <c r="M16" s="9">
        <f t="shared" si="5"/>
        <v>0</v>
      </c>
      <c r="N16" s="9">
        <f t="shared" si="5"/>
        <v>0</v>
      </c>
      <c r="O16" s="9">
        <f t="shared" si="5"/>
        <v>0</v>
      </c>
      <c r="P16" s="9">
        <f t="shared" si="5"/>
        <v>0</v>
      </c>
      <c r="Q16" s="9">
        <f t="shared" si="5"/>
        <v>0</v>
      </c>
      <c r="R16" s="9">
        <f t="shared" si="5"/>
        <v>0</v>
      </c>
      <c r="S16" s="9">
        <f t="shared" si="5"/>
        <v>0</v>
      </c>
      <c r="T16" s="9">
        <f t="shared" si="5"/>
        <v>1</v>
      </c>
      <c r="U16" s="9">
        <f t="shared" si="5"/>
        <v>0</v>
      </c>
      <c r="V16" s="9">
        <f t="shared" si="5"/>
        <v>0</v>
      </c>
      <c r="W16" s="9">
        <f t="shared" si="5"/>
        <v>0</v>
      </c>
      <c r="X16" s="9">
        <f t="shared" si="5"/>
        <v>0</v>
      </c>
      <c r="Y16" s="9">
        <f t="shared" si="5"/>
        <v>0</v>
      </c>
      <c r="Z16" s="9">
        <f t="shared" si="5"/>
        <v>0</v>
      </c>
      <c r="AA16" s="9">
        <f t="shared" si="5"/>
        <v>0</v>
      </c>
      <c r="AB16" s="9">
        <f t="shared" si="5"/>
        <v>0</v>
      </c>
      <c r="AC16" s="9">
        <f t="shared" si="5"/>
        <v>0</v>
      </c>
      <c r="AD16" s="9">
        <f t="shared" si="5"/>
        <v>0</v>
      </c>
      <c r="AE16" s="9">
        <f t="shared" si="5"/>
        <v>0</v>
      </c>
      <c r="AF16" s="12">
        <f t="shared" si="1"/>
        <v>1</v>
      </c>
    </row>
    <row r="17" ht="25" hidden="1" customHeight="1" spans="1:33">
      <c r="A17" s="11" t="s">
        <v>13</v>
      </c>
      <c r="B17" s="9">
        <f t="shared" ref="B17:AF17" si="6">IF(B8="/",0,1)</f>
        <v>0</v>
      </c>
      <c r="C17" s="9">
        <f t="shared" si="6"/>
        <v>0</v>
      </c>
      <c r="D17" s="9">
        <f t="shared" si="6"/>
        <v>1</v>
      </c>
      <c r="E17" s="9">
        <f t="shared" si="6"/>
        <v>0</v>
      </c>
      <c r="F17" s="9">
        <f t="shared" si="6"/>
        <v>0</v>
      </c>
      <c r="G17" s="9">
        <f t="shared" si="6"/>
        <v>0</v>
      </c>
      <c r="H17" s="9">
        <f t="shared" si="6"/>
        <v>0</v>
      </c>
      <c r="I17" s="9">
        <f t="shared" si="6"/>
        <v>0</v>
      </c>
      <c r="J17" s="9">
        <f t="shared" si="6"/>
        <v>0</v>
      </c>
      <c r="K17" s="9">
        <f t="shared" si="6"/>
        <v>0</v>
      </c>
      <c r="L17" s="9">
        <f t="shared" si="6"/>
        <v>0</v>
      </c>
      <c r="M17" s="9">
        <f t="shared" si="6"/>
        <v>0</v>
      </c>
      <c r="N17" s="9">
        <f t="shared" si="6"/>
        <v>0</v>
      </c>
      <c r="O17" s="9">
        <f t="shared" si="6"/>
        <v>0</v>
      </c>
      <c r="P17" s="9">
        <f t="shared" si="6"/>
        <v>0</v>
      </c>
      <c r="Q17" s="9">
        <f t="shared" si="6"/>
        <v>0</v>
      </c>
      <c r="R17" s="9">
        <f t="shared" si="6"/>
        <v>0</v>
      </c>
      <c r="S17" s="9">
        <f t="shared" si="6"/>
        <v>0</v>
      </c>
      <c r="T17" s="9">
        <f t="shared" si="6"/>
        <v>0</v>
      </c>
      <c r="U17" s="9">
        <f t="shared" si="6"/>
        <v>1</v>
      </c>
      <c r="V17" s="9">
        <f t="shared" si="6"/>
        <v>0</v>
      </c>
      <c r="W17" s="9">
        <f t="shared" si="6"/>
        <v>0</v>
      </c>
      <c r="X17" s="9">
        <f t="shared" si="6"/>
        <v>0</v>
      </c>
      <c r="Y17" s="9">
        <f t="shared" si="6"/>
        <v>0</v>
      </c>
      <c r="Z17" s="9">
        <f t="shared" si="6"/>
        <v>0</v>
      </c>
      <c r="AA17" s="9">
        <f t="shared" si="6"/>
        <v>0</v>
      </c>
      <c r="AB17" s="9">
        <f t="shared" si="6"/>
        <v>0</v>
      </c>
      <c r="AC17" s="9">
        <f t="shared" si="6"/>
        <v>1</v>
      </c>
      <c r="AD17" s="9">
        <f t="shared" si="6"/>
        <v>0</v>
      </c>
      <c r="AE17" s="9">
        <f t="shared" si="6"/>
        <v>0</v>
      </c>
      <c r="AF17" s="12">
        <f t="shared" si="1"/>
        <v>3</v>
      </c>
    </row>
    <row r="18" ht="25" hidden="1" customHeight="1"/>
    <row r="19" ht="37" customHeight="1" spans="1:33">
      <c r="A19" s="14" t="s">
        <v>17</v>
      </c>
      <c r="B19" s="14"/>
      <c r="C19" s="14"/>
      <c r="D19" s="14"/>
      <c r="E19" s="14"/>
      <c r="F19" s="15"/>
      <c r="R19"/>
    </row>
    <row r="20" ht="25" customHeight="1" spans="1:33">
      <c r="A20" s="9"/>
      <c r="B20" s="9" t="s">
        <v>6</v>
      </c>
      <c r="C20" s="9" t="s">
        <v>8</v>
      </c>
      <c r="D20" s="9" t="s">
        <v>10</v>
      </c>
      <c r="E20" s="9" t="s">
        <v>15</v>
      </c>
      <c r="F20" s="9" t="s">
        <v>18</v>
      </c>
      <c r="R20" s="16"/>
    </row>
    <row r="21" ht="25" customHeight="1" spans="1:33">
      <c r="A21" s="11" t="s">
        <v>4</v>
      </c>
      <c r="B21" s="9">
        <f t="shared" ref="B21:B26" si="7">COUNTIFS(B3:AE3,"甲")</f>
        <v>3</v>
      </c>
      <c r="C21" s="9">
        <f t="shared" ref="C21:C26" si="8">COUNTIFS(B3:AE3,"乙")</f>
        <v>1</v>
      </c>
      <c r="D21" s="9">
        <f t="shared" ref="D21:D26" si="9">COUNTIFS(B3:AE3,"丙")</f>
        <v>1</v>
      </c>
      <c r="E21" s="12">
        <f t="shared" ref="E21:E26" si="10">SUM(B21:D21)</f>
        <v>5</v>
      </c>
      <c r="F21" s="9">
        <f t="shared" ref="F21:F26" si="11">E21-AF12</f>
        <v>0</v>
      </c>
      <c r="R21" s="16"/>
    </row>
    <row r="22" ht="25" customHeight="1" spans="1:33">
      <c r="A22" s="11" t="s">
        <v>7</v>
      </c>
      <c r="B22" s="9">
        <f t="shared" si="7"/>
        <v>2</v>
      </c>
      <c r="C22" s="9">
        <f t="shared" si="8"/>
        <v>1</v>
      </c>
      <c r="D22" s="9">
        <f t="shared" si="9"/>
        <v>1</v>
      </c>
      <c r="E22" s="12">
        <f t="shared" si="10"/>
        <v>4</v>
      </c>
      <c r="F22" s="9">
        <f t="shared" si="11"/>
        <v>0</v>
      </c>
      <c r="R22" s="16"/>
    </row>
    <row r="23" ht="25" customHeight="1" spans="1:33">
      <c r="A23" s="11" t="s">
        <v>9</v>
      </c>
      <c r="B23" s="9">
        <f t="shared" si="7"/>
        <v>0</v>
      </c>
      <c r="C23" s="9">
        <f t="shared" si="8"/>
        <v>0</v>
      </c>
      <c r="D23" s="9">
        <f t="shared" si="9"/>
        <v>3</v>
      </c>
      <c r="E23" s="12">
        <f t="shared" si="10"/>
        <v>3</v>
      </c>
      <c r="F23" s="9">
        <f t="shared" si="11"/>
        <v>0</v>
      </c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</row>
    <row r="24" ht="25" customHeight="1" spans="1:33">
      <c r="A24" s="11" t="s">
        <v>11</v>
      </c>
      <c r="B24" s="9">
        <f t="shared" si="7"/>
        <v>0</v>
      </c>
      <c r="C24" s="9">
        <f t="shared" si="8"/>
        <v>2</v>
      </c>
      <c r="D24" s="9">
        <f t="shared" si="9"/>
        <v>0</v>
      </c>
      <c r="E24" s="12">
        <f t="shared" si="10"/>
        <v>2</v>
      </c>
      <c r="F24" s="9">
        <f t="shared" si="11"/>
        <v>0</v>
      </c>
      <c r="H24" s="17" t="s">
        <v>19</v>
      </c>
      <c r="I24" s="17"/>
      <c r="J24" s="17"/>
      <c r="K24" s="17"/>
      <c r="L24" s="17"/>
      <c r="M24" s="17"/>
      <c r="N24" s="17"/>
      <c r="O24" s="17"/>
      <c r="P24" s="17"/>
      <c r="Q24" s="17"/>
      <c r="R24" s="16"/>
    </row>
    <row r="25" ht="25" customHeight="1" spans="1:33">
      <c r="A25" s="11" t="s">
        <v>12</v>
      </c>
      <c r="B25" s="9">
        <f t="shared" si="7"/>
        <v>0</v>
      </c>
      <c r="C25" s="9">
        <f t="shared" si="8"/>
        <v>0</v>
      </c>
      <c r="D25" s="9">
        <f t="shared" si="9"/>
        <v>1</v>
      </c>
      <c r="E25" s="12">
        <f t="shared" si="10"/>
        <v>1</v>
      </c>
      <c r="F25" s="9">
        <f t="shared" si="11"/>
        <v>0</v>
      </c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6"/>
    </row>
    <row r="26" ht="25" customHeight="1" spans="1:33">
      <c r="A26" s="11" t="s">
        <v>13</v>
      </c>
      <c r="B26" s="9">
        <f t="shared" si="7"/>
        <v>2</v>
      </c>
      <c r="C26" s="9">
        <f t="shared" si="8"/>
        <v>0</v>
      </c>
      <c r="D26" s="9">
        <f t="shared" si="9"/>
        <v>1</v>
      </c>
      <c r="E26" s="12">
        <f t="shared" si="10"/>
        <v>3</v>
      </c>
      <c r="F26" s="9">
        <f t="shared" si="11"/>
        <v>0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6"/>
    </row>
    <row r="27" ht="25" customHeight="1" spans="1:33">
      <c r="A27" s="11" t="s">
        <v>21</v>
      </c>
      <c r="B27" s="13">
        <f>SUM(B21:B26)</f>
        <v>7</v>
      </c>
      <c r="C27" s="13">
        <f>SUM(C21:C26)</f>
        <v>4</v>
      </c>
      <c r="D27" s="13">
        <f>SUM(D21:D26)</f>
        <v>7</v>
      </c>
      <c r="E27" s="19">
        <f>SUM(E21:E26)</f>
        <v>18</v>
      </c>
      <c r="F27" s="9">
        <f>E27-AG12</f>
        <v>0</v>
      </c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16"/>
    </row>
    <row r="28" ht="50" customHeight="1"/>
    <row r="29" ht="45" customHeight="1" spans="1:33">
      <c r="A29" s="10" t="s">
        <v>49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21"/>
    </row>
    <row r="30" s="1" customFormat="1" ht="30" customHeight="1" spans="1:33">
      <c r="A30" s="11"/>
      <c r="B30" s="6" t="s">
        <v>50</v>
      </c>
      <c r="C30" s="6" t="s">
        <v>51</v>
      </c>
      <c r="D30" s="6" t="s">
        <v>52</v>
      </c>
      <c r="E30" s="6" t="s">
        <v>53</v>
      </c>
      <c r="F30" s="6" t="s">
        <v>54</v>
      </c>
      <c r="G30" s="6" t="s">
        <v>55</v>
      </c>
      <c r="H30" s="6" t="s">
        <v>56</v>
      </c>
      <c r="I30" s="6" t="s">
        <v>57</v>
      </c>
      <c r="J30" s="6" t="s">
        <v>58</v>
      </c>
      <c r="K30" s="6" t="s">
        <v>59</v>
      </c>
      <c r="L30" s="6" t="s">
        <v>60</v>
      </c>
      <c r="M30" s="6" t="s">
        <v>61</v>
      </c>
      <c r="N30" s="6" t="s">
        <v>62</v>
      </c>
      <c r="O30" s="6" t="s">
        <v>63</v>
      </c>
      <c r="P30" s="7">
        <v>5.15</v>
      </c>
      <c r="Q30" s="7">
        <v>5.16</v>
      </c>
      <c r="R30" s="7">
        <v>5.17</v>
      </c>
      <c r="S30" s="7">
        <v>5.18</v>
      </c>
      <c r="T30" s="7">
        <v>5.19</v>
      </c>
      <c r="U30" s="6" t="s">
        <v>64</v>
      </c>
      <c r="V30" s="7">
        <v>5.21</v>
      </c>
      <c r="W30" s="7">
        <v>5.22</v>
      </c>
      <c r="X30" s="7">
        <v>5.23</v>
      </c>
      <c r="Y30" s="7">
        <v>5.24</v>
      </c>
      <c r="Z30" s="7">
        <v>5.25</v>
      </c>
      <c r="AA30" s="7">
        <v>5.26</v>
      </c>
      <c r="AB30" s="7">
        <v>5.27</v>
      </c>
      <c r="AC30" s="7">
        <v>5.28</v>
      </c>
      <c r="AD30" s="7">
        <v>5.29</v>
      </c>
      <c r="AE30" s="6" t="s">
        <v>65</v>
      </c>
      <c r="AF30" s="7">
        <v>5.31</v>
      </c>
      <c r="AG30" s="8"/>
    </row>
    <row r="31" ht="30" customHeight="1" spans="1:33">
      <c r="A31" s="11" t="s">
        <v>4</v>
      </c>
      <c r="B31" s="9" t="s">
        <v>5</v>
      </c>
      <c r="C31" s="9" t="s">
        <v>5</v>
      </c>
      <c r="D31" s="9" t="s">
        <v>5</v>
      </c>
      <c r="E31" s="9" t="s">
        <v>5</v>
      </c>
      <c r="F31" s="9" t="s">
        <v>5</v>
      </c>
      <c r="G31" s="9" t="s">
        <v>5</v>
      </c>
      <c r="H31" s="9" t="s">
        <v>5</v>
      </c>
      <c r="I31" s="9" t="s">
        <v>5</v>
      </c>
      <c r="J31" s="9" t="s">
        <v>5</v>
      </c>
      <c r="K31" s="9" t="s">
        <v>6</v>
      </c>
      <c r="L31" s="9" t="s">
        <v>5</v>
      </c>
      <c r="M31" s="9" t="s">
        <v>5</v>
      </c>
      <c r="N31" s="9" t="s">
        <v>5</v>
      </c>
      <c r="O31" s="9" t="s">
        <v>5</v>
      </c>
      <c r="P31" s="9" t="s">
        <v>5</v>
      </c>
      <c r="Q31" s="9" t="s">
        <v>5</v>
      </c>
      <c r="R31" s="9" t="s">
        <v>5</v>
      </c>
      <c r="S31" s="9" t="s">
        <v>5</v>
      </c>
      <c r="T31" s="9" t="s">
        <v>10</v>
      </c>
      <c r="U31" s="9" t="s">
        <v>5</v>
      </c>
      <c r="V31" s="9" t="s">
        <v>5</v>
      </c>
      <c r="W31" s="9" t="s">
        <v>5</v>
      </c>
      <c r="X31" s="9" t="s">
        <v>5</v>
      </c>
      <c r="Y31" s="9" t="s">
        <v>5</v>
      </c>
      <c r="Z31" s="9" t="s">
        <v>10</v>
      </c>
      <c r="AA31" s="9" t="s">
        <v>5</v>
      </c>
      <c r="AB31" s="9" t="s">
        <v>5</v>
      </c>
      <c r="AC31" s="9" t="s">
        <v>5</v>
      </c>
      <c r="AD31" s="9" t="s">
        <v>5</v>
      </c>
      <c r="AE31" s="9" t="s">
        <v>5</v>
      </c>
      <c r="AF31" s="9" t="s">
        <v>5</v>
      </c>
    </row>
    <row r="32" ht="30" customHeight="1" spans="1:33">
      <c r="A32" s="11" t="s">
        <v>7</v>
      </c>
      <c r="B32" s="9" t="s">
        <v>5</v>
      </c>
      <c r="C32" s="9" t="s">
        <v>5</v>
      </c>
      <c r="D32" s="9" t="s">
        <v>5</v>
      </c>
      <c r="E32" s="9" t="s">
        <v>5</v>
      </c>
      <c r="F32" s="9" t="s">
        <v>8</v>
      </c>
      <c r="G32" s="9" t="s">
        <v>5</v>
      </c>
      <c r="H32" s="9" t="s">
        <v>5</v>
      </c>
      <c r="I32" s="9" t="s">
        <v>5</v>
      </c>
      <c r="J32" s="9" t="s">
        <v>5</v>
      </c>
      <c r="K32" s="9" t="s">
        <v>5</v>
      </c>
      <c r="L32" s="9" t="s">
        <v>8</v>
      </c>
      <c r="M32" s="9" t="s">
        <v>5</v>
      </c>
      <c r="N32" s="9" t="s">
        <v>5</v>
      </c>
      <c r="O32" s="9" t="s">
        <v>5</v>
      </c>
      <c r="P32" s="9" t="s">
        <v>5</v>
      </c>
      <c r="Q32" s="9" t="s">
        <v>5</v>
      </c>
      <c r="R32" s="9" t="s">
        <v>8</v>
      </c>
      <c r="S32" s="9" t="s">
        <v>5</v>
      </c>
      <c r="T32" s="9" t="s">
        <v>5</v>
      </c>
      <c r="U32" s="9" t="s">
        <v>5</v>
      </c>
      <c r="V32" s="9" t="s">
        <v>5</v>
      </c>
      <c r="W32" s="9" t="s">
        <v>5</v>
      </c>
      <c r="X32" s="9" t="s">
        <v>8</v>
      </c>
      <c r="Y32" s="9" t="s">
        <v>5</v>
      </c>
      <c r="Z32" s="9" t="s">
        <v>5</v>
      </c>
      <c r="AA32" s="9" t="s">
        <v>5</v>
      </c>
      <c r="AB32" s="9" t="s">
        <v>5</v>
      </c>
      <c r="AC32" s="9" t="s">
        <v>5</v>
      </c>
      <c r="AD32" s="9" t="s">
        <v>8</v>
      </c>
      <c r="AE32" s="9" t="s">
        <v>5</v>
      </c>
      <c r="AF32" s="9" t="s">
        <v>5</v>
      </c>
    </row>
    <row r="33" ht="30" customHeight="1" spans="1:34">
      <c r="A33" s="11" t="s">
        <v>9</v>
      </c>
      <c r="B33" s="9" t="s">
        <v>5</v>
      </c>
      <c r="C33" s="9" t="s">
        <v>5</v>
      </c>
      <c r="D33" s="9" t="s">
        <v>5</v>
      </c>
      <c r="E33" s="9" t="s">
        <v>5</v>
      </c>
      <c r="F33" s="9" t="s">
        <v>5</v>
      </c>
      <c r="G33" s="9" t="s">
        <v>5</v>
      </c>
      <c r="H33" s="9" t="s">
        <v>10</v>
      </c>
      <c r="I33" s="9" t="s">
        <v>5</v>
      </c>
      <c r="J33" s="9" t="s">
        <v>5</v>
      </c>
      <c r="K33" s="9" t="s">
        <v>5</v>
      </c>
      <c r="L33" s="9" t="s">
        <v>8</v>
      </c>
      <c r="M33" s="9" t="s">
        <v>5</v>
      </c>
      <c r="N33" s="9" t="s">
        <v>5</v>
      </c>
      <c r="O33" s="9" t="s">
        <v>5</v>
      </c>
      <c r="P33" s="9" t="s">
        <v>5</v>
      </c>
      <c r="Q33" s="9" t="s">
        <v>5</v>
      </c>
      <c r="R33" s="9" t="s">
        <v>5</v>
      </c>
      <c r="S33" s="9" t="s">
        <v>5</v>
      </c>
      <c r="T33" s="9" t="s">
        <v>10</v>
      </c>
      <c r="U33" s="9" t="s">
        <v>5</v>
      </c>
      <c r="V33" s="9" t="s">
        <v>5</v>
      </c>
      <c r="W33" s="9" t="s">
        <v>5</v>
      </c>
      <c r="X33" s="9" t="s">
        <v>5</v>
      </c>
      <c r="Y33" s="9" t="s">
        <v>5</v>
      </c>
      <c r="Z33" s="9" t="s">
        <v>10</v>
      </c>
      <c r="AA33" s="9" t="s">
        <v>5</v>
      </c>
      <c r="AB33" s="9" t="s">
        <v>5</v>
      </c>
      <c r="AC33" s="9" t="s">
        <v>5</v>
      </c>
      <c r="AD33" s="9" t="s">
        <v>5</v>
      </c>
      <c r="AE33" s="9" t="s">
        <v>5</v>
      </c>
      <c r="AF33" s="9" t="s">
        <v>5</v>
      </c>
    </row>
    <row r="34" ht="30" customHeight="1" spans="1:34">
      <c r="A34" s="11" t="s">
        <v>11</v>
      </c>
      <c r="B34" s="9" t="s">
        <v>5</v>
      </c>
      <c r="C34" s="9" t="s">
        <v>5</v>
      </c>
      <c r="D34" s="9" t="s">
        <v>5</v>
      </c>
      <c r="E34" s="9" t="s">
        <v>5</v>
      </c>
      <c r="F34" s="9" t="s">
        <v>5</v>
      </c>
      <c r="G34" s="9" t="s">
        <v>5</v>
      </c>
      <c r="H34" s="9" t="s">
        <v>5</v>
      </c>
      <c r="I34" s="9" t="s">
        <v>5</v>
      </c>
      <c r="J34" s="9" t="s">
        <v>5</v>
      </c>
      <c r="K34" s="9" t="s">
        <v>5</v>
      </c>
      <c r="L34" s="9" t="s">
        <v>5</v>
      </c>
      <c r="M34" s="9" t="s">
        <v>5</v>
      </c>
      <c r="N34" s="9" t="s">
        <v>5</v>
      </c>
      <c r="O34" s="9" t="s">
        <v>5</v>
      </c>
      <c r="P34" s="9" t="s">
        <v>6</v>
      </c>
      <c r="Q34" s="9" t="s">
        <v>5</v>
      </c>
      <c r="R34" s="9" t="s">
        <v>5</v>
      </c>
      <c r="S34" s="9" t="s">
        <v>5</v>
      </c>
      <c r="T34" s="9" t="s">
        <v>5</v>
      </c>
      <c r="U34" s="9" t="s">
        <v>5</v>
      </c>
      <c r="V34" s="9" t="s">
        <v>5</v>
      </c>
      <c r="W34" s="9" t="s">
        <v>5</v>
      </c>
      <c r="X34" s="9" t="s">
        <v>8</v>
      </c>
      <c r="Y34" s="9" t="s">
        <v>5</v>
      </c>
      <c r="Z34" s="9" t="s">
        <v>5</v>
      </c>
      <c r="AA34" s="9" t="s">
        <v>5</v>
      </c>
      <c r="AB34" s="9" t="s">
        <v>5</v>
      </c>
      <c r="AC34" s="9" t="s">
        <v>5</v>
      </c>
      <c r="AD34" s="9" t="s">
        <v>5</v>
      </c>
      <c r="AE34" s="9" t="s">
        <v>5</v>
      </c>
      <c r="AF34" s="9" t="s">
        <v>5</v>
      </c>
    </row>
    <row r="35" ht="30" customHeight="1" spans="1:34">
      <c r="A35" s="11" t="s">
        <v>12</v>
      </c>
      <c r="B35" s="9" t="s">
        <v>5</v>
      </c>
      <c r="C35" s="9" t="s">
        <v>5</v>
      </c>
      <c r="D35" s="9" t="s">
        <v>5</v>
      </c>
      <c r="E35" s="9" t="s">
        <v>5</v>
      </c>
      <c r="F35" s="9" t="s">
        <v>5</v>
      </c>
      <c r="G35" s="9" t="s">
        <v>5</v>
      </c>
      <c r="H35" s="9" t="s">
        <v>10</v>
      </c>
      <c r="I35" s="9" t="s">
        <v>5</v>
      </c>
      <c r="J35" s="9" t="s">
        <v>5</v>
      </c>
      <c r="K35" s="9" t="s">
        <v>5</v>
      </c>
      <c r="L35" s="9" t="s">
        <v>5</v>
      </c>
      <c r="M35" s="9" t="s">
        <v>5</v>
      </c>
      <c r="N35" s="9" t="s">
        <v>5</v>
      </c>
      <c r="O35" s="9" t="s">
        <v>5</v>
      </c>
      <c r="P35" s="9" t="s">
        <v>5</v>
      </c>
      <c r="Q35" s="9" t="s">
        <v>5</v>
      </c>
      <c r="R35" s="9" t="s">
        <v>8</v>
      </c>
      <c r="S35" s="9" t="s">
        <v>5</v>
      </c>
      <c r="T35" s="9" t="s">
        <v>5</v>
      </c>
      <c r="U35" s="9" t="s">
        <v>5</v>
      </c>
      <c r="V35" s="9" t="s">
        <v>5</v>
      </c>
      <c r="W35" s="9" t="s">
        <v>5</v>
      </c>
      <c r="X35" s="9" t="s">
        <v>5</v>
      </c>
      <c r="Y35" s="9" t="s">
        <v>5</v>
      </c>
      <c r="Z35" s="9" t="s">
        <v>5</v>
      </c>
      <c r="AA35" s="9" t="s">
        <v>5</v>
      </c>
      <c r="AB35" s="9" t="s">
        <v>5</v>
      </c>
      <c r="AC35" s="9" t="s">
        <v>5</v>
      </c>
      <c r="AD35" s="9" t="s">
        <v>5</v>
      </c>
      <c r="AE35" s="9" t="s">
        <v>5</v>
      </c>
      <c r="AF35" s="9" t="s">
        <v>5</v>
      </c>
    </row>
    <row r="36" ht="30" customHeight="1" spans="1:34">
      <c r="A36" s="11" t="s">
        <v>13</v>
      </c>
      <c r="B36" s="9" t="s">
        <v>5</v>
      </c>
      <c r="C36" s="9" t="s">
        <v>5</v>
      </c>
      <c r="D36" s="9" t="s">
        <v>5</v>
      </c>
      <c r="E36" s="9" t="s">
        <v>6</v>
      </c>
      <c r="F36" s="9" t="s">
        <v>5</v>
      </c>
      <c r="G36" s="9" t="s">
        <v>5</v>
      </c>
      <c r="H36" s="9" t="s">
        <v>5</v>
      </c>
      <c r="I36" s="9" t="s">
        <v>5</v>
      </c>
      <c r="J36" s="9" t="s">
        <v>5</v>
      </c>
      <c r="K36" s="9" t="s">
        <v>5</v>
      </c>
      <c r="L36" s="9" t="s">
        <v>5</v>
      </c>
      <c r="M36" s="9" t="s">
        <v>5</v>
      </c>
      <c r="N36" s="9" t="s">
        <v>10</v>
      </c>
      <c r="O36" s="9" t="s">
        <v>5</v>
      </c>
      <c r="P36" s="9" t="s">
        <v>5</v>
      </c>
      <c r="Q36" s="9" t="s">
        <v>5</v>
      </c>
      <c r="R36" s="9" t="s">
        <v>5</v>
      </c>
      <c r="S36" s="9" t="s">
        <v>5</v>
      </c>
      <c r="T36" s="9" t="s">
        <v>5</v>
      </c>
      <c r="U36" s="9" t="s">
        <v>5</v>
      </c>
      <c r="V36" s="9" t="s">
        <v>5</v>
      </c>
      <c r="W36" s="9" t="s">
        <v>5</v>
      </c>
      <c r="X36" s="9" t="s">
        <v>5</v>
      </c>
      <c r="Y36" s="9" t="s">
        <v>5</v>
      </c>
      <c r="Z36" s="9" t="s">
        <v>5</v>
      </c>
      <c r="AA36" s="9" t="s">
        <v>5</v>
      </c>
      <c r="AB36" s="9" t="s">
        <v>5</v>
      </c>
      <c r="AC36" s="9" t="s">
        <v>5</v>
      </c>
      <c r="AD36" s="9" t="s">
        <v>5</v>
      </c>
      <c r="AE36" s="9" t="s">
        <v>5</v>
      </c>
      <c r="AF36" s="9" t="s">
        <v>5</v>
      </c>
    </row>
    <row r="37" ht="30" customHeight="1"/>
    <row r="38" ht="45" hidden="1" customHeight="1" spans="1:34">
      <c r="A38" s="4" t="s">
        <v>14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ht="25" hidden="1" customHeight="1" spans="1:34">
      <c r="B39" s="6" t="s">
        <v>50</v>
      </c>
      <c r="C39" s="6" t="s">
        <v>51</v>
      </c>
      <c r="D39" s="6" t="s">
        <v>52</v>
      </c>
      <c r="E39" s="6" t="s">
        <v>53</v>
      </c>
      <c r="F39" s="6" t="s">
        <v>54</v>
      </c>
      <c r="G39" s="6" t="s">
        <v>55</v>
      </c>
      <c r="H39" s="6" t="s">
        <v>56</v>
      </c>
      <c r="I39" s="6" t="s">
        <v>57</v>
      </c>
      <c r="J39" s="6" t="s">
        <v>58</v>
      </c>
      <c r="K39" s="6" t="s">
        <v>59</v>
      </c>
      <c r="L39" s="6" t="s">
        <v>60</v>
      </c>
      <c r="M39" s="6" t="s">
        <v>61</v>
      </c>
      <c r="N39" s="6" t="s">
        <v>62</v>
      </c>
      <c r="O39" s="6" t="s">
        <v>63</v>
      </c>
      <c r="P39" s="7">
        <v>5.15</v>
      </c>
      <c r="Q39" s="7">
        <v>5.16</v>
      </c>
      <c r="R39" s="7">
        <v>5.17</v>
      </c>
      <c r="S39" s="7">
        <v>5.18</v>
      </c>
      <c r="T39" s="7">
        <v>5.19</v>
      </c>
      <c r="U39" s="6" t="s">
        <v>64</v>
      </c>
      <c r="V39" s="7">
        <v>5.21</v>
      </c>
      <c r="W39" s="7">
        <v>5.22</v>
      </c>
      <c r="X39" s="7">
        <v>5.23</v>
      </c>
      <c r="Y39" s="7">
        <v>5.24</v>
      </c>
      <c r="Z39" s="7">
        <v>5.25</v>
      </c>
      <c r="AA39" s="7">
        <v>5.26</v>
      </c>
      <c r="AB39" s="7">
        <v>5.27</v>
      </c>
      <c r="AC39" s="7">
        <v>5.28</v>
      </c>
      <c r="AD39" s="7">
        <v>5.29</v>
      </c>
      <c r="AE39" s="6" t="s">
        <v>65</v>
      </c>
      <c r="AF39" s="7">
        <v>5.31</v>
      </c>
      <c r="AG39" s="9" t="s">
        <v>15</v>
      </c>
      <c r="AH39" s="9" t="s">
        <v>16</v>
      </c>
    </row>
    <row r="40" ht="25" hidden="1" customHeight="1" spans="1:34">
      <c r="A40" s="11" t="s">
        <v>4</v>
      </c>
      <c r="B40" s="9">
        <f t="shared" ref="B40:AF40" si="12">IF(B31="/",0,1)</f>
        <v>0</v>
      </c>
      <c r="C40" s="9">
        <f t="shared" si="12"/>
        <v>0</v>
      </c>
      <c r="D40" s="9">
        <f t="shared" si="12"/>
        <v>0</v>
      </c>
      <c r="E40" s="9">
        <f t="shared" si="12"/>
        <v>0</v>
      </c>
      <c r="F40" s="9">
        <f t="shared" si="12"/>
        <v>0</v>
      </c>
      <c r="G40" s="9">
        <f t="shared" si="12"/>
        <v>0</v>
      </c>
      <c r="H40" s="9">
        <f t="shared" si="12"/>
        <v>0</v>
      </c>
      <c r="I40" s="9">
        <f t="shared" si="12"/>
        <v>0</v>
      </c>
      <c r="J40" s="9">
        <f t="shared" si="12"/>
        <v>0</v>
      </c>
      <c r="K40" s="9">
        <f t="shared" si="12"/>
        <v>1</v>
      </c>
      <c r="L40" s="9">
        <f t="shared" si="12"/>
        <v>0</v>
      </c>
      <c r="M40" s="9">
        <f t="shared" si="12"/>
        <v>0</v>
      </c>
      <c r="N40" s="9">
        <f t="shared" si="12"/>
        <v>0</v>
      </c>
      <c r="O40" s="9">
        <f t="shared" si="12"/>
        <v>0</v>
      </c>
      <c r="P40" s="9">
        <f t="shared" si="12"/>
        <v>0</v>
      </c>
      <c r="Q40" s="9">
        <f t="shared" si="12"/>
        <v>0</v>
      </c>
      <c r="R40" s="9">
        <f t="shared" si="12"/>
        <v>0</v>
      </c>
      <c r="S40" s="9">
        <f t="shared" si="12"/>
        <v>0</v>
      </c>
      <c r="T40" s="9">
        <f t="shared" si="12"/>
        <v>1</v>
      </c>
      <c r="U40" s="9">
        <f t="shared" si="12"/>
        <v>0</v>
      </c>
      <c r="V40" s="9">
        <f t="shared" si="12"/>
        <v>0</v>
      </c>
      <c r="W40" s="9">
        <f t="shared" si="12"/>
        <v>0</v>
      </c>
      <c r="X40" s="9">
        <f t="shared" si="12"/>
        <v>0</v>
      </c>
      <c r="Y40" s="9">
        <f t="shared" si="12"/>
        <v>0</v>
      </c>
      <c r="Z40" s="9">
        <f t="shared" si="12"/>
        <v>1</v>
      </c>
      <c r="AA40" s="9">
        <f t="shared" si="12"/>
        <v>0</v>
      </c>
      <c r="AB40" s="9">
        <f t="shared" si="12"/>
        <v>0</v>
      </c>
      <c r="AC40" s="9">
        <f t="shared" si="12"/>
        <v>0</v>
      </c>
      <c r="AD40" s="9">
        <f t="shared" si="12"/>
        <v>0</v>
      </c>
      <c r="AE40" s="9">
        <f t="shared" si="12"/>
        <v>0</v>
      </c>
      <c r="AF40" s="9">
        <f t="shared" si="12"/>
        <v>0</v>
      </c>
      <c r="AG40" s="12">
        <f t="shared" ref="AG40:AG45" si="13">SUM(B40:AF40)</f>
        <v>3</v>
      </c>
      <c r="AH40" s="13">
        <f>SUM(AG40:AG45)</f>
        <v>18</v>
      </c>
    </row>
    <row r="41" ht="25" hidden="1" customHeight="1" spans="1:34">
      <c r="A41" s="11" t="s">
        <v>7</v>
      </c>
      <c r="B41" s="9">
        <f t="shared" ref="B41:AF41" si="14">IF(B32="/",0,1)</f>
        <v>0</v>
      </c>
      <c r="C41" s="9">
        <f t="shared" si="14"/>
        <v>0</v>
      </c>
      <c r="D41" s="9">
        <f t="shared" si="14"/>
        <v>0</v>
      </c>
      <c r="E41" s="9">
        <f t="shared" si="14"/>
        <v>0</v>
      </c>
      <c r="F41" s="9">
        <f t="shared" si="14"/>
        <v>1</v>
      </c>
      <c r="G41" s="9">
        <f t="shared" si="14"/>
        <v>0</v>
      </c>
      <c r="H41" s="9">
        <f t="shared" si="14"/>
        <v>0</v>
      </c>
      <c r="I41" s="9">
        <f t="shared" si="14"/>
        <v>0</v>
      </c>
      <c r="J41" s="9">
        <f t="shared" si="14"/>
        <v>0</v>
      </c>
      <c r="K41" s="9">
        <f t="shared" si="14"/>
        <v>0</v>
      </c>
      <c r="L41" s="9">
        <f t="shared" si="14"/>
        <v>1</v>
      </c>
      <c r="M41" s="9">
        <f t="shared" si="14"/>
        <v>0</v>
      </c>
      <c r="N41" s="9">
        <f t="shared" si="14"/>
        <v>0</v>
      </c>
      <c r="O41" s="9">
        <f t="shared" si="14"/>
        <v>0</v>
      </c>
      <c r="P41" s="9">
        <f t="shared" si="14"/>
        <v>0</v>
      </c>
      <c r="Q41" s="9">
        <f t="shared" si="14"/>
        <v>0</v>
      </c>
      <c r="R41" s="9">
        <f t="shared" si="14"/>
        <v>1</v>
      </c>
      <c r="S41" s="9">
        <f t="shared" si="14"/>
        <v>0</v>
      </c>
      <c r="T41" s="9">
        <f t="shared" si="14"/>
        <v>0</v>
      </c>
      <c r="U41" s="9">
        <f t="shared" si="14"/>
        <v>0</v>
      </c>
      <c r="V41" s="9">
        <f t="shared" si="14"/>
        <v>0</v>
      </c>
      <c r="W41" s="9">
        <f t="shared" si="14"/>
        <v>0</v>
      </c>
      <c r="X41" s="9">
        <f t="shared" si="14"/>
        <v>1</v>
      </c>
      <c r="Y41" s="9">
        <f t="shared" si="14"/>
        <v>0</v>
      </c>
      <c r="Z41" s="9">
        <f t="shared" si="14"/>
        <v>0</v>
      </c>
      <c r="AA41" s="9">
        <f t="shared" si="14"/>
        <v>0</v>
      </c>
      <c r="AB41" s="9">
        <f t="shared" si="14"/>
        <v>0</v>
      </c>
      <c r="AC41" s="9">
        <f t="shared" si="14"/>
        <v>0</v>
      </c>
      <c r="AD41" s="9">
        <f t="shared" si="14"/>
        <v>1</v>
      </c>
      <c r="AE41" s="9">
        <f t="shared" si="14"/>
        <v>0</v>
      </c>
      <c r="AF41" s="9">
        <f t="shared" si="14"/>
        <v>0</v>
      </c>
      <c r="AG41" s="12">
        <f t="shared" si="13"/>
        <v>5</v>
      </c>
    </row>
    <row r="42" ht="25" hidden="1" customHeight="1" spans="1:34">
      <c r="A42" s="11" t="s">
        <v>9</v>
      </c>
      <c r="B42" s="9">
        <f t="shared" ref="B42:AF42" si="15">IF(B33="/",0,1)</f>
        <v>0</v>
      </c>
      <c r="C42" s="9">
        <f t="shared" si="15"/>
        <v>0</v>
      </c>
      <c r="D42" s="9">
        <f t="shared" si="15"/>
        <v>0</v>
      </c>
      <c r="E42" s="9">
        <f t="shared" si="15"/>
        <v>0</v>
      </c>
      <c r="F42" s="9">
        <f t="shared" si="15"/>
        <v>0</v>
      </c>
      <c r="G42" s="9">
        <f t="shared" si="15"/>
        <v>0</v>
      </c>
      <c r="H42" s="9">
        <f t="shared" si="15"/>
        <v>1</v>
      </c>
      <c r="I42" s="9">
        <f t="shared" si="15"/>
        <v>0</v>
      </c>
      <c r="J42" s="9">
        <f t="shared" si="15"/>
        <v>0</v>
      </c>
      <c r="K42" s="9">
        <f t="shared" si="15"/>
        <v>0</v>
      </c>
      <c r="L42" s="9">
        <f t="shared" si="15"/>
        <v>1</v>
      </c>
      <c r="M42" s="9">
        <f t="shared" si="15"/>
        <v>0</v>
      </c>
      <c r="N42" s="9">
        <f t="shared" si="15"/>
        <v>0</v>
      </c>
      <c r="O42" s="9">
        <f t="shared" si="15"/>
        <v>0</v>
      </c>
      <c r="P42" s="9">
        <f t="shared" si="15"/>
        <v>0</v>
      </c>
      <c r="Q42" s="9">
        <f t="shared" si="15"/>
        <v>0</v>
      </c>
      <c r="R42" s="9">
        <f t="shared" si="15"/>
        <v>0</v>
      </c>
      <c r="S42" s="9">
        <f t="shared" si="15"/>
        <v>0</v>
      </c>
      <c r="T42" s="9">
        <f t="shared" si="15"/>
        <v>1</v>
      </c>
      <c r="U42" s="9">
        <f t="shared" si="15"/>
        <v>0</v>
      </c>
      <c r="V42" s="9">
        <f t="shared" si="15"/>
        <v>0</v>
      </c>
      <c r="W42" s="9">
        <f t="shared" si="15"/>
        <v>0</v>
      </c>
      <c r="X42" s="9">
        <f t="shared" si="15"/>
        <v>0</v>
      </c>
      <c r="Y42" s="9">
        <f t="shared" si="15"/>
        <v>0</v>
      </c>
      <c r="Z42" s="9">
        <f t="shared" si="15"/>
        <v>1</v>
      </c>
      <c r="AA42" s="9">
        <f t="shared" si="15"/>
        <v>0</v>
      </c>
      <c r="AB42" s="9">
        <f t="shared" si="15"/>
        <v>0</v>
      </c>
      <c r="AC42" s="9">
        <f t="shared" si="15"/>
        <v>0</v>
      </c>
      <c r="AD42" s="9">
        <f t="shared" si="15"/>
        <v>0</v>
      </c>
      <c r="AE42" s="9">
        <f t="shared" si="15"/>
        <v>0</v>
      </c>
      <c r="AF42" s="9">
        <f t="shared" si="15"/>
        <v>0</v>
      </c>
      <c r="AG42" s="12">
        <f t="shared" si="13"/>
        <v>4</v>
      </c>
    </row>
    <row r="43" ht="25" hidden="1" customHeight="1" spans="1:34">
      <c r="A43" s="11" t="s">
        <v>11</v>
      </c>
      <c r="B43" s="9">
        <f t="shared" ref="B43:AF43" si="16">IF(B34="/",0,1)</f>
        <v>0</v>
      </c>
      <c r="C43" s="9">
        <f t="shared" si="16"/>
        <v>0</v>
      </c>
      <c r="D43" s="9">
        <f t="shared" si="16"/>
        <v>0</v>
      </c>
      <c r="E43" s="9">
        <f t="shared" si="16"/>
        <v>0</v>
      </c>
      <c r="F43" s="9">
        <f t="shared" si="16"/>
        <v>0</v>
      </c>
      <c r="G43" s="9">
        <f t="shared" si="16"/>
        <v>0</v>
      </c>
      <c r="H43" s="9">
        <f t="shared" si="16"/>
        <v>0</v>
      </c>
      <c r="I43" s="9">
        <f t="shared" si="16"/>
        <v>0</v>
      </c>
      <c r="J43" s="9">
        <f t="shared" si="16"/>
        <v>0</v>
      </c>
      <c r="K43" s="9">
        <f t="shared" si="16"/>
        <v>0</v>
      </c>
      <c r="L43" s="9">
        <f t="shared" si="16"/>
        <v>0</v>
      </c>
      <c r="M43" s="9">
        <f t="shared" si="16"/>
        <v>0</v>
      </c>
      <c r="N43" s="9">
        <f t="shared" si="16"/>
        <v>0</v>
      </c>
      <c r="O43" s="9">
        <f t="shared" si="16"/>
        <v>0</v>
      </c>
      <c r="P43" s="9">
        <f t="shared" si="16"/>
        <v>1</v>
      </c>
      <c r="Q43" s="9">
        <f t="shared" si="16"/>
        <v>0</v>
      </c>
      <c r="R43" s="9">
        <f t="shared" si="16"/>
        <v>0</v>
      </c>
      <c r="S43" s="9">
        <f t="shared" si="16"/>
        <v>0</v>
      </c>
      <c r="T43" s="9">
        <f t="shared" si="16"/>
        <v>0</v>
      </c>
      <c r="U43" s="9">
        <f t="shared" si="16"/>
        <v>0</v>
      </c>
      <c r="V43" s="9">
        <f t="shared" si="16"/>
        <v>0</v>
      </c>
      <c r="W43" s="9">
        <f t="shared" si="16"/>
        <v>0</v>
      </c>
      <c r="X43" s="9">
        <f t="shared" si="16"/>
        <v>1</v>
      </c>
      <c r="Y43" s="9">
        <f t="shared" si="16"/>
        <v>0</v>
      </c>
      <c r="Z43" s="9">
        <f t="shared" si="16"/>
        <v>0</v>
      </c>
      <c r="AA43" s="9">
        <f t="shared" si="16"/>
        <v>0</v>
      </c>
      <c r="AB43" s="9">
        <f t="shared" si="16"/>
        <v>0</v>
      </c>
      <c r="AC43" s="9">
        <f t="shared" si="16"/>
        <v>0</v>
      </c>
      <c r="AD43" s="9">
        <f t="shared" si="16"/>
        <v>0</v>
      </c>
      <c r="AE43" s="9">
        <f t="shared" si="16"/>
        <v>0</v>
      </c>
      <c r="AF43" s="9">
        <f t="shared" si="16"/>
        <v>0</v>
      </c>
      <c r="AG43" s="12">
        <f t="shared" si="13"/>
        <v>2</v>
      </c>
    </row>
    <row r="44" ht="25" hidden="1" customHeight="1" spans="1:34">
      <c r="A44" s="11" t="s">
        <v>12</v>
      </c>
      <c r="B44" s="9">
        <f t="shared" ref="B44:AF44" si="17">IF(B35="/",0,1)</f>
        <v>0</v>
      </c>
      <c r="C44" s="9">
        <f t="shared" si="17"/>
        <v>0</v>
      </c>
      <c r="D44" s="9">
        <f t="shared" si="17"/>
        <v>0</v>
      </c>
      <c r="E44" s="9">
        <f t="shared" si="17"/>
        <v>0</v>
      </c>
      <c r="F44" s="9">
        <f t="shared" si="17"/>
        <v>0</v>
      </c>
      <c r="G44" s="9">
        <f t="shared" si="17"/>
        <v>0</v>
      </c>
      <c r="H44" s="9">
        <f t="shared" si="17"/>
        <v>1</v>
      </c>
      <c r="I44" s="9">
        <f t="shared" si="17"/>
        <v>0</v>
      </c>
      <c r="J44" s="9">
        <f t="shared" si="17"/>
        <v>0</v>
      </c>
      <c r="K44" s="9">
        <f t="shared" si="17"/>
        <v>0</v>
      </c>
      <c r="L44" s="9">
        <f t="shared" si="17"/>
        <v>0</v>
      </c>
      <c r="M44" s="9">
        <f t="shared" si="17"/>
        <v>0</v>
      </c>
      <c r="N44" s="9">
        <f t="shared" si="17"/>
        <v>0</v>
      </c>
      <c r="O44" s="9">
        <f t="shared" si="17"/>
        <v>0</v>
      </c>
      <c r="P44" s="9">
        <f t="shared" si="17"/>
        <v>0</v>
      </c>
      <c r="Q44" s="9">
        <f t="shared" si="17"/>
        <v>0</v>
      </c>
      <c r="R44" s="9">
        <f t="shared" si="17"/>
        <v>1</v>
      </c>
      <c r="S44" s="9">
        <f t="shared" si="17"/>
        <v>0</v>
      </c>
      <c r="T44" s="9">
        <f t="shared" si="17"/>
        <v>0</v>
      </c>
      <c r="U44" s="9">
        <f t="shared" si="17"/>
        <v>0</v>
      </c>
      <c r="V44" s="9">
        <f t="shared" si="17"/>
        <v>0</v>
      </c>
      <c r="W44" s="9">
        <f t="shared" si="17"/>
        <v>0</v>
      </c>
      <c r="X44" s="9">
        <f t="shared" si="17"/>
        <v>0</v>
      </c>
      <c r="Y44" s="9">
        <f t="shared" si="17"/>
        <v>0</v>
      </c>
      <c r="Z44" s="9">
        <f t="shared" si="17"/>
        <v>0</v>
      </c>
      <c r="AA44" s="9">
        <f t="shared" si="17"/>
        <v>0</v>
      </c>
      <c r="AB44" s="9">
        <f t="shared" si="17"/>
        <v>0</v>
      </c>
      <c r="AC44" s="9">
        <f t="shared" si="17"/>
        <v>0</v>
      </c>
      <c r="AD44" s="9">
        <f t="shared" si="17"/>
        <v>0</v>
      </c>
      <c r="AE44" s="9">
        <f t="shared" si="17"/>
        <v>0</v>
      </c>
      <c r="AF44" s="9">
        <f t="shared" si="17"/>
        <v>0</v>
      </c>
      <c r="AG44" s="12">
        <f t="shared" si="13"/>
        <v>2</v>
      </c>
    </row>
    <row r="45" ht="25" hidden="1" customHeight="1" spans="1:34">
      <c r="A45" s="11" t="s">
        <v>13</v>
      </c>
      <c r="B45" s="9">
        <f t="shared" ref="B45:AF45" si="18">IF(B36="/",0,1)</f>
        <v>0</v>
      </c>
      <c r="C45" s="9">
        <f t="shared" si="18"/>
        <v>0</v>
      </c>
      <c r="D45" s="9">
        <f t="shared" si="18"/>
        <v>0</v>
      </c>
      <c r="E45" s="9">
        <f t="shared" si="18"/>
        <v>1</v>
      </c>
      <c r="F45" s="9">
        <f t="shared" si="18"/>
        <v>0</v>
      </c>
      <c r="G45" s="9">
        <f t="shared" si="18"/>
        <v>0</v>
      </c>
      <c r="H45" s="9">
        <f t="shared" si="18"/>
        <v>0</v>
      </c>
      <c r="I45" s="9">
        <f t="shared" si="18"/>
        <v>0</v>
      </c>
      <c r="J45" s="9">
        <f t="shared" si="18"/>
        <v>0</v>
      </c>
      <c r="K45" s="9">
        <f t="shared" si="18"/>
        <v>0</v>
      </c>
      <c r="L45" s="9">
        <f t="shared" si="18"/>
        <v>0</v>
      </c>
      <c r="M45" s="9">
        <f t="shared" si="18"/>
        <v>0</v>
      </c>
      <c r="N45" s="9">
        <f t="shared" si="18"/>
        <v>1</v>
      </c>
      <c r="O45" s="9">
        <f t="shared" si="18"/>
        <v>0</v>
      </c>
      <c r="P45" s="9">
        <f t="shared" si="18"/>
        <v>0</v>
      </c>
      <c r="Q45" s="9">
        <f t="shared" si="18"/>
        <v>0</v>
      </c>
      <c r="R45" s="9">
        <f t="shared" si="18"/>
        <v>0</v>
      </c>
      <c r="S45" s="9">
        <f t="shared" si="18"/>
        <v>0</v>
      </c>
      <c r="T45" s="9">
        <f t="shared" si="18"/>
        <v>0</v>
      </c>
      <c r="U45" s="9">
        <f t="shared" si="18"/>
        <v>0</v>
      </c>
      <c r="V45" s="9">
        <f t="shared" si="18"/>
        <v>0</v>
      </c>
      <c r="W45" s="9">
        <f t="shared" si="18"/>
        <v>0</v>
      </c>
      <c r="X45" s="9">
        <f t="shared" si="18"/>
        <v>0</v>
      </c>
      <c r="Y45" s="9">
        <f t="shared" si="18"/>
        <v>0</v>
      </c>
      <c r="Z45" s="9">
        <f t="shared" si="18"/>
        <v>0</v>
      </c>
      <c r="AA45" s="9">
        <f t="shared" si="18"/>
        <v>0</v>
      </c>
      <c r="AB45" s="9">
        <f t="shared" si="18"/>
        <v>0</v>
      </c>
      <c r="AC45" s="9">
        <f t="shared" si="18"/>
        <v>0</v>
      </c>
      <c r="AD45" s="9">
        <f t="shared" si="18"/>
        <v>0</v>
      </c>
      <c r="AE45" s="9">
        <f t="shared" si="18"/>
        <v>0</v>
      </c>
      <c r="AF45" s="9">
        <f t="shared" si="18"/>
        <v>0</v>
      </c>
      <c r="AG45" s="12">
        <f t="shared" si="13"/>
        <v>2</v>
      </c>
    </row>
    <row r="46" ht="25" hidden="1" customHeight="1"/>
    <row r="47" ht="37" customHeight="1" spans="1:34">
      <c r="A47" s="14" t="s">
        <v>17</v>
      </c>
      <c r="B47" s="14"/>
      <c r="C47" s="14"/>
      <c r="D47" s="14"/>
      <c r="E47" s="14"/>
      <c r="F47" s="15"/>
      <c r="R47"/>
    </row>
    <row r="48" ht="25" customHeight="1" spans="1:34">
      <c r="A48" s="9"/>
      <c r="B48" s="9" t="s">
        <v>6</v>
      </c>
      <c r="C48" s="9" t="s">
        <v>8</v>
      </c>
      <c r="D48" s="9" t="s">
        <v>10</v>
      </c>
      <c r="E48" s="9" t="s">
        <v>15</v>
      </c>
      <c r="F48" s="9" t="s">
        <v>18</v>
      </c>
      <c r="R48" s="16"/>
    </row>
    <row r="49" ht="25" customHeight="1" spans="1:33">
      <c r="A49" s="11" t="s">
        <v>4</v>
      </c>
      <c r="B49" s="9">
        <f t="shared" ref="B49:B54" si="19">COUNTIFS(B31:AF31,"甲")</f>
        <v>1</v>
      </c>
      <c r="C49" s="9">
        <f t="shared" ref="C49:C54" si="20">COUNTIFS(B31:AF31,"乙")</f>
        <v>0</v>
      </c>
      <c r="D49" s="9">
        <f t="shared" ref="D49:D54" si="21">COUNTIFS(B31:AF31,"丙")</f>
        <v>2</v>
      </c>
      <c r="E49" s="12">
        <f t="shared" ref="E49:E54" si="22">SUM(B49:D49)</f>
        <v>3</v>
      </c>
      <c r="F49" s="9">
        <f t="shared" ref="F49:F54" si="23">E49-AG40</f>
        <v>0</v>
      </c>
      <c r="R49" s="16"/>
    </row>
    <row r="50" ht="25" customHeight="1" spans="1:33">
      <c r="A50" s="11" t="s">
        <v>7</v>
      </c>
      <c r="B50" s="9">
        <f t="shared" si="19"/>
        <v>0</v>
      </c>
      <c r="C50" s="9">
        <f t="shared" si="20"/>
        <v>5</v>
      </c>
      <c r="D50" s="9">
        <f t="shared" si="21"/>
        <v>0</v>
      </c>
      <c r="E50" s="12">
        <f t="shared" si="22"/>
        <v>5</v>
      </c>
      <c r="F50" s="9">
        <f t="shared" si="23"/>
        <v>0</v>
      </c>
      <c r="R50" s="16"/>
    </row>
    <row r="51" ht="25" customHeight="1" spans="1:33">
      <c r="A51" s="11" t="s">
        <v>9</v>
      </c>
      <c r="B51" s="9">
        <f t="shared" si="19"/>
        <v>0</v>
      </c>
      <c r="C51" s="9">
        <f t="shared" si="20"/>
        <v>1</v>
      </c>
      <c r="D51" s="9">
        <f t="shared" si="21"/>
        <v>3</v>
      </c>
      <c r="E51" s="12">
        <f t="shared" si="22"/>
        <v>4</v>
      </c>
      <c r="F51" s="9">
        <f t="shared" si="23"/>
        <v>0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</row>
    <row r="52" ht="25" customHeight="1" spans="1:33">
      <c r="A52" s="11" t="s">
        <v>11</v>
      </c>
      <c r="B52" s="9">
        <f t="shared" si="19"/>
        <v>1</v>
      </c>
      <c r="C52" s="9">
        <f t="shared" si="20"/>
        <v>1</v>
      </c>
      <c r="D52" s="9">
        <f t="shared" si="21"/>
        <v>0</v>
      </c>
      <c r="E52" s="12">
        <f t="shared" si="22"/>
        <v>2</v>
      </c>
      <c r="F52" s="9">
        <f t="shared" si="23"/>
        <v>0</v>
      </c>
      <c r="H52" s="17" t="s">
        <v>19</v>
      </c>
      <c r="I52" s="17"/>
      <c r="J52" s="17"/>
      <c r="K52" s="17"/>
      <c r="L52" s="17"/>
      <c r="M52" s="17"/>
      <c r="N52" s="17"/>
      <c r="O52" s="17"/>
      <c r="P52" s="17"/>
      <c r="Q52" s="17"/>
      <c r="R52" s="16"/>
    </row>
    <row r="53" ht="25" customHeight="1" spans="1:33">
      <c r="A53" s="11" t="s">
        <v>12</v>
      </c>
      <c r="B53" s="9">
        <f t="shared" si="19"/>
        <v>0</v>
      </c>
      <c r="C53" s="9">
        <f t="shared" si="20"/>
        <v>1</v>
      </c>
      <c r="D53" s="9">
        <f t="shared" si="21"/>
        <v>1</v>
      </c>
      <c r="E53" s="12">
        <f t="shared" si="22"/>
        <v>2</v>
      </c>
      <c r="F53" s="9">
        <f t="shared" si="23"/>
        <v>0</v>
      </c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6"/>
    </row>
    <row r="54" ht="25" customHeight="1" spans="1:33">
      <c r="A54" s="11" t="s">
        <v>13</v>
      </c>
      <c r="B54" s="9">
        <f t="shared" si="19"/>
        <v>1</v>
      </c>
      <c r="C54" s="9">
        <f t="shared" si="20"/>
        <v>0</v>
      </c>
      <c r="D54" s="9">
        <f t="shared" si="21"/>
        <v>1</v>
      </c>
      <c r="E54" s="12">
        <f t="shared" si="22"/>
        <v>2</v>
      </c>
      <c r="F54" s="9">
        <f t="shared" si="23"/>
        <v>0</v>
      </c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6"/>
    </row>
    <row r="55" ht="25" customHeight="1" spans="1:33">
      <c r="A55" s="11" t="s">
        <v>21</v>
      </c>
      <c r="B55" s="13">
        <f>SUM(B49:B54)</f>
        <v>3</v>
      </c>
      <c r="C55" s="13">
        <f>SUM(C49:C54)</f>
        <v>8</v>
      </c>
      <c r="D55" s="13">
        <f>SUM(D49:D54)</f>
        <v>7</v>
      </c>
      <c r="E55" s="19">
        <f>SUM(E49:E54)</f>
        <v>18</v>
      </c>
      <c r="F55" s="9">
        <f>E55-AH40</f>
        <v>0</v>
      </c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16"/>
    </row>
    <row r="56" ht="50" customHeight="1"/>
    <row r="57" ht="45" customHeight="1" spans="1:33">
      <c r="A57" s="10" t="s">
        <v>66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 s="1" customFormat="1" ht="30" customHeight="1" spans="1:33">
      <c r="A58" s="11"/>
      <c r="B58" s="6" t="s">
        <v>67</v>
      </c>
      <c r="C58" s="6" t="s">
        <v>68</v>
      </c>
      <c r="D58" s="6" t="s">
        <v>69</v>
      </c>
      <c r="E58" s="6" t="s">
        <v>70</v>
      </c>
      <c r="F58" s="6" t="s">
        <v>71</v>
      </c>
      <c r="G58" s="6" t="s">
        <v>72</v>
      </c>
      <c r="H58" s="6" t="s">
        <v>73</v>
      </c>
      <c r="I58" s="6" t="s">
        <v>74</v>
      </c>
      <c r="J58" s="6" t="s">
        <v>75</v>
      </c>
      <c r="K58" s="6" t="s">
        <v>76</v>
      </c>
      <c r="L58" s="6" t="s">
        <v>77</v>
      </c>
      <c r="M58" s="6" t="s">
        <v>78</v>
      </c>
      <c r="N58" s="6" t="s">
        <v>79</v>
      </c>
      <c r="O58" s="6" t="s">
        <v>80</v>
      </c>
      <c r="P58" s="7">
        <v>6.15</v>
      </c>
      <c r="Q58" s="7">
        <v>6.16</v>
      </c>
      <c r="R58" s="7">
        <v>6.17</v>
      </c>
      <c r="S58" s="7">
        <v>6.18</v>
      </c>
      <c r="T58" s="7">
        <v>6.19</v>
      </c>
      <c r="U58" s="6" t="s">
        <v>81</v>
      </c>
      <c r="V58" s="7">
        <v>6.21</v>
      </c>
      <c r="W58" s="7">
        <v>6.22</v>
      </c>
      <c r="X58" s="7">
        <v>6.23</v>
      </c>
      <c r="Y58" s="7">
        <v>6.24</v>
      </c>
      <c r="Z58" s="7">
        <v>6.25</v>
      </c>
      <c r="AA58" s="7">
        <v>6.26</v>
      </c>
      <c r="AB58" s="7">
        <v>6.27</v>
      </c>
      <c r="AC58" s="7">
        <v>6.28</v>
      </c>
      <c r="AD58" s="7">
        <v>6.29</v>
      </c>
      <c r="AE58" s="6" t="s">
        <v>82</v>
      </c>
      <c r="AF58" s="8"/>
      <c r="AG58" s="8"/>
    </row>
    <row r="59" ht="30" customHeight="1" spans="1:33">
      <c r="A59" s="11" t="s">
        <v>4</v>
      </c>
      <c r="B59" s="9" t="s">
        <v>5</v>
      </c>
      <c r="C59" s="9" t="s">
        <v>6</v>
      </c>
      <c r="D59" s="9" t="s">
        <v>5</v>
      </c>
      <c r="E59" s="9" t="s">
        <v>5</v>
      </c>
      <c r="F59" s="9" t="s">
        <v>5</v>
      </c>
      <c r="G59" s="9" t="s">
        <v>5</v>
      </c>
      <c r="H59" s="9" t="s">
        <v>5</v>
      </c>
      <c r="I59" s="9" t="s">
        <v>5</v>
      </c>
      <c r="J59" s="9" t="s">
        <v>5</v>
      </c>
      <c r="K59" s="9" t="s">
        <v>5</v>
      </c>
      <c r="L59" s="9" t="s">
        <v>5</v>
      </c>
      <c r="M59" s="9" t="s">
        <v>5</v>
      </c>
      <c r="N59" s="9" t="s">
        <v>5</v>
      </c>
      <c r="O59" s="9" t="s">
        <v>5</v>
      </c>
      <c r="P59" s="9" t="s">
        <v>6</v>
      </c>
      <c r="Q59" s="9" t="s">
        <v>5</v>
      </c>
      <c r="R59" s="9" t="s">
        <v>5</v>
      </c>
      <c r="S59" s="9" t="s">
        <v>5</v>
      </c>
      <c r="T59" s="9" t="s">
        <v>5</v>
      </c>
      <c r="U59" s="9" t="s">
        <v>5</v>
      </c>
      <c r="V59" s="9" t="s">
        <v>6</v>
      </c>
      <c r="W59" s="9" t="s">
        <v>5</v>
      </c>
      <c r="X59" s="9" t="s">
        <v>5</v>
      </c>
      <c r="Y59" s="9" t="s">
        <v>5</v>
      </c>
      <c r="Z59" s="9" t="s">
        <v>5</v>
      </c>
      <c r="AA59" s="9" t="s">
        <v>5</v>
      </c>
      <c r="AB59" s="9" t="s">
        <v>6</v>
      </c>
      <c r="AC59" s="9" t="s">
        <v>5</v>
      </c>
      <c r="AD59" s="9" t="s">
        <v>5</v>
      </c>
      <c r="AE59" s="9" t="s">
        <v>5</v>
      </c>
    </row>
    <row r="60" ht="30" customHeight="1" spans="1:33">
      <c r="A60" s="11" t="s">
        <v>7</v>
      </c>
      <c r="B60" s="9" t="s">
        <v>5</v>
      </c>
      <c r="C60" s="9" t="s">
        <v>5</v>
      </c>
      <c r="D60" s="9" t="s">
        <v>6</v>
      </c>
      <c r="E60" s="9" t="s">
        <v>5</v>
      </c>
      <c r="F60" s="9" t="s">
        <v>5</v>
      </c>
      <c r="G60" s="9" t="s">
        <v>5</v>
      </c>
      <c r="H60" s="9" t="s">
        <v>5</v>
      </c>
      <c r="I60" s="9" t="s">
        <v>5</v>
      </c>
      <c r="J60" s="9" t="s">
        <v>5</v>
      </c>
      <c r="K60" s="9" t="s">
        <v>8</v>
      </c>
      <c r="L60" s="9" t="s">
        <v>5</v>
      </c>
      <c r="M60" s="9" t="s">
        <v>5</v>
      </c>
      <c r="N60" s="9" t="s">
        <v>5</v>
      </c>
      <c r="O60" s="9" t="s">
        <v>5</v>
      </c>
      <c r="P60" s="9" t="s">
        <v>5</v>
      </c>
      <c r="Q60" s="9" t="s">
        <v>5</v>
      </c>
      <c r="R60" s="9" t="s">
        <v>8</v>
      </c>
      <c r="S60" s="9" t="s">
        <v>5</v>
      </c>
      <c r="T60" s="9" t="s">
        <v>5</v>
      </c>
      <c r="U60" s="9" t="s">
        <v>5</v>
      </c>
      <c r="V60" s="9" t="s">
        <v>5</v>
      </c>
      <c r="W60" s="9" t="s">
        <v>5</v>
      </c>
      <c r="X60" s="9" t="s">
        <v>8</v>
      </c>
      <c r="Y60" s="9" t="s">
        <v>5</v>
      </c>
      <c r="Z60" s="9" t="s">
        <v>5</v>
      </c>
      <c r="AA60" s="9" t="s">
        <v>5</v>
      </c>
      <c r="AB60" s="9" t="s">
        <v>5</v>
      </c>
      <c r="AC60" s="9" t="s">
        <v>5</v>
      </c>
      <c r="AD60" s="9" t="s">
        <v>8</v>
      </c>
      <c r="AE60" s="9" t="s">
        <v>5</v>
      </c>
    </row>
    <row r="61" ht="30" customHeight="1" spans="1:33">
      <c r="A61" s="11" t="s">
        <v>9</v>
      </c>
      <c r="B61" s="9" t="s">
        <v>5</v>
      </c>
      <c r="C61" s="9" t="s">
        <v>5</v>
      </c>
      <c r="D61" s="9" t="s">
        <v>6</v>
      </c>
      <c r="E61" s="9" t="s">
        <v>5</v>
      </c>
      <c r="F61" s="9" t="s">
        <v>5</v>
      </c>
      <c r="G61" s="9" t="s">
        <v>5</v>
      </c>
      <c r="H61" s="9" t="s">
        <v>5</v>
      </c>
      <c r="I61" s="9" t="s">
        <v>5</v>
      </c>
      <c r="J61" s="9" t="s">
        <v>5</v>
      </c>
      <c r="K61" s="9" t="s">
        <v>5</v>
      </c>
      <c r="L61" s="9" t="s">
        <v>8</v>
      </c>
      <c r="M61" s="9" t="s">
        <v>5</v>
      </c>
      <c r="N61" s="9" t="s">
        <v>5</v>
      </c>
      <c r="O61" s="9" t="s">
        <v>5</v>
      </c>
      <c r="P61" s="9" t="s">
        <v>5</v>
      </c>
      <c r="Q61" s="9" t="s">
        <v>5</v>
      </c>
      <c r="R61" s="9" t="s">
        <v>5</v>
      </c>
      <c r="S61" s="9" t="s">
        <v>10</v>
      </c>
      <c r="T61" s="9" t="s">
        <v>5</v>
      </c>
      <c r="U61" s="9" t="s">
        <v>5</v>
      </c>
      <c r="V61" s="9" t="s">
        <v>5</v>
      </c>
      <c r="W61" s="9" t="s">
        <v>5</v>
      </c>
      <c r="X61" s="9" t="s">
        <v>5</v>
      </c>
      <c r="Y61" s="9" t="s">
        <v>5</v>
      </c>
      <c r="Z61" s="9" t="s">
        <v>5</v>
      </c>
      <c r="AA61" s="9" t="s">
        <v>5</v>
      </c>
      <c r="AB61" s="9" t="s">
        <v>5</v>
      </c>
      <c r="AC61" s="9" t="s">
        <v>8</v>
      </c>
      <c r="AD61" s="9" t="s">
        <v>5</v>
      </c>
      <c r="AE61" s="9" t="s">
        <v>5</v>
      </c>
    </row>
    <row r="62" ht="30" customHeight="1" spans="1:33">
      <c r="A62" s="11" t="s">
        <v>11</v>
      </c>
      <c r="B62" s="9" t="s">
        <v>5</v>
      </c>
      <c r="C62" s="9" t="s">
        <v>5</v>
      </c>
      <c r="D62" s="9" t="s">
        <v>6</v>
      </c>
      <c r="E62" s="9" t="s">
        <v>5</v>
      </c>
      <c r="F62" s="9" t="s">
        <v>5</v>
      </c>
      <c r="G62" s="9" t="s">
        <v>5</v>
      </c>
      <c r="H62" s="9" t="s">
        <v>5</v>
      </c>
      <c r="I62" s="9" t="s">
        <v>5</v>
      </c>
      <c r="J62" s="9" t="s">
        <v>5</v>
      </c>
      <c r="K62" s="9" t="s">
        <v>5</v>
      </c>
      <c r="L62" s="9" t="s">
        <v>8</v>
      </c>
      <c r="M62" s="9" t="s">
        <v>5</v>
      </c>
      <c r="N62" s="9" t="s">
        <v>5</v>
      </c>
      <c r="O62" s="9" t="s">
        <v>5</v>
      </c>
      <c r="P62" s="9" t="s">
        <v>5</v>
      </c>
      <c r="Q62" s="9" t="s">
        <v>5</v>
      </c>
      <c r="R62" s="9" t="s">
        <v>5</v>
      </c>
      <c r="S62" s="9" t="s">
        <v>5</v>
      </c>
      <c r="T62" s="9" t="s">
        <v>5</v>
      </c>
      <c r="U62" s="9" t="s">
        <v>5</v>
      </c>
      <c r="V62" s="9" t="s">
        <v>5</v>
      </c>
      <c r="W62" s="9" t="s">
        <v>5</v>
      </c>
      <c r="X62" s="9" t="s">
        <v>8</v>
      </c>
      <c r="Y62" s="9" t="s">
        <v>5</v>
      </c>
      <c r="Z62" s="9" t="s">
        <v>5</v>
      </c>
      <c r="AA62" s="9" t="s">
        <v>5</v>
      </c>
      <c r="AB62" s="9" t="s">
        <v>5</v>
      </c>
      <c r="AC62" s="9" t="s">
        <v>5</v>
      </c>
      <c r="AD62" s="9" t="s">
        <v>5</v>
      </c>
      <c r="AE62" s="9" t="s">
        <v>5</v>
      </c>
    </row>
    <row r="63" ht="30" customHeight="1" spans="1:33">
      <c r="A63" s="11" t="s">
        <v>12</v>
      </c>
      <c r="B63" s="9" t="s">
        <v>5</v>
      </c>
      <c r="C63" s="9" t="s">
        <v>5</v>
      </c>
      <c r="D63" s="9" t="s">
        <v>6</v>
      </c>
      <c r="E63" s="9" t="s">
        <v>5</v>
      </c>
      <c r="F63" s="9" t="s">
        <v>5</v>
      </c>
      <c r="G63" s="9" t="s">
        <v>5</v>
      </c>
      <c r="H63" s="9" t="s">
        <v>5</v>
      </c>
      <c r="I63" s="9" t="s">
        <v>5</v>
      </c>
      <c r="J63" s="9" t="s">
        <v>5</v>
      </c>
      <c r="K63" s="9" t="s">
        <v>5</v>
      </c>
      <c r="L63" s="9" t="s">
        <v>5</v>
      </c>
      <c r="M63" s="9" t="s">
        <v>5</v>
      </c>
      <c r="N63" s="9" t="s">
        <v>5</v>
      </c>
      <c r="O63" s="9" t="s">
        <v>5</v>
      </c>
      <c r="P63" s="9" t="s">
        <v>5</v>
      </c>
      <c r="Q63" s="9" t="s">
        <v>5</v>
      </c>
      <c r="R63" s="9" t="s">
        <v>5</v>
      </c>
      <c r="S63" s="9" t="s">
        <v>10</v>
      </c>
      <c r="T63" s="9" t="s">
        <v>5</v>
      </c>
      <c r="U63" s="9" t="s">
        <v>5</v>
      </c>
      <c r="V63" s="9" t="s">
        <v>5</v>
      </c>
      <c r="W63" s="9" t="s">
        <v>5</v>
      </c>
      <c r="X63" s="9" t="s">
        <v>5</v>
      </c>
      <c r="Y63" s="9" t="s">
        <v>5</v>
      </c>
      <c r="Z63" s="9" t="s">
        <v>5</v>
      </c>
      <c r="AA63" s="9" t="s">
        <v>5</v>
      </c>
      <c r="AB63" s="9" t="s">
        <v>5</v>
      </c>
      <c r="AC63" s="9" t="s">
        <v>5</v>
      </c>
      <c r="AD63" s="9" t="s">
        <v>5</v>
      </c>
      <c r="AE63" s="9" t="s">
        <v>5</v>
      </c>
    </row>
    <row r="64" ht="30" customHeight="1" spans="1:33">
      <c r="A64" s="11" t="s">
        <v>13</v>
      </c>
      <c r="B64" s="9" t="s">
        <v>5</v>
      </c>
      <c r="C64" s="9" t="s">
        <v>5</v>
      </c>
      <c r="D64" s="9" t="s">
        <v>5</v>
      </c>
      <c r="E64" s="9" t="s">
        <v>5</v>
      </c>
      <c r="F64" s="9" t="s">
        <v>5</v>
      </c>
      <c r="G64" s="9" t="s">
        <v>5</v>
      </c>
      <c r="H64" s="9" t="s">
        <v>5</v>
      </c>
      <c r="I64" s="9" t="s">
        <v>5</v>
      </c>
      <c r="J64" s="9" t="s">
        <v>6</v>
      </c>
      <c r="K64" s="9" t="s">
        <v>5</v>
      </c>
      <c r="L64" s="9" t="s">
        <v>5</v>
      </c>
      <c r="M64" s="9" t="s">
        <v>5</v>
      </c>
      <c r="N64" s="9" t="s">
        <v>5</v>
      </c>
      <c r="O64" s="9" t="s">
        <v>5</v>
      </c>
      <c r="P64" s="9" t="s">
        <v>6</v>
      </c>
      <c r="Q64" s="9" t="s">
        <v>5</v>
      </c>
      <c r="R64" s="9" t="s">
        <v>5</v>
      </c>
      <c r="S64" s="9" t="s">
        <v>5</v>
      </c>
      <c r="T64" s="9" t="s">
        <v>5</v>
      </c>
      <c r="U64" s="9" t="s">
        <v>5</v>
      </c>
      <c r="V64" s="9" t="s">
        <v>5</v>
      </c>
      <c r="W64" s="9" t="s">
        <v>5</v>
      </c>
      <c r="X64" s="9" t="s">
        <v>5</v>
      </c>
      <c r="Y64" s="9" t="s">
        <v>5</v>
      </c>
      <c r="Z64" s="9" t="s">
        <v>5</v>
      </c>
      <c r="AA64" s="9" t="s">
        <v>5</v>
      </c>
      <c r="AB64" s="9" t="s">
        <v>6</v>
      </c>
      <c r="AC64" s="9" t="s">
        <v>5</v>
      </c>
      <c r="AD64" s="9" t="s">
        <v>5</v>
      </c>
      <c r="AE64" s="9" t="s">
        <v>5</v>
      </c>
    </row>
    <row r="65" ht="30" customHeight="1"/>
    <row r="66" ht="45" hidden="1" customHeight="1" spans="1:33">
      <c r="A66" s="4" t="s">
        <v>14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ht="25" hidden="1" customHeight="1" spans="1:33">
      <c r="B67" s="6" t="s">
        <v>67</v>
      </c>
      <c r="C67" s="6" t="s">
        <v>68</v>
      </c>
      <c r="D67" s="6" t="s">
        <v>69</v>
      </c>
      <c r="E67" s="6" t="s">
        <v>70</v>
      </c>
      <c r="F67" s="6" t="s">
        <v>71</v>
      </c>
      <c r="G67" s="6" t="s">
        <v>72</v>
      </c>
      <c r="H67" s="6" t="s">
        <v>73</v>
      </c>
      <c r="I67" s="6" t="s">
        <v>74</v>
      </c>
      <c r="J67" s="6" t="s">
        <v>75</v>
      </c>
      <c r="K67" s="6" t="s">
        <v>76</v>
      </c>
      <c r="L67" s="6" t="s">
        <v>77</v>
      </c>
      <c r="M67" s="6" t="s">
        <v>78</v>
      </c>
      <c r="N67" s="6" t="s">
        <v>79</v>
      </c>
      <c r="O67" s="6" t="s">
        <v>80</v>
      </c>
      <c r="P67" s="7">
        <v>6.15</v>
      </c>
      <c r="Q67" s="7">
        <v>6.16</v>
      </c>
      <c r="R67" s="7">
        <v>6.17</v>
      </c>
      <c r="S67" s="7">
        <v>6.18</v>
      </c>
      <c r="T67" s="7">
        <v>6.19</v>
      </c>
      <c r="U67" s="6" t="s">
        <v>81</v>
      </c>
      <c r="V67" s="7">
        <v>6.21</v>
      </c>
      <c r="W67" s="7">
        <v>6.22</v>
      </c>
      <c r="X67" s="7">
        <v>6.23</v>
      </c>
      <c r="Y67" s="7">
        <v>6.24</v>
      </c>
      <c r="Z67" s="7">
        <v>6.25</v>
      </c>
      <c r="AA67" s="7">
        <v>6.26</v>
      </c>
      <c r="AB67" s="7">
        <v>6.27</v>
      </c>
      <c r="AC67" s="7">
        <v>6.28</v>
      </c>
      <c r="AD67" s="7">
        <v>6.29</v>
      </c>
      <c r="AE67" s="6" t="s">
        <v>82</v>
      </c>
      <c r="AF67" s="9" t="s">
        <v>15</v>
      </c>
      <c r="AG67" s="9" t="s">
        <v>16</v>
      </c>
    </row>
    <row r="68" ht="25" hidden="1" customHeight="1" spans="1:33">
      <c r="A68" s="11" t="s">
        <v>4</v>
      </c>
      <c r="B68" s="9">
        <f t="shared" ref="B68:AE68" si="24">IF(B59="/",0,1)</f>
        <v>0</v>
      </c>
      <c r="C68" s="9">
        <f t="shared" si="24"/>
        <v>1</v>
      </c>
      <c r="D68" s="9">
        <f t="shared" si="24"/>
        <v>0</v>
      </c>
      <c r="E68" s="9">
        <f t="shared" si="24"/>
        <v>0</v>
      </c>
      <c r="F68" s="9">
        <f t="shared" si="24"/>
        <v>0</v>
      </c>
      <c r="G68" s="9">
        <f t="shared" si="24"/>
        <v>0</v>
      </c>
      <c r="H68" s="9">
        <f t="shared" si="24"/>
        <v>0</v>
      </c>
      <c r="I68" s="9">
        <f t="shared" si="24"/>
        <v>0</v>
      </c>
      <c r="J68" s="9">
        <f t="shared" si="24"/>
        <v>0</v>
      </c>
      <c r="K68" s="9">
        <f t="shared" si="24"/>
        <v>0</v>
      </c>
      <c r="L68" s="9">
        <f t="shared" si="24"/>
        <v>0</v>
      </c>
      <c r="M68" s="9">
        <f t="shared" si="24"/>
        <v>0</v>
      </c>
      <c r="N68" s="9">
        <f t="shared" si="24"/>
        <v>0</v>
      </c>
      <c r="O68" s="9">
        <f t="shared" si="24"/>
        <v>0</v>
      </c>
      <c r="P68" s="9">
        <f t="shared" si="24"/>
        <v>1</v>
      </c>
      <c r="Q68" s="9">
        <f t="shared" si="24"/>
        <v>0</v>
      </c>
      <c r="R68" s="9">
        <f t="shared" si="24"/>
        <v>0</v>
      </c>
      <c r="S68" s="9">
        <f t="shared" si="24"/>
        <v>0</v>
      </c>
      <c r="T68" s="9">
        <f t="shared" si="24"/>
        <v>0</v>
      </c>
      <c r="U68" s="9">
        <f t="shared" si="24"/>
        <v>0</v>
      </c>
      <c r="V68" s="9">
        <f t="shared" si="24"/>
        <v>1</v>
      </c>
      <c r="W68" s="9">
        <f t="shared" si="24"/>
        <v>0</v>
      </c>
      <c r="X68" s="9">
        <f t="shared" si="24"/>
        <v>0</v>
      </c>
      <c r="Y68" s="9">
        <f t="shared" si="24"/>
        <v>0</v>
      </c>
      <c r="Z68" s="9">
        <f t="shared" si="24"/>
        <v>0</v>
      </c>
      <c r="AA68" s="9">
        <f t="shared" si="24"/>
        <v>0</v>
      </c>
      <c r="AB68" s="9">
        <f t="shared" si="24"/>
        <v>1</v>
      </c>
      <c r="AC68" s="9">
        <f t="shared" si="24"/>
        <v>0</v>
      </c>
      <c r="AD68" s="9">
        <f t="shared" si="24"/>
        <v>0</v>
      </c>
      <c r="AE68" s="9">
        <f t="shared" si="24"/>
        <v>0</v>
      </c>
      <c r="AF68" s="12">
        <f t="shared" ref="AF68:AF73" si="25">SUM(B68:AE68)</f>
        <v>4</v>
      </c>
      <c r="AG68" s="13">
        <f>SUM(AF68:AF73)</f>
        <v>21</v>
      </c>
    </row>
    <row r="69" ht="25" hidden="1" customHeight="1" spans="1:33">
      <c r="A69" s="11" t="s">
        <v>7</v>
      </c>
      <c r="B69" s="9">
        <f t="shared" ref="B69:AE69" si="26">IF(B60="/",0,1)</f>
        <v>0</v>
      </c>
      <c r="C69" s="9">
        <f t="shared" si="26"/>
        <v>0</v>
      </c>
      <c r="D69" s="9">
        <f t="shared" si="26"/>
        <v>1</v>
      </c>
      <c r="E69" s="9">
        <f t="shared" si="26"/>
        <v>0</v>
      </c>
      <c r="F69" s="9">
        <f t="shared" si="26"/>
        <v>0</v>
      </c>
      <c r="G69" s="9">
        <f t="shared" si="26"/>
        <v>0</v>
      </c>
      <c r="H69" s="9">
        <f t="shared" si="26"/>
        <v>0</v>
      </c>
      <c r="I69" s="9">
        <f t="shared" si="26"/>
        <v>0</v>
      </c>
      <c r="J69" s="9">
        <f t="shared" si="26"/>
        <v>0</v>
      </c>
      <c r="K69" s="9">
        <f t="shared" si="26"/>
        <v>1</v>
      </c>
      <c r="L69" s="9">
        <f t="shared" si="26"/>
        <v>0</v>
      </c>
      <c r="M69" s="9">
        <f t="shared" si="26"/>
        <v>0</v>
      </c>
      <c r="N69" s="9">
        <f t="shared" si="26"/>
        <v>0</v>
      </c>
      <c r="O69" s="9">
        <f t="shared" si="26"/>
        <v>0</v>
      </c>
      <c r="P69" s="9">
        <f t="shared" si="26"/>
        <v>0</v>
      </c>
      <c r="Q69" s="9">
        <f t="shared" si="26"/>
        <v>0</v>
      </c>
      <c r="R69" s="9">
        <f t="shared" si="26"/>
        <v>1</v>
      </c>
      <c r="S69" s="9">
        <f t="shared" si="26"/>
        <v>0</v>
      </c>
      <c r="T69" s="9">
        <f t="shared" si="26"/>
        <v>0</v>
      </c>
      <c r="U69" s="9">
        <f t="shared" si="26"/>
        <v>0</v>
      </c>
      <c r="V69" s="9">
        <f t="shared" si="26"/>
        <v>0</v>
      </c>
      <c r="W69" s="9">
        <f t="shared" si="26"/>
        <v>0</v>
      </c>
      <c r="X69" s="9">
        <f t="shared" si="26"/>
        <v>1</v>
      </c>
      <c r="Y69" s="9">
        <f t="shared" si="26"/>
        <v>0</v>
      </c>
      <c r="Z69" s="9">
        <f t="shared" si="26"/>
        <v>0</v>
      </c>
      <c r="AA69" s="9">
        <f t="shared" si="26"/>
        <v>0</v>
      </c>
      <c r="AB69" s="9">
        <f t="shared" si="26"/>
        <v>0</v>
      </c>
      <c r="AC69" s="9">
        <f t="shared" si="26"/>
        <v>0</v>
      </c>
      <c r="AD69" s="9">
        <f t="shared" si="26"/>
        <v>1</v>
      </c>
      <c r="AE69" s="9">
        <f t="shared" si="26"/>
        <v>0</v>
      </c>
      <c r="AF69" s="12">
        <f t="shared" si="25"/>
        <v>5</v>
      </c>
    </row>
    <row r="70" ht="25" hidden="1" customHeight="1" spans="1:33">
      <c r="A70" s="11" t="s">
        <v>9</v>
      </c>
      <c r="B70" s="9">
        <f t="shared" ref="B70:AE70" si="27">IF(B61="/",0,1)</f>
        <v>0</v>
      </c>
      <c r="C70" s="9">
        <f t="shared" si="27"/>
        <v>0</v>
      </c>
      <c r="D70" s="9">
        <f t="shared" si="27"/>
        <v>1</v>
      </c>
      <c r="E70" s="9">
        <f t="shared" si="27"/>
        <v>0</v>
      </c>
      <c r="F70" s="9">
        <f t="shared" si="27"/>
        <v>0</v>
      </c>
      <c r="G70" s="9">
        <f t="shared" si="27"/>
        <v>0</v>
      </c>
      <c r="H70" s="9">
        <f t="shared" si="27"/>
        <v>0</v>
      </c>
      <c r="I70" s="9">
        <f t="shared" si="27"/>
        <v>0</v>
      </c>
      <c r="J70" s="9">
        <f t="shared" si="27"/>
        <v>0</v>
      </c>
      <c r="K70" s="9">
        <f t="shared" si="27"/>
        <v>0</v>
      </c>
      <c r="L70" s="9">
        <f t="shared" si="27"/>
        <v>1</v>
      </c>
      <c r="M70" s="9">
        <f t="shared" si="27"/>
        <v>0</v>
      </c>
      <c r="N70" s="9">
        <f t="shared" si="27"/>
        <v>0</v>
      </c>
      <c r="O70" s="9">
        <f t="shared" si="27"/>
        <v>0</v>
      </c>
      <c r="P70" s="9">
        <f t="shared" si="27"/>
        <v>0</v>
      </c>
      <c r="Q70" s="9">
        <f t="shared" si="27"/>
        <v>0</v>
      </c>
      <c r="R70" s="9">
        <f t="shared" si="27"/>
        <v>0</v>
      </c>
      <c r="S70" s="9">
        <f t="shared" si="27"/>
        <v>1</v>
      </c>
      <c r="T70" s="9">
        <f t="shared" si="27"/>
        <v>0</v>
      </c>
      <c r="U70" s="9">
        <f t="shared" si="27"/>
        <v>0</v>
      </c>
      <c r="V70" s="9">
        <f t="shared" si="27"/>
        <v>0</v>
      </c>
      <c r="W70" s="9">
        <f t="shared" si="27"/>
        <v>0</v>
      </c>
      <c r="X70" s="9">
        <f t="shared" si="27"/>
        <v>0</v>
      </c>
      <c r="Y70" s="9">
        <f t="shared" si="27"/>
        <v>0</v>
      </c>
      <c r="Z70" s="9">
        <f t="shared" si="27"/>
        <v>0</v>
      </c>
      <c r="AA70" s="9">
        <f t="shared" si="27"/>
        <v>0</v>
      </c>
      <c r="AB70" s="9">
        <f t="shared" si="27"/>
        <v>0</v>
      </c>
      <c r="AC70" s="9">
        <f t="shared" si="27"/>
        <v>1</v>
      </c>
      <c r="AD70" s="9">
        <f t="shared" si="27"/>
        <v>0</v>
      </c>
      <c r="AE70" s="9">
        <f t="shared" si="27"/>
        <v>0</v>
      </c>
      <c r="AF70" s="12">
        <f t="shared" si="25"/>
        <v>4</v>
      </c>
    </row>
    <row r="71" ht="25" hidden="1" customHeight="1" spans="1:33">
      <c r="A71" s="11" t="s">
        <v>11</v>
      </c>
      <c r="B71" s="9">
        <f t="shared" ref="B71:AE71" si="28">IF(B62="/",0,1)</f>
        <v>0</v>
      </c>
      <c r="C71" s="9">
        <f t="shared" si="28"/>
        <v>0</v>
      </c>
      <c r="D71" s="9">
        <f t="shared" si="28"/>
        <v>1</v>
      </c>
      <c r="E71" s="9">
        <f t="shared" si="28"/>
        <v>0</v>
      </c>
      <c r="F71" s="9">
        <f t="shared" si="28"/>
        <v>0</v>
      </c>
      <c r="G71" s="9">
        <f t="shared" si="28"/>
        <v>0</v>
      </c>
      <c r="H71" s="9">
        <f t="shared" si="28"/>
        <v>0</v>
      </c>
      <c r="I71" s="9">
        <f t="shared" si="28"/>
        <v>0</v>
      </c>
      <c r="J71" s="9">
        <f t="shared" si="28"/>
        <v>0</v>
      </c>
      <c r="K71" s="9">
        <f t="shared" si="28"/>
        <v>0</v>
      </c>
      <c r="L71" s="9">
        <f t="shared" si="28"/>
        <v>1</v>
      </c>
      <c r="M71" s="9">
        <f t="shared" si="28"/>
        <v>0</v>
      </c>
      <c r="N71" s="9">
        <f t="shared" si="28"/>
        <v>0</v>
      </c>
      <c r="O71" s="9">
        <f t="shared" si="28"/>
        <v>0</v>
      </c>
      <c r="P71" s="9">
        <f t="shared" si="28"/>
        <v>0</v>
      </c>
      <c r="Q71" s="9">
        <f t="shared" si="28"/>
        <v>0</v>
      </c>
      <c r="R71" s="9">
        <f t="shared" si="28"/>
        <v>0</v>
      </c>
      <c r="S71" s="9">
        <f t="shared" si="28"/>
        <v>0</v>
      </c>
      <c r="T71" s="9">
        <f t="shared" si="28"/>
        <v>0</v>
      </c>
      <c r="U71" s="9">
        <f t="shared" si="28"/>
        <v>0</v>
      </c>
      <c r="V71" s="9">
        <f t="shared" si="28"/>
        <v>0</v>
      </c>
      <c r="W71" s="9">
        <f t="shared" si="28"/>
        <v>0</v>
      </c>
      <c r="X71" s="9">
        <f t="shared" si="28"/>
        <v>1</v>
      </c>
      <c r="Y71" s="9">
        <f t="shared" si="28"/>
        <v>0</v>
      </c>
      <c r="Z71" s="9">
        <f t="shared" si="28"/>
        <v>0</v>
      </c>
      <c r="AA71" s="9">
        <f t="shared" si="28"/>
        <v>0</v>
      </c>
      <c r="AB71" s="9">
        <f t="shared" si="28"/>
        <v>0</v>
      </c>
      <c r="AC71" s="9">
        <f t="shared" si="28"/>
        <v>0</v>
      </c>
      <c r="AD71" s="9">
        <f t="shared" si="28"/>
        <v>0</v>
      </c>
      <c r="AE71" s="9">
        <f t="shared" si="28"/>
        <v>0</v>
      </c>
      <c r="AF71" s="12">
        <f t="shared" si="25"/>
        <v>3</v>
      </c>
    </row>
    <row r="72" ht="25" hidden="1" customHeight="1" spans="1:33">
      <c r="A72" s="11" t="s">
        <v>12</v>
      </c>
      <c r="B72" s="9">
        <f t="shared" ref="B72:AE72" si="29">IF(B63="/",0,1)</f>
        <v>0</v>
      </c>
      <c r="C72" s="9">
        <f t="shared" si="29"/>
        <v>0</v>
      </c>
      <c r="D72" s="9">
        <f t="shared" si="29"/>
        <v>1</v>
      </c>
      <c r="E72" s="9">
        <f t="shared" si="29"/>
        <v>0</v>
      </c>
      <c r="F72" s="9">
        <f t="shared" si="29"/>
        <v>0</v>
      </c>
      <c r="G72" s="9">
        <f t="shared" si="29"/>
        <v>0</v>
      </c>
      <c r="H72" s="9">
        <f t="shared" si="29"/>
        <v>0</v>
      </c>
      <c r="I72" s="9">
        <f t="shared" si="29"/>
        <v>0</v>
      </c>
      <c r="J72" s="9">
        <f t="shared" si="29"/>
        <v>0</v>
      </c>
      <c r="K72" s="9">
        <f t="shared" si="29"/>
        <v>0</v>
      </c>
      <c r="L72" s="9">
        <f t="shared" si="29"/>
        <v>0</v>
      </c>
      <c r="M72" s="9">
        <f t="shared" si="29"/>
        <v>0</v>
      </c>
      <c r="N72" s="9">
        <f t="shared" si="29"/>
        <v>0</v>
      </c>
      <c r="O72" s="9">
        <f t="shared" si="29"/>
        <v>0</v>
      </c>
      <c r="P72" s="9">
        <f t="shared" si="29"/>
        <v>0</v>
      </c>
      <c r="Q72" s="9">
        <f t="shared" si="29"/>
        <v>0</v>
      </c>
      <c r="R72" s="9">
        <f t="shared" si="29"/>
        <v>0</v>
      </c>
      <c r="S72" s="9">
        <f t="shared" si="29"/>
        <v>1</v>
      </c>
      <c r="T72" s="9">
        <f t="shared" si="29"/>
        <v>0</v>
      </c>
      <c r="U72" s="9">
        <f t="shared" si="29"/>
        <v>0</v>
      </c>
      <c r="V72" s="9">
        <f t="shared" si="29"/>
        <v>0</v>
      </c>
      <c r="W72" s="9">
        <f t="shared" si="29"/>
        <v>0</v>
      </c>
      <c r="X72" s="9">
        <f t="shared" si="29"/>
        <v>0</v>
      </c>
      <c r="Y72" s="9">
        <f t="shared" si="29"/>
        <v>0</v>
      </c>
      <c r="Z72" s="9">
        <f t="shared" si="29"/>
        <v>0</v>
      </c>
      <c r="AA72" s="9">
        <f t="shared" si="29"/>
        <v>0</v>
      </c>
      <c r="AB72" s="9">
        <f t="shared" si="29"/>
        <v>0</v>
      </c>
      <c r="AC72" s="9">
        <f t="shared" si="29"/>
        <v>0</v>
      </c>
      <c r="AD72" s="9">
        <f t="shared" si="29"/>
        <v>0</v>
      </c>
      <c r="AE72" s="9">
        <f t="shared" si="29"/>
        <v>0</v>
      </c>
      <c r="AF72" s="12">
        <f t="shared" si="25"/>
        <v>2</v>
      </c>
    </row>
    <row r="73" ht="25" hidden="1" customHeight="1" spans="1:33">
      <c r="A73" s="11" t="s">
        <v>13</v>
      </c>
      <c r="B73" s="9">
        <f t="shared" ref="B73:AE73" si="30">IF(B64="/",0,1)</f>
        <v>0</v>
      </c>
      <c r="C73" s="9">
        <f t="shared" si="30"/>
        <v>0</v>
      </c>
      <c r="D73" s="9">
        <f t="shared" si="30"/>
        <v>0</v>
      </c>
      <c r="E73" s="9">
        <f t="shared" si="30"/>
        <v>0</v>
      </c>
      <c r="F73" s="9">
        <f t="shared" si="30"/>
        <v>0</v>
      </c>
      <c r="G73" s="9">
        <f t="shared" si="30"/>
        <v>0</v>
      </c>
      <c r="H73" s="9">
        <f t="shared" si="30"/>
        <v>0</v>
      </c>
      <c r="I73" s="9">
        <f t="shared" si="30"/>
        <v>0</v>
      </c>
      <c r="J73" s="9">
        <f t="shared" si="30"/>
        <v>1</v>
      </c>
      <c r="K73" s="9">
        <f t="shared" si="30"/>
        <v>0</v>
      </c>
      <c r="L73" s="9">
        <f t="shared" si="30"/>
        <v>0</v>
      </c>
      <c r="M73" s="9">
        <f t="shared" si="30"/>
        <v>0</v>
      </c>
      <c r="N73" s="9">
        <f t="shared" si="30"/>
        <v>0</v>
      </c>
      <c r="O73" s="9">
        <f t="shared" si="30"/>
        <v>0</v>
      </c>
      <c r="P73" s="9">
        <f t="shared" si="30"/>
        <v>1</v>
      </c>
      <c r="Q73" s="9">
        <f t="shared" si="30"/>
        <v>0</v>
      </c>
      <c r="R73" s="9">
        <f t="shared" si="30"/>
        <v>0</v>
      </c>
      <c r="S73" s="9">
        <f t="shared" si="30"/>
        <v>0</v>
      </c>
      <c r="T73" s="9">
        <f t="shared" si="30"/>
        <v>0</v>
      </c>
      <c r="U73" s="9">
        <f t="shared" si="30"/>
        <v>0</v>
      </c>
      <c r="V73" s="9">
        <f t="shared" si="30"/>
        <v>0</v>
      </c>
      <c r="W73" s="9">
        <f t="shared" si="30"/>
        <v>0</v>
      </c>
      <c r="X73" s="9">
        <f t="shared" si="30"/>
        <v>0</v>
      </c>
      <c r="Y73" s="9">
        <f t="shared" si="30"/>
        <v>0</v>
      </c>
      <c r="Z73" s="9">
        <f t="shared" si="30"/>
        <v>0</v>
      </c>
      <c r="AA73" s="9">
        <f t="shared" si="30"/>
        <v>0</v>
      </c>
      <c r="AB73" s="9">
        <f t="shared" si="30"/>
        <v>1</v>
      </c>
      <c r="AC73" s="9">
        <f t="shared" si="30"/>
        <v>0</v>
      </c>
      <c r="AD73" s="9">
        <f t="shared" si="30"/>
        <v>0</v>
      </c>
      <c r="AE73" s="9">
        <f t="shared" si="30"/>
        <v>0</v>
      </c>
      <c r="AF73" s="12">
        <f t="shared" si="25"/>
        <v>3</v>
      </c>
    </row>
    <row r="74" ht="25" hidden="1" customHeight="1"/>
    <row r="75" ht="37" customHeight="1" spans="1:33">
      <c r="A75" s="14" t="s">
        <v>17</v>
      </c>
      <c r="B75" s="14"/>
      <c r="C75" s="14"/>
      <c r="D75" s="14"/>
      <c r="E75" s="14"/>
      <c r="F75" s="15"/>
      <c r="R75"/>
    </row>
    <row r="76" ht="25" customHeight="1" spans="1:33">
      <c r="A76" s="9"/>
      <c r="B76" s="9" t="s">
        <v>6</v>
      </c>
      <c r="C76" s="9" t="s">
        <v>8</v>
      </c>
      <c r="D76" s="9" t="s">
        <v>10</v>
      </c>
      <c r="E76" s="9" t="s">
        <v>15</v>
      </c>
      <c r="F76" s="9" t="s">
        <v>18</v>
      </c>
      <c r="R76" s="16"/>
    </row>
    <row r="77" ht="25" customHeight="1" spans="1:33">
      <c r="A77" s="11" t="s">
        <v>4</v>
      </c>
      <c r="B77" s="9">
        <f t="shared" ref="B77:B82" si="31">COUNTIFS(B59:AE59,"甲")</f>
        <v>4</v>
      </c>
      <c r="C77" s="9">
        <f t="shared" ref="C77:C82" si="32">COUNTIFS(B59:AE59,"乙")</f>
        <v>0</v>
      </c>
      <c r="D77" s="9">
        <f t="shared" ref="D77:D82" si="33">COUNTIFS(B59:AE59,"丙")</f>
        <v>0</v>
      </c>
      <c r="E77" s="12">
        <f t="shared" ref="E77:E82" si="34">SUM(B77:D77)</f>
        <v>4</v>
      </c>
      <c r="F77" s="9">
        <f t="shared" ref="F77:F82" si="35">E77-AF68</f>
        <v>0</v>
      </c>
      <c r="R77" s="16"/>
    </row>
    <row r="78" ht="25" customHeight="1" spans="1:33">
      <c r="A78" s="11" t="s">
        <v>7</v>
      </c>
      <c r="B78" s="9">
        <f t="shared" si="31"/>
        <v>1</v>
      </c>
      <c r="C78" s="9">
        <f t="shared" si="32"/>
        <v>4</v>
      </c>
      <c r="D78" s="9">
        <f t="shared" si="33"/>
        <v>0</v>
      </c>
      <c r="E78" s="12">
        <f t="shared" si="34"/>
        <v>5</v>
      </c>
      <c r="F78" s="9">
        <f t="shared" si="35"/>
        <v>0</v>
      </c>
      <c r="R78" s="16"/>
    </row>
    <row r="79" ht="25" customHeight="1" spans="1:33">
      <c r="A79" s="11" t="s">
        <v>9</v>
      </c>
      <c r="B79" s="9">
        <f t="shared" si="31"/>
        <v>1</v>
      </c>
      <c r="C79" s="9">
        <f t="shared" si="32"/>
        <v>2</v>
      </c>
      <c r="D79" s="9">
        <f t="shared" si="33"/>
        <v>1</v>
      </c>
      <c r="E79" s="12">
        <f t="shared" si="34"/>
        <v>4</v>
      </c>
      <c r="F79" s="9">
        <f t="shared" si="35"/>
        <v>0</v>
      </c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</row>
    <row r="80" ht="25" customHeight="1" spans="1:33">
      <c r="A80" s="11" t="s">
        <v>11</v>
      </c>
      <c r="B80" s="9">
        <f t="shared" si="31"/>
        <v>1</v>
      </c>
      <c r="C80" s="9">
        <f t="shared" si="32"/>
        <v>2</v>
      </c>
      <c r="D80" s="9">
        <f t="shared" si="33"/>
        <v>0</v>
      </c>
      <c r="E80" s="12">
        <f t="shared" si="34"/>
        <v>3</v>
      </c>
      <c r="F80" s="9">
        <f t="shared" si="35"/>
        <v>0</v>
      </c>
      <c r="H80" s="17" t="s">
        <v>19</v>
      </c>
      <c r="I80" s="17"/>
      <c r="J80" s="17"/>
      <c r="K80" s="17"/>
      <c r="L80" s="17"/>
      <c r="M80" s="17"/>
      <c r="N80" s="17"/>
      <c r="O80" s="17"/>
      <c r="P80" s="17"/>
      <c r="Q80" s="17"/>
      <c r="R80" s="16"/>
    </row>
    <row r="81" ht="25" customHeight="1" spans="1:18">
      <c r="A81" s="11" t="s">
        <v>12</v>
      </c>
      <c r="B81" s="9">
        <f t="shared" si="31"/>
        <v>1</v>
      </c>
      <c r="C81" s="9">
        <f t="shared" si="32"/>
        <v>0</v>
      </c>
      <c r="D81" s="9">
        <f t="shared" si="33"/>
        <v>1</v>
      </c>
      <c r="E81" s="12">
        <f t="shared" si="34"/>
        <v>2</v>
      </c>
      <c r="F81" s="9">
        <f t="shared" si="35"/>
        <v>0</v>
      </c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6"/>
    </row>
    <row r="82" ht="25" customHeight="1" spans="1:18">
      <c r="A82" s="11" t="s">
        <v>13</v>
      </c>
      <c r="B82" s="9">
        <f t="shared" si="31"/>
        <v>3</v>
      </c>
      <c r="C82" s="9">
        <f t="shared" si="32"/>
        <v>0</v>
      </c>
      <c r="D82" s="9">
        <f t="shared" si="33"/>
        <v>0</v>
      </c>
      <c r="E82" s="12">
        <f t="shared" si="34"/>
        <v>3</v>
      </c>
      <c r="F82" s="9">
        <f t="shared" si="35"/>
        <v>0</v>
      </c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6"/>
    </row>
    <row r="83" ht="25" customHeight="1" spans="1:18">
      <c r="A83" s="11" t="s">
        <v>21</v>
      </c>
      <c r="B83" s="13">
        <f>SUM(B77:B82)</f>
        <v>11</v>
      </c>
      <c r="C83" s="13">
        <f>SUM(C77:C82)</f>
        <v>8</v>
      </c>
      <c r="D83" s="13">
        <f>SUM(D77:D82)</f>
        <v>2</v>
      </c>
      <c r="E83" s="19">
        <f>SUM(E77:E82)</f>
        <v>21</v>
      </c>
      <c r="F83" s="9">
        <f>E83-AG68</f>
        <v>0</v>
      </c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16"/>
    </row>
  </sheetData>
  <protectedRanges>
    <protectedRange sqref="AE4 AB7 B4:G4 H4 B5:G5 H5 I4:P4 Q4 B8:C8 D8 I5:S5 T5 B7:S7 U7:AE7 T7 E8:T8 U8 R4:V4 W4 X4 B3:W3 X3 U5:Z5 AB5:AE5 AA5 Y3:AB3 AD3:AE3 AC3 V8:AB8 AD8:AE8 AC8 Y4:AC4 AE4 AD4 B6:AD6 AE6 F32 H33 H35 E36 N36 L32 L33 R32 R35 T31 T33 X32 X34 Z31 Z33 AD32 C59 D60 D61 D62 D63 J64 P59 P64 V59 AB59 AB64" name="区域1"/>
    <protectedRange sqref="H25:Q27" name="区域2"/>
  </protectedRanges>
  <mergeCells count="18">
    <mergeCell ref="A10:AE10"/>
    <mergeCell ref="A19:E19"/>
    <mergeCell ref="H24:Q24"/>
    <mergeCell ref="H25:Q25"/>
    <mergeCell ref="H26:Q26"/>
    <mergeCell ref="H27:Q27"/>
    <mergeCell ref="A38:AE38"/>
    <mergeCell ref="A47:E47"/>
    <mergeCell ref="H52:Q52"/>
    <mergeCell ref="H53:Q53"/>
    <mergeCell ref="H54:Q54"/>
    <mergeCell ref="H55:Q55"/>
    <mergeCell ref="A66:AE66"/>
    <mergeCell ref="A75:E75"/>
    <mergeCell ref="H80:Q80"/>
    <mergeCell ref="H81:Q81"/>
    <mergeCell ref="H82:Q82"/>
    <mergeCell ref="H83:Q83"/>
  </mergeCells>
  <conditionalFormatting sqref="D24">
    <cfRule type="containsText" dxfId="0" priority="110" operator="between" text="乙">
      <formula>NOT(ISERROR(SEARCH("乙",D24)))</formula>
    </cfRule>
  </conditionalFormatting>
  <conditionalFormatting sqref="T31">
    <cfRule type="containsText" dxfId="2" priority="66" operator="between" text="甲">
      <formula>NOT(ISERROR(SEARCH("甲",T31)))</formula>
    </cfRule>
    <cfRule type="containsText" dxfId="0" priority="65" operator="between" text="乙">
      <formula>NOT(ISERROR(SEARCH("乙",T31)))</formula>
    </cfRule>
    <cfRule type="containsText" dxfId="1" priority="64" operator="between" text="丙">
      <formula>NOT(ISERROR(SEARCH("丙",T31)))</formula>
    </cfRule>
  </conditionalFormatting>
  <conditionalFormatting sqref="Z31">
    <cfRule type="containsText" dxfId="2" priority="54" operator="between" text="甲">
      <formula>NOT(ISERROR(SEARCH("甲",Z31)))</formula>
    </cfRule>
    <cfRule type="containsText" dxfId="0" priority="53" operator="between" text="乙">
      <formula>NOT(ISERROR(SEARCH("乙",Z31)))</formula>
    </cfRule>
    <cfRule type="containsText" dxfId="1" priority="52" operator="between" text="丙">
      <formula>NOT(ISERROR(SEARCH("丙",Z31)))</formula>
    </cfRule>
  </conditionalFormatting>
  <conditionalFormatting sqref="F32">
    <cfRule type="containsText" dxfId="2" priority="99" operator="between" text="甲">
      <formula>NOT(ISERROR(SEARCH("甲",F32)))</formula>
    </cfRule>
    <cfRule type="containsText" dxfId="0" priority="98" operator="between" text="乙">
      <formula>NOT(ISERROR(SEARCH("乙",F32)))</formula>
    </cfRule>
    <cfRule type="containsText" dxfId="1" priority="97" operator="between" text="丙">
      <formula>NOT(ISERROR(SEARCH("丙",F32)))</formula>
    </cfRule>
  </conditionalFormatting>
  <conditionalFormatting sqref="L32">
    <cfRule type="containsText" dxfId="2" priority="81" operator="between" text="甲">
      <formula>NOT(ISERROR(SEARCH("甲",L32)))</formula>
    </cfRule>
    <cfRule type="containsText" dxfId="0" priority="80" operator="between" text="乙">
      <formula>NOT(ISERROR(SEARCH("乙",L32)))</formula>
    </cfRule>
    <cfRule type="containsText" dxfId="1" priority="79" operator="between" text="丙">
      <formula>NOT(ISERROR(SEARCH("丙",L32)))</formula>
    </cfRule>
  </conditionalFormatting>
  <conditionalFormatting sqref="R32">
    <cfRule type="containsText" dxfId="2" priority="72" operator="between" text="甲">
      <formula>NOT(ISERROR(SEARCH("甲",R32)))</formula>
    </cfRule>
    <cfRule type="containsText" dxfId="0" priority="71" operator="between" text="乙">
      <formula>NOT(ISERROR(SEARCH("乙",R32)))</formula>
    </cfRule>
    <cfRule type="containsText" dxfId="1" priority="70" operator="between" text="丙">
      <formula>NOT(ISERROR(SEARCH("丙",R32)))</formula>
    </cfRule>
  </conditionalFormatting>
  <conditionalFormatting sqref="X32">
    <cfRule type="containsText" dxfId="2" priority="60" operator="between" text="甲">
      <formula>NOT(ISERROR(SEARCH("甲",X32)))</formula>
    </cfRule>
    <cfRule type="containsText" dxfId="0" priority="59" operator="between" text="乙">
      <formula>NOT(ISERROR(SEARCH("乙",X32)))</formula>
    </cfRule>
    <cfRule type="containsText" dxfId="1" priority="58" operator="between" text="丙">
      <formula>NOT(ISERROR(SEARCH("丙",X32)))</formula>
    </cfRule>
  </conditionalFormatting>
  <conditionalFormatting sqref="AD32">
    <cfRule type="containsText" dxfId="2" priority="48" operator="between" text="甲">
      <formula>NOT(ISERROR(SEARCH("甲",AD32)))</formula>
    </cfRule>
    <cfRule type="containsText" dxfId="0" priority="47" operator="between" text="乙">
      <formula>NOT(ISERROR(SEARCH("乙",AD32)))</formula>
    </cfRule>
    <cfRule type="containsText" dxfId="1" priority="46" operator="between" text="丙">
      <formula>NOT(ISERROR(SEARCH("丙",AD32)))</formula>
    </cfRule>
  </conditionalFormatting>
  <conditionalFormatting sqref="H33">
    <cfRule type="containsText" dxfId="2" priority="96" operator="between" text="甲">
      <formula>NOT(ISERROR(SEARCH("甲",H33)))</formula>
    </cfRule>
    <cfRule type="containsText" dxfId="0" priority="95" operator="between" text="乙">
      <formula>NOT(ISERROR(SEARCH("乙",H33)))</formula>
    </cfRule>
    <cfRule type="containsText" dxfId="1" priority="94" operator="between" text="丙">
      <formula>NOT(ISERROR(SEARCH("丙",H33)))</formula>
    </cfRule>
  </conditionalFormatting>
  <conditionalFormatting sqref="L33">
    <cfRule type="containsText" dxfId="2" priority="75" operator="between" text="甲">
      <formula>NOT(ISERROR(SEARCH("甲",L33)))</formula>
    </cfRule>
    <cfRule type="containsText" dxfId="0" priority="74" operator="between" text="乙">
      <formula>NOT(ISERROR(SEARCH("乙",L33)))</formula>
    </cfRule>
    <cfRule type="containsText" dxfId="1" priority="73" operator="between" text="丙">
      <formula>NOT(ISERROR(SEARCH("丙",L33)))</formula>
    </cfRule>
  </conditionalFormatting>
  <conditionalFormatting sqref="T33">
    <cfRule type="containsText" dxfId="2" priority="63" operator="between" text="甲">
      <formula>NOT(ISERROR(SEARCH("甲",T33)))</formula>
    </cfRule>
    <cfRule type="containsText" dxfId="0" priority="62" operator="between" text="乙">
      <formula>NOT(ISERROR(SEARCH("乙",T33)))</formula>
    </cfRule>
    <cfRule type="containsText" dxfId="1" priority="61" operator="between" text="丙">
      <formula>NOT(ISERROR(SEARCH("丙",T33)))</formula>
    </cfRule>
  </conditionalFormatting>
  <conditionalFormatting sqref="Z33">
    <cfRule type="containsText" dxfId="2" priority="51" operator="between" text="甲">
      <formula>NOT(ISERROR(SEARCH("甲",Z33)))</formula>
    </cfRule>
    <cfRule type="containsText" dxfId="0" priority="50" operator="between" text="乙">
      <formula>NOT(ISERROR(SEARCH("乙",Z33)))</formula>
    </cfRule>
    <cfRule type="containsText" dxfId="1" priority="49" operator="between" text="丙">
      <formula>NOT(ISERROR(SEARCH("丙",Z33)))</formula>
    </cfRule>
  </conditionalFormatting>
  <conditionalFormatting sqref="X34">
    <cfRule type="containsText" dxfId="2" priority="57" operator="between" text="甲">
      <formula>NOT(ISERROR(SEARCH("甲",X34)))</formula>
    </cfRule>
    <cfRule type="containsText" dxfId="0" priority="56" operator="between" text="乙">
      <formula>NOT(ISERROR(SEARCH("乙",X34)))</formula>
    </cfRule>
    <cfRule type="containsText" dxfId="1" priority="55" operator="between" text="丙">
      <formula>NOT(ISERROR(SEARCH("丙",X34)))</formula>
    </cfRule>
  </conditionalFormatting>
  <conditionalFormatting sqref="H35">
    <cfRule type="containsText" dxfId="2" priority="93" operator="between" text="甲">
      <formula>NOT(ISERROR(SEARCH("甲",H35)))</formula>
    </cfRule>
    <cfRule type="containsText" dxfId="0" priority="92" operator="between" text="乙">
      <formula>NOT(ISERROR(SEARCH("乙",H35)))</formula>
    </cfRule>
    <cfRule type="containsText" dxfId="1" priority="91" operator="between" text="丙">
      <formula>NOT(ISERROR(SEARCH("丙",H35)))</formula>
    </cfRule>
  </conditionalFormatting>
  <conditionalFormatting sqref="R35">
    <cfRule type="containsText" dxfId="2" priority="69" operator="between" text="甲">
      <formula>NOT(ISERROR(SEARCH("甲",R35)))</formula>
    </cfRule>
    <cfRule type="containsText" dxfId="0" priority="68" operator="between" text="乙">
      <formula>NOT(ISERROR(SEARCH("乙",R35)))</formula>
    </cfRule>
    <cfRule type="containsText" dxfId="1" priority="67" operator="between" text="丙">
      <formula>NOT(ISERROR(SEARCH("丙",R35)))</formula>
    </cfRule>
  </conditionalFormatting>
  <conditionalFormatting sqref="E36">
    <cfRule type="containsText" dxfId="2" priority="90" operator="between" text="甲">
      <formula>NOT(ISERROR(SEARCH("甲",E36)))</formula>
    </cfRule>
    <cfRule type="containsText" dxfId="0" priority="89" operator="between" text="乙">
      <formula>NOT(ISERROR(SEARCH("乙",E36)))</formula>
    </cfRule>
    <cfRule type="containsText" dxfId="1" priority="88" operator="between" text="丙">
      <formula>NOT(ISERROR(SEARCH("丙",E36)))</formula>
    </cfRule>
  </conditionalFormatting>
  <conditionalFormatting sqref="N36">
    <cfRule type="containsText" dxfId="2" priority="84" operator="between" text="甲">
      <formula>NOT(ISERROR(SEARCH("甲",N36)))</formula>
    </cfRule>
    <cfRule type="containsText" dxfId="0" priority="83" operator="between" text="乙">
      <formula>NOT(ISERROR(SEARCH("乙",N36)))</formula>
    </cfRule>
    <cfRule type="containsText" dxfId="1" priority="82" operator="between" text="丙">
      <formula>NOT(ISERROR(SEARCH("丙",N36)))</formula>
    </cfRule>
  </conditionalFormatting>
  <conditionalFormatting sqref="D52">
    <cfRule type="containsText" dxfId="0" priority="106" operator="between" text="乙">
      <formula>NOT(ISERROR(SEARCH("乙",D52)))</formula>
    </cfRule>
  </conditionalFormatting>
  <conditionalFormatting sqref="C59">
    <cfRule type="containsText" dxfId="2" priority="45" operator="between" text="甲">
      <formula>NOT(ISERROR(SEARCH("甲",C59)))</formula>
    </cfRule>
    <cfRule type="containsText" dxfId="0" priority="44" operator="between" text="乙">
      <formula>NOT(ISERROR(SEARCH("乙",C59)))</formula>
    </cfRule>
    <cfRule type="containsText" dxfId="1" priority="43" operator="between" text="丙">
      <formula>NOT(ISERROR(SEARCH("丙",C59)))</formula>
    </cfRule>
  </conditionalFormatting>
  <conditionalFormatting sqref="P59">
    <cfRule type="containsText" dxfId="2" priority="21" operator="between" text="甲">
      <formula>NOT(ISERROR(SEARCH("甲",P59)))</formula>
    </cfRule>
    <cfRule type="containsText" dxfId="0" priority="20" operator="between" text="乙">
      <formula>NOT(ISERROR(SEARCH("乙",P59)))</formula>
    </cfRule>
    <cfRule type="containsText" dxfId="1" priority="19" operator="between" text="丙">
      <formula>NOT(ISERROR(SEARCH("丙",P59)))</formula>
    </cfRule>
  </conditionalFormatting>
  <conditionalFormatting sqref="Q59">
    <cfRule type="containsText" dxfId="2" priority="15" operator="between" text="甲">
      <formula>NOT(ISERROR(SEARCH("甲",Q59)))</formula>
    </cfRule>
    <cfRule type="containsText" dxfId="0" priority="14" operator="between" text="乙">
      <formula>NOT(ISERROR(SEARCH("乙",Q59)))</formula>
    </cfRule>
    <cfRule type="containsText" dxfId="1" priority="13" operator="between" text="丙">
      <formula>NOT(ISERROR(SEARCH("丙",Q59)))</formula>
    </cfRule>
  </conditionalFormatting>
  <conditionalFormatting sqref="V59">
    <cfRule type="containsText" dxfId="2" priority="9" operator="between" text="甲">
      <formula>NOT(ISERROR(SEARCH("甲",V59)))</formula>
    </cfRule>
    <cfRule type="containsText" dxfId="0" priority="8" operator="between" text="乙">
      <formula>NOT(ISERROR(SEARCH("乙",V59)))</formula>
    </cfRule>
    <cfRule type="containsText" dxfId="1" priority="7" operator="between" text="丙">
      <formula>NOT(ISERROR(SEARCH("丙",V59)))</formula>
    </cfRule>
  </conditionalFormatting>
  <conditionalFormatting sqref="AB59">
    <cfRule type="containsText" dxfId="2" priority="6" operator="between" text="甲">
      <formula>NOT(ISERROR(SEARCH("甲",AB59)))</formula>
    </cfRule>
    <cfRule type="containsText" dxfId="0" priority="5" operator="between" text="乙">
      <formula>NOT(ISERROR(SEARCH("乙",AB59)))</formula>
    </cfRule>
    <cfRule type="containsText" dxfId="1" priority="4" operator="between" text="丙">
      <formula>NOT(ISERROR(SEARCH("丙",AB59)))</formula>
    </cfRule>
  </conditionalFormatting>
  <conditionalFormatting sqref="D60">
    <cfRule type="containsText" dxfId="2" priority="42" operator="between" text="甲">
      <formula>NOT(ISERROR(SEARCH("甲",D60)))</formula>
    </cfRule>
    <cfRule type="containsText" dxfId="0" priority="41" operator="between" text="乙">
      <formula>NOT(ISERROR(SEARCH("乙",D60)))</formula>
    </cfRule>
    <cfRule type="containsText" dxfId="1" priority="40" operator="between" text="丙">
      <formula>NOT(ISERROR(SEARCH("丙",D60)))</formula>
    </cfRule>
  </conditionalFormatting>
  <conditionalFormatting sqref="D61">
    <cfRule type="containsText" dxfId="2" priority="39" operator="between" text="甲">
      <formula>NOT(ISERROR(SEARCH("甲",D61)))</formula>
    </cfRule>
    <cfRule type="containsText" dxfId="0" priority="38" operator="between" text="乙">
      <formula>NOT(ISERROR(SEARCH("乙",D61)))</formula>
    </cfRule>
    <cfRule type="containsText" dxfId="1" priority="37" operator="between" text="丙">
      <formula>NOT(ISERROR(SEARCH("丙",D61)))</formula>
    </cfRule>
  </conditionalFormatting>
  <conditionalFormatting sqref="D62">
    <cfRule type="containsText" dxfId="2" priority="36" operator="between" text="甲">
      <formula>NOT(ISERROR(SEARCH("甲",D62)))</formula>
    </cfRule>
    <cfRule type="containsText" dxfId="0" priority="35" operator="between" text="乙">
      <formula>NOT(ISERROR(SEARCH("乙",D62)))</formula>
    </cfRule>
    <cfRule type="containsText" dxfId="1" priority="34" operator="between" text="丙">
      <formula>NOT(ISERROR(SEARCH("丙",D62)))</formula>
    </cfRule>
  </conditionalFormatting>
  <conditionalFormatting sqref="D63">
    <cfRule type="containsText" dxfId="2" priority="33" operator="between" text="甲">
      <formula>NOT(ISERROR(SEARCH("甲",D63)))</formula>
    </cfRule>
    <cfRule type="containsText" dxfId="0" priority="32" operator="between" text="乙">
      <formula>NOT(ISERROR(SEARCH("乙",D63)))</formula>
    </cfRule>
    <cfRule type="containsText" dxfId="1" priority="31" operator="between" text="丙">
      <formula>NOT(ISERROR(SEARCH("丙",D63)))</formula>
    </cfRule>
  </conditionalFormatting>
  <conditionalFormatting sqref="J64">
    <cfRule type="containsText" dxfId="2" priority="30" operator="between" text="甲">
      <formula>NOT(ISERROR(SEARCH("甲",J64)))</formula>
    </cfRule>
    <cfRule type="containsText" dxfId="0" priority="29" operator="between" text="乙">
      <formula>NOT(ISERROR(SEARCH("乙",J64)))</formula>
    </cfRule>
    <cfRule type="containsText" dxfId="1" priority="28" operator="between" text="丙">
      <formula>NOT(ISERROR(SEARCH("丙",J64)))</formula>
    </cfRule>
  </conditionalFormatting>
  <conditionalFormatting sqref="P64">
    <cfRule type="containsText" dxfId="2" priority="18" operator="between" text="甲">
      <formula>NOT(ISERROR(SEARCH("甲",P64)))</formula>
    </cfRule>
    <cfRule type="containsText" dxfId="0" priority="17" operator="between" text="乙">
      <formula>NOT(ISERROR(SEARCH("乙",P64)))</formula>
    </cfRule>
    <cfRule type="containsText" dxfId="1" priority="16" operator="between" text="丙">
      <formula>NOT(ISERROR(SEARCH("丙",P64)))</formula>
    </cfRule>
  </conditionalFormatting>
  <conditionalFormatting sqref="Q64">
    <cfRule type="containsText" dxfId="2" priority="12" operator="between" text="甲">
      <formula>NOT(ISERROR(SEARCH("甲",Q64)))</formula>
    </cfRule>
    <cfRule type="containsText" dxfId="0" priority="11" operator="between" text="乙">
      <formula>NOT(ISERROR(SEARCH("乙",Q64)))</formula>
    </cfRule>
    <cfRule type="containsText" dxfId="1" priority="10" operator="between" text="丙">
      <formula>NOT(ISERROR(SEARCH("丙",Q64)))</formula>
    </cfRule>
  </conditionalFormatting>
  <conditionalFormatting sqref="AB64">
    <cfRule type="containsText" dxfId="2" priority="3" operator="between" text="甲">
      <formula>NOT(ISERROR(SEARCH("甲",AB64)))</formula>
    </cfRule>
    <cfRule type="containsText" dxfId="0" priority="2" operator="between" text="乙">
      <formula>NOT(ISERROR(SEARCH("乙",AB64)))</formula>
    </cfRule>
    <cfRule type="containsText" dxfId="1" priority="1" operator="between" text="丙">
      <formula>NOT(ISERROR(SEARCH("丙",AB64)))</formula>
    </cfRule>
  </conditionalFormatting>
  <conditionalFormatting sqref="D80">
    <cfRule type="containsText" dxfId="0" priority="102" operator="between" text="乙">
      <formula>NOT(ISERROR(SEARCH("乙",D80)))</formula>
    </cfRule>
  </conditionalFormatting>
  <conditionalFormatting sqref="B3:AE8">
    <cfRule type="containsText" dxfId="1" priority="108" operator="between" text="丙">
      <formula>NOT(ISERROR(SEARCH("丙",B3)))</formula>
    </cfRule>
    <cfRule type="containsText" dxfId="0" priority="109" operator="between" text="乙">
      <formula>NOT(ISERROR(SEARCH("乙",B3)))</formula>
    </cfRule>
    <cfRule type="containsText" dxfId="2" priority="111" operator="between" text="甲">
      <formula>NOT(ISERROR(SEARCH("甲",B3)))</formula>
    </cfRule>
  </conditionalFormatting>
  <conditionalFormatting sqref="B31:S31 U31:Y31 AA31:AF31 B32:E32 G32:K32 M32:Q32 S32:W32 Y32:AC32 AE32:AF32 B33:G33 I33:K33 M33:S33 U33:Y33 AA33:AF33 B34:W34 Y34:AF34 B35:G35 I35:Q35 S35:AF35 B36:D36 F36:M36 O36:AF36">
    <cfRule type="containsText" dxfId="2" priority="107" operator="between" text="甲">
      <formula>NOT(ISERROR(SEARCH("甲",B31)))</formula>
    </cfRule>
    <cfRule type="containsText" dxfId="0" priority="105" operator="between" text="乙">
      <formula>NOT(ISERROR(SEARCH("乙",B31)))</formula>
    </cfRule>
    <cfRule type="containsText" dxfId="1" priority="104" operator="between" text="丙">
      <formula>NOT(ISERROR(SEARCH("丙",B31)))</formula>
    </cfRule>
  </conditionalFormatting>
  <conditionalFormatting sqref="B59 D59:O59 R59:U59 W59:AA59 AC59:AE59 B60:C60 E60:AE60 B61:C61 E61:AE61 B62:C62 E62:AE62 B63:C63 E63:AE63 B64:I64 K64:O64 R64:AA64 AC64:AE64">
    <cfRule type="containsText" dxfId="2" priority="103" operator="between" text="甲">
      <formula>NOT(ISERROR(SEARCH("甲",B59)))</formula>
    </cfRule>
    <cfRule type="containsText" dxfId="0" priority="101" operator="between" text="乙">
      <formula>NOT(ISERROR(SEARCH("乙",B59)))</formula>
    </cfRule>
    <cfRule type="containsText" dxfId="1" priority="100" operator="between" text="丙">
      <formula>NOT(ISERROR(SEARCH("丙",B59)))</formula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8"/>
  <sheetViews>
    <sheetView zoomScale="85" zoomScaleNormal="85" topLeftCell="A9" workbookViewId="0">
      <selection activeCell="AH14" sqref="AH14"/>
    </sheetView>
  </sheetViews>
  <sheetFormatPr defaultColWidth="9" defaultRowHeight="13.5"/>
  <cols>
    <col min="1" max="1" width="15.0083333333333" style="2" customWidth="1"/>
    <col min="2" max="34" width="6.625" style="1" customWidth="1"/>
    <col min="35" max="16383" width="9" style="1"/>
  </cols>
  <sheetData>
    <row r="1" s="1" customFormat="1" ht="45" customHeight="1" spans="1:34 16384:16384">
      <c r="A1" s="3" t="s">
        <v>83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XFD1"/>
    </row>
    <row r="2" s="1" customFormat="1" ht="30" customHeight="1" spans="1:34 16384:16384">
      <c r="A2" s="5"/>
      <c r="B2" s="6" t="s">
        <v>32</v>
      </c>
      <c r="C2" s="6" t="s">
        <v>33</v>
      </c>
      <c r="D2" s="6" t="s">
        <v>34</v>
      </c>
      <c r="E2" s="6" t="s">
        <v>35</v>
      </c>
      <c r="F2" s="6" t="s">
        <v>36</v>
      </c>
      <c r="G2" s="6" t="s">
        <v>37</v>
      </c>
      <c r="H2" s="6" t="s">
        <v>38</v>
      </c>
      <c r="I2" s="6" t="s">
        <v>39</v>
      </c>
      <c r="J2" s="6" t="s">
        <v>40</v>
      </c>
      <c r="K2" s="6" t="s">
        <v>41</v>
      </c>
      <c r="L2" s="6" t="s">
        <v>42</v>
      </c>
      <c r="M2" s="6" t="s">
        <v>43</v>
      </c>
      <c r="N2" s="6" t="s">
        <v>44</v>
      </c>
      <c r="O2" s="6" t="s">
        <v>45</v>
      </c>
      <c r="P2" s="7">
        <v>4.15</v>
      </c>
      <c r="Q2" s="7">
        <v>4.16</v>
      </c>
      <c r="R2" s="7">
        <v>4.17</v>
      </c>
      <c r="S2" s="7">
        <v>4.18</v>
      </c>
      <c r="T2" s="7">
        <v>4.19</v>
      </c>
      <c r="U2" s="6" t="s">
        <v>46</v>
      </c>
      <c r="V2" s="7">
        <v>4.21</v>
      </c>
      <c r="W2" s="7">
        <v>4.22</v>
      </c>
      <c r="X2" s="7">
        <v>4.23</v>
      </c>
      <c r="Y2" s="7">
        <v>4.24</v>
      </c>
      <c r="Z2" s="7">
        <v>4.25</v>
      </c>
      <c r="AA2" s="7">
        <v>4.26</v>
      </c>
      <c r="AB2" s="7">
        <v>4.27</v>
      </c>
      <c r="AC2" s="7">
        <v>4.28</v>
      </c>
      <c r="AD2" s="7">
        <v>4.29</v>
      </c>
      <c r="AE2" s="6" t="s">
        <v>47</v>
      </c>
      <c r="AF2" s="7"/>
      <c r="AG2" s="8"/>
      <c r="AH2" s="8"/>
    </row>
    <row r="3" s="1" customFormat="1" ht="45" customHeight="1" spans="1:34 16384:16384">
      <c r="A3" s="5" t="s">
        <v>84</v>
      </c>
      <c r="B3" s="9" t="s">
        <v>5</v>
      </c>
      <c r="C3" s="9" t="s">
        <v>5</v>
      </c>
      <c r="D3" s="9" t="s">
        <v>5</v>
      </c>
      <c r="E3" s="9" t="s">
        <v>5</v>
      </c>
      <c r="F3" s="9" t="s">
        <v>5</v>
      </c>
      <c r="G3" s="9" t="s">
        <v>5</v>
      </c>
      <c r="H3" s="9" t="s">
        <v>5</v>
      </c>
      <c r="I3" s="9" t="s">
        <v>5</v>
      </c>
      <c r="J3" s="9" t="s">
        <v>5</v>
      </c>
      <c r="K3" s="9" t="s">
        <v>5</v>
      </c>
      <c r="L3" s="9" t="s">
        <v>5</v>
      </c>
      <c r="M3" s="9" t="s">
        <v>5</v>
      </c>
      <c r="N3" s="9" t="s">
        <v>5</v>
      </c>
      <c r="O3" s="9" t="s">
        <v>5</v>
      </c>
      <c r="P3" s="9" t="s">
        <v>5</v>
      </c>
      <c r="Q3" s="9" t="s">
        <v>5</v>
      </c>
      <c r="R3" s="9" t="s">
        <v>5</v>
      </c>
      <c r="S3" s="9" t="s">
        <v>5</v>
      </c>
      <c r="T3" s="9" t="s">
        <v>5</v>
      </c>
      <c r="U3" s="9" t="s">
        <v>5</v>
      </c>
      <c r="V3" s="9" t="s">
        <v>5</v>
      </c>
      <c r="W3" s="9" t="s">
        <v>6</v>
      </c>
      <c r="X3" s="9" t="s">
        <v>5</v>
      </c>
      <c r="Y3" s="9" t="s">
        <v>5</v>
      </c>
      <c r="Z3" s="9" t="s">
        <v>5</v>
      </c>
      <c r="AA3" s="9" t="s">
        <v>5</v>
      </c>
      <c r="AB3" s="9" t="s">
        <v>5</v>
      </c>
      <c r="AC3" s="9" t="s">
        <v>5</v>
      </c>
      <c r="AD3" s="9" t="s">
        <v>5</v>
      </c>
      <c r="AE3" s="9" t="s">
        <v>5</v>
      </c>
      <c r="AF3" s="9"/>
      <c r="XFD3"/>
    </row>
    <row r="4" ht="45" customHeight="1"/>
    <row r="5" ht="45" customHeight="1" spans="1:34 16384:16384">
      <c r="A5" s="3" t="s">
        <v>85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ht="45" customHeight="1" spans="1:34 16384:16384">
      <c r="A6" s="5"/>
      <c r="B6" s="6" t="s">
        <v>50</v>
      </c>
      <c r="C6" s="6" t="s">
        <v>51</v>
      </c>
      <c r="D6" s="6" t="s">
        <v>52</v>
      </c>
      <c r="E6" s="6" t="s">
        <v>53</v>
      </c>
      <c r="F6" s="6" t="s">
        <v>54</v>
      </c>
      <c r="G6" s="6" t="s">
        <v>55</v>
      </c>
      <c r="H6" s="6" t="s">
        <v>56</v>
      </c>
      <c r="I6" s="6" t="s">
        <v>57</v>
      </c>
      <c r="J6" s="6" t="s">
        <v>58</v>
      </c>
      <c r="K6" s="6" t="s">
        <v>59</v>
      </c>
      <c r="L6" s="6" t="s">
        <v>60</v>
      </c>
      <c r="M6" s="6" t="s">
        <v>61</v>
      </c>
      <c r="N6" s="6" t="s">
        <v>62</v>
      </c>
      <c r="O6" s="6" t="s">
        <v>63</v>
      </c>
      <c r="P6" s="7">
        <v>5.15</v>
      </c>
      <c r="Q6" s="7">
        <v>5.16</v>
      </c>
      <c r="R6" s="7">
        <v>5.17</v>
      </c>
      <c r="S6" s="7">
        <v>5.18</v>
      </c>
      <c r="T6" s="7">
        <v>5.19</v>
      </c>
      <c r="U6" s="6" t="s">
        <v>64</v>
      </c>
      <c r="V6" s="7">
        <v>5.21</v>
      </c>
      <c r="W6" s="7">
        <v>5.22</v>
      </c>
      <c r="X6" s="7">
        <v>5.23</v>
      </c>
      <c r="Y6" s="7">
        <v>5.24</v>
      </c>
      <c r="Z6" s="7">
        <v>5.25</v>
      </c>
      <c r="AA6" s="7">
        <v>5.26</v>
      </c>
      <c r="AB6" s="7">
        <v>5.27</v>
      </c>
      <c r="AC6" s="7">
        <v>5.28</v>
      </c>
      <c r="AD6" s="7">
        <v>5.29</v>
      </c>
      <c r="AE6" s="6" t="s">
        <v>65</v>
      </c>
      <c r="AF6" s="7">
        <v>5.31</v>
      </c>
    </row>
    <row r="7" ht="45" customHeight="1" spans="1:34 16384:16384">
      <c r="A7" s="5" t="s">
        <v>86</v>
      </c>
      <c r="B7" s="9" t="s">
        <v>5</v>
      </c>
      <c r="C7" s="9" t="s">
        <v>5</v>
      </c>
      <c r="D7" s="9" t="s">
        <v>5</v>
      </c>
      <c r="E7" s="9" t="s">
        <v>5</v>
      </c>
      <c r="F7" s="9" t="s">
        <v>5</v>
      </c>
      <c r="G7" s="9" t="s">
        <v>5</v>
      </c>
      <c r="H7" s="9" t="s">
        <v>5</v>
      </c>
      <c r="I7" s="9" t="s">
        <v>5</v>
      </c>
      <c r="J7" s="9" t="s">
        <v>5</v>
      </c>
      <c r="K7" s="9" t="s">
        <v>5</v>
      </c>
      <c r="L7" s="9" t="s">
        <v>5</v>
      </c>
      <c r="M7" s="9" t="s">
        <v>5</v>
      </c>
      <c r="N7" s="9" t="s">
        <v>5</v>
      </c>
      <c r="O7" s="9" t="s">
        <v>5</v>
      </c>
      <c r="P7" s="9" t="s">
        <v>5</v>
      </c>
      <c r="Q7" s="9" t="s">
        <v>5</v>
      </c>
      <c r="R7" s="9" t="s">
        <v>5</v>
      </c>
      <c r="S7" s="9" t="s">
        <v>5</v>
      </c>
      <c r="T7" s="9" t="s">
        <v>5</v>
      </c>
      <c r="U7" s="9" t="s">
        <v>5</v>
      </c>
      <c r="V7" s="9" t="s">
        <v>5</v>
      </c>
      <c r="W7" s="9" t="s">
        <v>5</v>
      </c>
      <c r="X7" s="9" t="s">
        <v>8</v>
      </c>
      <c r="Y7" s="9" t="s">
        <v>5</v>
      </c>
      <c r="Z7" s="9" t="s">
        <v>5</v>
      </c>
      <c r="AA7" s="9" t="s">
        <v>5</v>
      </c>
      <c r="AB7" s="9" t="s">
        <v>5</v>
      </c>
      <c r="AC7" s="9" t="s">
        <v>5</v>
      </c>
      <c r="AD7" s="9" t="s">
        <v>5</v>
      </c>
      <c r="AE7" s="9" t="s">
        <v>5</v>
      </c>
      <c r="AF7" s="9" t="s">
        <v>5</v>
      </c>
    </row>
    <row r="8" ht="45" customHeight="1" spans="1:34 16384:16384">
      <c r="A8" s="5" t="s">
        <v>87</v>
      </c>
      <c r="B8" s="9" t="s">
        <v>5</v>
      </c>
      <c r="C8" s="9" t="s">
        <v>5</v>
      </c>
      <c r="D8" s="9" t="s">
        <v>5</v>
      </c>
      <c r="E8" s="9" t="s">
        <v>5</v>
      </c>
      <c r="F8" s="9" t="s">
        <v>5</v>
      </c>
      <c r="G8" s="9" t="s">
        <v>5</v>
      </c>
      <c r="H8" s="9" t="s">
        <v>5</v>
      </c>
      <c r="I8" s="9" t="s">
        <v>5</v>
      </c>
      <c r="J8" s="9" t="s">
        <v>5</v>
      </c>
      <c r="K8" s="9" t="s">
        <v>5</v>
      </c>
      <c r="L8" s="9" t="s">
        <v>5</v>
      </c>
      <c r="M8" s="9" t="s">
        <v>5</v>
      </c>
      <c r="N8" s="9" t="s">
        <v>5</v>
      </c>
      <c r="O8" s="9" t="s">
        <v>5</v>
      </c>
      <c r="P8" s="9" t="s">
        <v>5</v>
      </c>
      <c r="Q8" s="9" t="s">
        <v>5</v>
      </c>
      <c r="R8" s="9" t="s">
        <v>5</v>
      </c>
      <c r="S8" s="9" t="s">
        <v>5</v>
      </c>
      <c r="T8" s="9" t="s">
        <v>5</v>
      </c>
      <c r="U8" s="9" t="s">
        <v>5</v>
      </c>
      <c r="V8" s="9" t="s">
        <v>5</v>
      </c>
      <c r="W8" s="9" t="s">
        <v>5</v>
      </c>
      <c r="X8" s="9" t="s">
        <v>8</v>
      </c>
      <c r="Y8" s="9" t="s">
        <v>5</v>
      </c>
      <c r="Z8" s="9" t="s">
        <v>5</v>
      </c>
      <c r="AA8" s="9" t="s">
        <v>5</v>
      </c>
      <c r="AB8" s="9" t="s">
        <v>5</v>
      </c>
      <c r="AC8" s="9" t="s">
        <v>5</v>
      </c>
      <c r="AD8" s="9" t="s">
        <v>5</v>
      </c>
      <c r="AE8" s="9" t="s">
        <v>5</v>
      </c>
      <c r="AF8" s="9" t="s">
        <v>5</v>
      </c>
    </row>
    <row r="9" ht="45" customHeight="1" spans="1:34 16384:16384">
      <c r="A9" s="5" t="s">
        <v>88</v>
      </c>
      <c r="B9" s="9" t="s">
        <v>5</v>
      </c>
      <c r="C9" s="9" t="s">
        <v>5</v>
      </c>
      <c r="D9" s="9" t="s">
        <v>5</v>
      </c>
      <c r="E9" s="9" t="s">
        <v>5</v>
      </c>
      <c r="F9" s="9" t="s">
        <v>5</v>
      </c>
      <c r="G9" s="9" t="s">
        <v>5</v>
      </c>
      <c r="H9" s="9" t="s">
        <v>5</v>
      </c>
      <c r="I9" s="9" t="s">
        <v>5</v>
      </c>
      <c r="J9" s="9" t="s">
        <v>5</v>
      </c>
      <c r="K9" s="9" t="s">
        <v>5</v>
      </c>
      <c r="L9" s="9" t="s">
        <v>5</v>
      </c>
      <c r="M9" s="9" t="s">
        <v>5</v>
      </c>
      <c r="N9" s="9" t="s">
        <v>5</v>
      </c>
      <c r="O9" s="9" t="s">
        <v>5</v>
      </c>
      <c r="P9" s="9" t="s">
        <v>5</v>
      </c>
      <c r="Q9" s="9" t="s">
        <v>5</v>
      </c>
      <c r="R9" s="9" t="s">
        <v>5</v>
      </c>
      <c r="S9" s="9" t="s">
        <v>5</v>
      </c>
      <c r="T9" s="9" t="s">
        <v>5</v>
      </c>
      <c r="U9" s="9" t="s">
        <v>5</v>
      </c>
      <c r="V9" s="9" t="s">
        <v>5</v>
      </c>
      <c r="W9" s="9" t="s">
        <v>5</v>
      </c>
      <c r="X9" s="9" t="s">
        <v>8</v>
      </c>
      <c r="Y9" s="9" t="s">
        <v>5</v>
      </c>
      <c r="Z9" s="9" t="s">
        <v>5</v>
      </c>
      <c r="AA9" s="9" t="s">
        <v>5</v>
      </c>
      <c r="AB9" s="9" t="s">
        <v>5</v>
      </c>
      <c r="AC9" s="9" t="s">
        <v>5</v>
      </c>
      <c r="AD9" s="9" t="s">
        <v>5</v>
      </c>
      <c r="AE9" s="9" t="s">
        <v>5</v>
      </c>
      <c r="AF9" s="9" t="s">
        <v>5</v>
      </c>
    </row>
    <row r="10" ht="45" customHeight="1" spans="1:34 16384:16384">
      <c r="A10" s="5" t="s">
        <v>89</v>
      </c>
      <c r="B10" s="9" t="s">
        <v>5</v>
      </c>
      <c r="C10" s="9" t="s">
        <v>5</v>
      </c>
      <c r="D10" s="9" t="s">
        <v>5</v>
      </c>
      <c r="E10" s="9" t="s">
        <v>5</v>
      </c>
      <c r="F10" s="9" t="s">
        <v>5</v>
      </c>
      <c r="G10" s="9" t="s">
        <v>5</v>
      </c>
      <c r="H10" s="9" t="s">
        <v>5</v>
      </c>
      <c r="I10" s="9" t="s">
        <v>5</v>
      </c>
      <c r="J10" s="9" t="s">
        <v>5</v>
      </c>
      <c r="K10" s="9" t="s">
        <v>5</v>
      </c>
      <c r="L10" s="9" t="s">
        <v>5</v>
      </c>
      <c r="M10" s="9" t="s">
        <v>5</v>
      </c>
      <c r="N10" s="9" t="s">
        <v>5</v>
      </c>
      <c r="O10" s="9" t="s">
        <v>5</v>
      </c>
      <c r="P10" s="9" t="s">
        <v>5</v>
      </c>
      <c r="Q10" s="9" t="s">
        <v>5</v>
      </c>
      <c r="R10" s="9" t="s">
        <v>5</v>
      </c>
      <c r="S10" s="9" t="s">
        <v>5</v>
      </c>
      <c r="T10" s="9" t="s">
        <v>5</v>
      </c>
      <c r="U10" s="9" t="s">
        <v>5</v>
      </c>
      <c r="V10" s="9" t="s">
        <v>5</v>
      </c>
      <c r="W10" s="9" t="s">
        <v>5</v>
      </c>
      <c r="X10" s="9" t="s">
        <v>8</v>
      </c>
      <c r="Y10" s="9" t="s">
        <v>5</v>
      </c>
      <c r="Z10" s="9" t="s">
        <v>5</v>
      </c>
      <c r="AA10" s="9" t="s">
        <v>5</v>
      </c>
      <c r="AB10" s="9" t="s">
        <v>5</v>
      </c>
      <c r="AC10" s="9" t="s">
        <v>5</v>
      </c>
      <c r="AD10" s="9" t="s">
        <v>5</v>
      </c>
      <c r="AE10" s="9" t="s">
        <v>5</v>
      </c>
      <c r="AF10" s="9" t="s">
        <v>5</v>
      </c>
    </row>
    <row r="11" ht="45" customHeight="1"/>
    <row r="12" ht="45" customHeight="1" spans="1:34 16384:16384">
      <c r="A12" s="3" t="s">
        <v>90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ht="45" customHeight="1" spans="1:34 16384:16384">
      <c r="A13" s="5"/>
      <c r="B13" s="6" t="s">
        <v>67</v>
      </c>
      <c r="C13" s="6" t="s">
        <v>68</v>
      </c>
      <c r="D13" s="6" t="s">
        <v>69</v>
      </c>
      <c r="E13" s="6" t="s">
        <v>70</v>
      </c>
      <c r="F13" s="6" t="s">
        <v>71</v>
      </c>
      <c r="G13" s="6" t="s">
        <v>72</v>
      </c>
      <c r="H13" s="6" t="s">
        <v>73</v>
      </c>
      <c r="I13" s="6" t="s">
        <v>74</v>
      </c>
      <c r="J13" s="6" t="s">
        <v>75</v>
      </c>
      <c r="K13" s="6" t="s">
        <v>76</v>
      </c>
      <c r="L13" s="6" t="s">
        <v>77</v>
      </c>
      <c r="M13" s="6" t="s">
        <v>78</v>
      </c>
      <c r="N13" s="6" t="s">
        <v>79</v>
      </c>
      <c r="O13" s="6" t="s">
        <v>80</v>
      </c>
      <c r="P13" s="7">
        <v>6.15</v>
      </c>
      <c r="Q13" s="7">
        <v>6.16</v>
      </c>
      <c r="R13" s="7">
        <v>6.17</v>
      </c>
      <c r="S13" s="7">
        <v>6.18</v>
      </c>
      <c r="T13" s="7">
        <v>6.19</v>
      </c>
      <c r="U13" s="6" t="s">
        <v>81</v>
      </c>
      <c r="V13" s="7">
        <v>6.21</v>
      </c>
      <c r="W13" s="7">
        <v>6.22</v>
      </c>
      <c r="X13" s="7">
        <v>6.23</v>
      </c>
      <c r="Y13" s="7">
        <v>6.24</v>
      </c>
      <c r="Z13" s="7">
        <v>6.25</v>
      </c>
      <c r="AA13" s="7">
        <v>6.26</v>
      </c>
      <c r="AB13" s="7">
        <v>6.27</v>
      </c>
      <c r="AC13" s="7">
        <v>6.28</v>
      </c>
      <c r="AD13" s="7">
        <v>6.29</v>
      </c>
      <c r="AE13" s="6" t="s">
        <v>82</v>
      </c>
      <c r="AF13" s="7"/>
    </row>
    <row r="14" ht="45" customHeight="1" spans="1:34 16384:16384">
      <c r="A14" s="5" t="s">
        <v>91</v>
      </c>
      <c r="B14" s="9" t="s">
        <v>5</v>
      </c>
      <c r="C14" s="9" t="s">
        <v>5</v>
      </c>
      <c r="D14" s="9" t="s">
        <v>6</v>
      </c>
      <c r="E14" s="9" t="s">
        <v>5</v>
      </c>
      <c r="F14" s="9" t="s">
        <v>5</v>
      </c>
      <c r="G14" s="9" t="s">
        <v>5</v>
      </c>
      <c r="H14" s="9" t="s">
        <v>5</v>
      </c>
      <c r="I14" s="9" t="s">
        <v>5</v>
      </c>
      <c r="J14" s="9" t="s">
        <v>5</v>
      </c>
      <c r="K14" s="9" t="s">
        <v>5</v>
      </c>
      <c r="L14" s="9" t="s">
        <v>5</v>
      </c>
      <c r="M14" s="9" t="s">
        <v>5</v>
      </c>
      <c r="N14" s="9" t="s">
        <v>5</v>
      </c>
      <c r="O14" s="9" t="s">
        <v>5</v>
      </c>
      <c r="P14" s="9" t="s">
        <v>5</v>
      </c>
      <c r="Q14" s="9" t="s">
        <v>5</v>
      </c>
      <c r="R14" s="9" t="s">
        <v>5</v>
      </c>
      <c r="S14" s="9" t="s">
        <v>5</v>
      </c>
      <c r="T14" s="9" t="s">
        <v>5</v>
      </c>
      <c r="U14" s="9" t="s">
        <v>5</v>
      </c>
      <c r="V14" s="9" t="s">
        <v>5</v>
      </c>
      <c r="W14" s="9" t="s">
        <v>5</v>
      </c>
      <c r="X14" s="9" t="s">
        <v>5</v>
      </c>
      <c r="Y14" s="9" t="s">
        <v>5</v>
      </c>
      <c r="Z14" s="9" t="s">
        <v>5</v>
      </c>
      <c r="AA14" s="9" t="s">
        <v>5</v>
      </c>
      <c r="AB14" s="9" t="s">
        <v>5</v>
      </c>
      <c r="AC14" s="9" t="s">
        <v>5</v>
      </c>
      <c r="AD14" s="9" t="s">
        <v>5</v>
      </c>
      <c r="AE14" s="9" t="s">
        <v>5</v>
      </c>
      <c r="AF14" s="9"/>
    </row>
    <row r="15" ht="45" customHeight="1" spans="1:34 16384:16384">
      <c r="A15" s="5" t="s">
        <v>92</v>
      </c>
      <c r="B15" s="9" t="s">
        <v>5</v>
      </c>
      <c r="C15" s="9" t="s">
        <v>6</v>
      </c>
      <c r="D15" s="9" t="s">
        <v>5</v>
      </c>
      <c r="E15" s="9" t="s">
        <v>5</v>
      </c>
      <c r="F15" s="9" t="s">
        <v>5</v>
      </c>
      <c r="G15" s="9" t="s">
        <v>5</v>
      </c>
      <c r="H15" s="9" t="s">
        <v>5</v>
      </c>
      <c r="I15" s="9" t="s">
        <v>5</v>
      </c>
      <c r="J15" s="9" t="s">
        <v>5</v>
      </c>
      <c r="K15" s="9" t="s">
        <v>5</v>
      </c>
      <c r="L15" s="9" t="s">
        <v>5</v>
      </c>
      <c r="M15" s="9" t="s">
        <v>5</v>
      </c>
      <c r="N15" s="9" t="s">
        <v>5</v>
      </c>
      <c r="O15" s="9" t="s">
        <v>5</v>
      </c>
      <c r="P15" s="9" t="s">
        <v>5</v>
      </c>
      <c r="Q15" s="9" t="s">
        <v>5</v>
      </c>
      <c r="R15" s="9" t="s">
        <v>5</v>
      </c>
      <c r="S15" s="9" t="s">
        <v>5</v>
      </c>
      <c r="T15" s="9" t="s">
        <v>5</v>
      </c>
      <c r="U15" s="9" t="s">
        <v>5</v>
      </c>
      <c r="V15" s="9" t="s">
        <v>5</v>
      </c>
      <c r="W15" s="9" t="s">
        <v>5</v>
      </c>
      <c r="X15" s="9" t="s">
        <v>5</v>
      </c>
      <c r="Y15" s="9" t="s">
        <v>5</v>
      </c>
      <c r="Z15" s="9" t="s">
        <v>5</v>
      </c>
      <c r="AA15" s="9" t="s">
        <v>5</v>
      </c>
      <c r="AB15" s="9" t="s">
        <v>5</v>
      </c>
      <c r="AC15" s="9" t="s">
        <v>5</v>
      </c>
      <c r="AD15" s="9" t="s">
        <v>5</v>
      </c>
      <c r="AE15" s="9" t="s">
        <v>5</v>
      </c>
      <c r="AF15" s="9"/>
    </row>
    <row r="16" ht="45" customHeight="1" spans="1:34 16384:16384">
      <c r="A16" s="5" t="s">
        <v>93</v>
      </c>
      <c r="B16" s="9" t="s">
        <v>5</v>
      </c>
      <c r="C16" s="9" t="s">
        <v>6</v>
      </c>
      <c r="D16" s="9" t="s">
        <v>5</v>
      </c>
      <c r="E16" s="9" t="s">
        <v>5</v>
      </c>
      <c r="F16" s="9" t="s">
        <v>5</v>
      </c>
      <c r="G16" s="9" t="s">
        <v>5</v>
      </c>
      <c r="H16" s="9" t="s">
        <v>5</v>
      </c>
      <c r="I16" s="9" t="s">
        <v>5</v>
      </c>
      <c r="J16" s="9" t="s">
        <v>5</v>
      </c>
      <c r="K16" s="9" t="s">
        <v>5</v>
      </c>
      <c r="L16" s="9" t="s">
        <v>5</v>
      </c>
      <c r="M16" s="9" t="s">
        <v>5</v>
      </c>
      <c r="N16" s="9" t="s">
        <v>5</v>
      </c>
      <c r="O16" s="9" t="s">
        <v>5</v>
      </c>
      <c r="P16" s="9" t="s">
        <v>5</v>
      </c>
      <c r="Q16" s="9" t="s">
        <v>5</v>
      </c>
      <c r="R16" s="9" t="s">
        <v>5</v>
      </c>
      <c r="S16" s="9" t="s">
        <v>5</v>
      </c>
      <c r="T16" s="9" t="s">
        <v>5</v>
      </c>
      <c r="U16" s="9" t="s">
        <v>5</v>
      </c>
      <c r="V16" s="9" t="s">
        <v>5</v>
      </c>
      <c r="W16" s="9" t="s">
        <v>5</v>
      </c>
      <c r="X16" s="9" t="s">
        <v>5</v>
      </c>
      <c r="Y16" s="9" t="s">
        <v>5</v>
      </c>
      <c r="Z16" s="9" t="s">
        <v>5</v>
      </c>
      <c r="AA16" s="9" t="s">
        <v>5</v>
      </c>
      <c r="AB16" s="9" t="s">
        <v>5</v>
      </c>
      <c r="AC16" s="9" t="s">
        <v>5</v>
      </c>
      <c r="AD16" s="9" t="s">
        <v>5</v>
      </c>
      <c r="AE16" s="9" t="s">
        <v>5</v>
      </c>
      <c r="AF16" s="9"/>
    </row>
    <row r="17" ht="45" customHeight="1" spans="1:32">
      <c r="A17" s="5" t="s">
        <v>94</v>
      </c>
      <c r="B17" s="9" t="s">
        <v>5</v>
      </c>
      <c r="C17" s="9" t="s">
        <v>6</v>
      </c>
      <c r="D17" s="9" t="s">
        <v>5</v>
      </c>
      <c r="E17" s="9" t="s">
        <v>5</v>
      </c>
      <c r="F17" s="9" t="s">
        <v>5</v>
      </c>
      <c r="G17" s="9" t="s">
        <v>5</v>
      </c>
      <c r="H17" s="9" t="s">
        <v>5</v>
      </c>
      <c r="I17" s="9" t="s">
        <v>5</v>
      </c>
      <c r="J17" s="9" t="s">
        <v>5</v>
      </c>
      <c r="K17" s="9" t="s">
        <v>5</v>
      </c>
      <c r="L17" s="9" t="s">
        <v>5</v>
      </c>
      <c r="M17" s="9" t="s">
        <v>5</v>
      </c>
      <c r="N17" s="9" t="s">
        <v>5</v>
      </c>
      <c r="O17" s="9" t="s">
        <v>5</v>
      </c>
      <c r="P17" s="9" t="s">
        <v>5</v>
      </c>
      <c r="Q17" s="9" t="s">
        <v>5</v>
      </c>
      <c r="R17" s="9" t="s">
        <v>5</v>
      </c>
      <c r="S17" s="9" t="s">
        <v>5</v>
      </c>
      <c r="T17" s="9" t="s">
        <v>5</v>
      </c>
      <c r="U17" s="9" t="s">
        <v>5</v>
      </c>
      <c r="V17" s="9" t="s">
        <v>5</v>
      </c>
      <c r="W17" s="9" t="s">
        <v>5</v>
      </c>
      <c r="X17" s="9" t="s">
        <v>5</v>
      </c>
      <c r="Y17" s="9" t="s">
        <v>5</v>
      </c>
      <c r="Z17" s="9" t="s">
        <v>5</v>
      </c>
      <c r="AA17" s="9" t="s">
        <v>5</v>
      </c>
      <c r="AB17" s="9" t="s">
        <v>5</v>
      </c>
      <c r="AC17" s="9" t="s">
        <v>5</v>
      </c>
      <c r="AD17" s="9" t="s">
        <v>5</v>
      </c>
      <c r="AE17" s="9" t="s">
        <v>5</v>
      </c>
      <c r="AF17" s="9"/>
    </row>
    <row r="18" ht="45" customHeight="1" spans="1:32">
      <c r="A18" s="5" t="s">
        <v>95</v>
      </c>
      <c r="B18" s="9" t="s">
        <v>5</v>
      </c>
      <c r="C18" s="9" t="s">
        <v>6</v>
      </c>
      <c r="D18" s="9" t="s">
        <v>5</v>
      </c>
      <c r="E18" s="9" t="s">
        <v>5</v>
      </c>
      <c r="F18" s="9" t="s">
        <v>5</v>
      </c>
      <c r="G18" s="9" t="s">
        <v>5</v>
      </c>
      <c r="H18" s="9" t="s">
        <v>5</v>
      </c>
      <c r="I18" s="9" t="s">
        <v>5</v>
      </c>
      <c r="J18" s="9" t="s">
        <v>5</v>
      </c>
      <c r="K18" s="9" t="s">
        <v>5</v>
      </c>
      <c r="L18" s="9" t="s">
        <v>5</v>
      </c>
      <c r="M18" s="9" t="s">
        <v>5</v>
      </c>
      <c r="N18" s="9" t="s">
        <v>5</v>
      </c>
      <c r="O18" s="9" t="s">
        <v>5</v>
      </c>
      <c r="P18" s="9" t="s">
        <v>5</v>
      </c>
      <c r="Q18" s="9" t="s">
        <v>5</v>
      </c>
      <c r="R18" s="9" t="s">
        <v>5</v>
      </c>
      <c r="S18" s="9" t="s">
        <v>5</v>
      </c>
      <c r="T18" s="9" t="s">
        <v>5</v>
      </c>
      <c r="U18" s="9" t="s">
        <v>5</v>
      </c>
      <c r="V18" s="9" t="s">
        <v>5</v>
      </c>
      <c r="W18" s="9" t="s">
        <v>5</v>
      </c>
      <c r="X18" s="9" t="s">
        <v>5</v>
      </c>
      <c r="Y18" s="9" t="s">
        <v>5</v>
      </c>
      <c r="Z18" s="9" t="s">
        <v>5</v>
      </c>
      <c r="AA18" s="9" t="s">
        <v>5</v>
      </c>
      <c r="AB18" s="9" t="s">
        <v>5</v>
      </c>
      <c r="AC18" s="9" t="s">
        <v>5</v>
      </c>
      <c r="AD18" s="9" t="s">
        <v>5</v>
      </c>
      <c r="AE18" s="9" t="s">
        <v>5</v>
      </c>
      <c r="AF18" s="9"/>
    </row>
  </sheetData>
  <protectedRanges>
    <protectedRange sqref="B3:I3 N3:AF3 J3:M3" name="区域1"/>
    <protectedRange sqref="X7" name="区域1_1"/>
    <protectedRange sqref="X8" name="区域1_2"/>
  </protectedRanges>
  <mergeCells count="3">
    <mergeCell ref="A1:AF1"/>
    <mergeCell ref="A5:AF5"/>
    <mergeCell ref="A12:AF12"/>
  </mergeCells>
  <conditionalFormatting sqref="B3:AF3">
    <cfRule type="containsText" dxfId="1" priority="49" operator="between" text="丙">
      <formula>NOT(ISERROR(SEARCH("丙",B3)))</formula>
    </cfRule>
    <cfRule type="containsText" dxfId="0" priority="50" operator="between" text="乙">
      <formula>NOT(ISERROR(SEARCH("乙",B3)))</formula>
    </cfRule>
    <cfRule type="containsText" dxfId="2" priority="51" operator="between" text="甲">
      <formula>NOT(ISERROR(SEARCH("甲",B3)))</formula>
    </cfRule>
  </conditionalFormatting>
  <conditionalFormatting sqref="X7">
    <cfRule type="containsText" dxfId="2" priority="42" operator="between" text="甲">
      <formula>NOT(ISERROR(SEARCH("甲",X7)))</formula>
    </cfRule>
    <cfRule type="containsText" dxfId="0" priority="41" operator="between" text="乙">
      <formula>NOT(ISERROR(SEARCH("乙",X7)))</formula>
    </cfRule>
    <cfRule type="containsText" dxfId="1" priority="40" operator="between" text="丙">
      <formula>NOT(ISERROR(SEARCH("丙",X7)))</formula>
    </cfRule>
  </conditionalFormatting>
  <conditionalFormatting sqref="X8">
    <cfRule type="containsText" dxfId="2" priority="39" operator="between" text="甲">
      <formula>NOT(ISERROR(SEARCH("甲",X8)))</formula>
    </cfRule>
    <cfRule type="containsText" dxfId="0" priority="38" operator="between" text="乙">
      <formula>NOT(ISERROR(SEARCH("乙",X8)))</formula>
    </cfRule>
    <cfRule type="containsText" dxfId="1" priority="37" operator="between" text="丙">
      <formula>NOT(ISERROR(SEARCH("丙",X8)))</formula>
    </cfRule>
  </conditionalFormatting>
  <conditionalFormatting sqref="X9">
    <cfRule type="containsText" dxfId="2" priority="33" operator="between" text="甲">
      <formula>NOT(ISERROR(SEARCH("甲",X9)))</formula>
    </cfRule>
    <cfRule type="containsText" dxfId="0" priority="32" operator="between" text="乙">
      <formula>NOT(ISERROR(SEARCH("乙",X9)))</formula>
    </cfRule>
    <cfRule type="containsText" dxfId="1" priority="31" operator="between" text="丙">
      <formula>NOT(ISERROR(SEARCH("丙",X9)))</formula>
    </cfRule>
  </conditionalFormatting>
  <conditionalFormatting sqref="X10">
    <cfRule type="containsText" dxfId="2" priority="30" operator="between" text="甲">
      <formula>NOT(ISERROR(SEARCH("甲",X10)))</formula>
    </cfRule>
    <cfRule type="containsText" dxfId="0" priority="29" operator="between" text="乙">
      <formula>NOT(ISERROR(SEARCH("乙",X10)))</formula>
    </cfRule>
    <cfRule type="containsText" dxfId="1" priority="28" operator="between" text="丙">
      <formula>NOT(ISERROR(SEARCH("丙",X10)))</formula>
    </cfRule>
  </conditionalFormatting>
  <conditionalFormatting sqref="B7:W7 Y7:AF7 B8:W8 Y8:AF8 B9:W9 Y9:AF9">
    <cfRule type="containsText" dxfId="1" priority="46" operator="between" text="丙">
      <formula>NOT(ISERROR(SEARCH("丙",B7)))</formula>
    </cfRule>
    <cfRule type="containsText" dxfId="0" priority="47" operator="between" text="乙">
      <formula>NOT(ISERROR(SEARCH("乙",B7)))</formula>
    </cfRule>
    <cfRule type="containsText" dxfId="2" priority="48" operator="between" text="甲">
      <formula>NOT(ISERROR(SEARCH("甲",B7)))</formula>
    </cfRule>
  </conditionalFormatting>
  <conditionalFormatting sqref="B10:W10 Y10:AF10">
    <cfRule type="containsText" dxfId="2" priority="36" operator="between" text="甲">
      <formula>NOT(ISERROR(SEARCH("甲",B10)))</formula>
    </cfRule>
    <cfRule type="containsText" dxfId="0" priority="35" operator="between" text="乙">
      <formula>NOT(ISERROR(SEARCH("乙",B10)))</formula>
    </cfRule>
    <cfRule type="containsText" dxfId="1" priority="34" operator="between" text="丙">
      <formula>NOT(ISERROR(SEARCH("丙",B10)))</formula>
    </cfRule>
  </conditionalFormatting>
  <conditionalFormatting sqref="B14:W14 Z14:AF14 B15:W15 Z15:AF15">
    <cfRule type="containsText" dxfId="2" priority="9" operator="between" text="甲">
      <formula>NOT(ISERROR(SEARCH("甲",B14)))</formula>
    </cfRule>
    <cfRule type="containsText" dxfId="0" priority="8" operator="between" text="乙">
      <formula>NOT(ISERROR(SEARCH("乙",B14)))</formula>
    </cfRule>
    <cfRule type="containsText" dxfId="1" priority="7" operator="between" text="丙">
      <formula>NOT(ISERROR(SEARCH("丙",B14)))</formula>
    </cfRule>
  </conditionalFormatting>
  <conditionalFormatting sqref="X14:Y18">
    <cfRule type="containsText" dxfId="1" priority="10" operator="between" text="丙">
      <formula>NOT(ISERROR(SEARCH("丙",X14)))</formula>
    </cfRule>
    <cfRule type="containsText" dxfId="0" priority="11" operator="between" text="乙">
      <formula>NOT(ISERROR(SEARCH("乙",X14)))</formula>
    </cfRule>
    <cfRule type="containsText" dxfId="2" priority="12" operator="between" text="甲">
      <formula>NOT(ISERROR(SEARCH("甲",X14)))</formula>
    </cfRule>
  </conditionalFormatting>
  <conditionalFormatting sqref="X14:Y15">
    <cfRule type="containsText" dxfId="2" priority="6" operator="between" text="甲">
      <formula>NOT(ISERROR(SEARCH("甲",X14)))</formula>
    </cfRule>
    <cfRule type="containsText" dxfId="0" priority="5" operator="between" text="乙">
      <formula>NOT(ISERROR(SEARCH("乙",X14)))</formula>
    </cfRule>
    <cfRule type="containsText" dxfId="1" priority="4" operator="between" text="丙">
      <formula>NOT(ISERROR(SEARCH("丙",X14)))</formula>
    </cfRule>
  </conditionalFormatting>
  <conditionalFormatting sqref="B16:W16 Z16:AF16 B17:W17 Z17:AF17">
    <cfRule type="containsText" dxfId="2" priority="3" operator="between" text="甲">
      <formula>NOT(ISERROR(SEARCH("甲",B16)))</formula>
    </cfRule>
    <cfRule type="containsText" dxfId="0" priority="2" operator="between" text="乙">
      <formula>NOT(ISERROR(SEARCH("乙",B16)))</formula>
    </cfRule>
    <cfRule type="containsText" dxfId="1" priority="1" operator="between" text="丙">
      <formula>NOT(ISERROR(SEARCH("丙",B16)))</formula>
    </cfRule>
  </conditionalFormatting>
  <conditionalFormatting sqref="B18:W18 Z18:AF18">
    <cfRule type="containsText" dxfId="1" priority="13" operator="between" text="丙">
      <formula>NOT(ISERROR(SEARCH("丙",B18)))</formula>
    </cfRule>
    <cfRule type="containsText" dxfId="0" priority="14" operator="between" text="乙">
      <formula>NOT(ISERROR(SEARCH("乙",B18)))</formula>
    </cfRule>
    <cfRule type="containsText" dxfId="2" priority="15" operator="between" text="甲">
      <formula>NOT(ISERROR(SEARCH("甲",B18)))</formula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83"/>
  <sheetViews>
    <sheetView tabSelected="1" topLeftCell="A50" workbookViewId="0">
      <selection activeCell="Q65" sqref="Q65"/>
    </sheetView>
  </sheetViews>
  <sheetFormatPr defaultColWidth="9" defaultRowHeight="13.5"/>
  <cols>
    <col min="1" max="1" width="15" style="1" customWidth="1"/>
    <col min="2" max="33" width="6.625" style="1" customWidth="1"/>
    <col min="34" max="16382" width="9" style="1"/>
  </cols>
  <sheetData>
    <row r="1" ht="45" customHeight="1" spans="1:33">
      <c r="A1" s="10" t="s">
        <v>96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</row>
    <row r="2" s="1" customFormat="1" ht="30" customHeight="1" spans="1:33">
      <c r="A2" s="11"/>
      <c r="B2" s="6" t="s">
        <v>97</v>
      </c>
      <c r="C2" s="6" t="s">
        <v>98</v>
      </c>
      <c r="D2" s="6" t="s">
        <v>99</v>
      </c>
      <c r="E2" s="6" t="s">
        <v>100</v>
      </c>
      <c r="F2" s="6" t="s">
        <v>101</v>
      </c>
      <c r="G2" s="6" t="s">
        <v>102</v>
      </c>
      <c r="H2" s="6" t="s">
        <v>103</v>
      </c>
      <c r="I2" s="6" t="s">
        <v>104</v>
      </c>
      <c r="J2" s="6" t="s">
        <v>105</v>
      </c>
      <c r="K2" s="6" t="s">
        <v>106</v>
      </c>
      <c r="L2" s="6" t="s">
        <v>107</v>
      </c>
      <c r="M2" s="6" t="s">
        <v>108</v>
      </c>
      <c r="N2" s="6" t="s">
        <v>109</v>
      </c>
      <c r="O2" s="6" t="s">
        <v>110</v>
      </c>
      <c r="P2" s="7">
        <v>7.15</v>
      </c>
      <c r="Q2" s="7">
        <v>7.16</v>
      </c>
      <c r="R2" s="7">
        <v>7.17</v>
      </c>
      <c r="S2" s="7">
        <v>7.18</v>
      </c>
      <c r="T2" s="7">
        <v>7.19</v>
      </c>
      <c r="U2" s="6" t="s">
        <v>111</v>
      </c>
      <c r="V2" s="7">
        <v>7.21</v>
      </c>
      <c r="W2" s="7">
        <v>7.22</v>
      </c>
      <c r="X2" s="7">
        <v>7.23</v>
      </c>
      <c r="Y2" s="7">
        <v>7.24</v>
      </c>
      <c r="Z2" s="7">
        <v>7.25</v>
      </c>
      <c r="AA2" s="7">
        <v>7.26</v>
      </c>
      <c r="AB2" s="7">
        <v>7.27</v>
      </c>
      <c r="AC2" s="7">
        <v>7.28</v>
      </c>
      <c r="AD2" s="7">
        <v>7.29</v>
      </c>
      <c r="AE2" s="6" t="s">
        <v>112</v>
      </c>
      <c r="AF2" s="8"/>
      <c r="AG2" s="8"/>
    </row>
    <row r="3" ht="30" customHeight="1" spans="1:33">
      <c r="A3" s="11" t="s">
        <v>4</v>
      </c>
      <c r="B3" s="9" t="s">
        <v>5</v>
      </c>
      <c r="C3" s="9" t="s">
        <v>5</v>
      </c>
      <c r="D3" s="9" t="s">
        <v>6</v>
      </c>
      <c r="E3" s="9" t="s">
        <v>5</v>
      </c>
      <c r="F3" s="9" t="s">
        <v>5</v>
      </c>
      <c r="G3" s="9" t="s">
        <v>5</v>
      </c>
      <c r="H3" s="9" t="s">
        <v>5</v>
      </c>
      <c r="I3" s="9" t="s">
        <v>5</v>
      </c>
      <c r="J3" s="9" t="s">
        <v>6</v>
      </c>
      <c r="K3" s="9" t="s">
        <v>5</v>
      </c>
      <c r="L3" s="9" t="s">
        <v>5</v>
      </c>
      <c r="M3" s="9" t="s">
        <v>5</v>
      </c>
      <c r="N3" s="9" t="s">
        <v>5</v>
      </c>
      <c r="O3" s="9" t="s">
        <v>5</v>
      </c>
      <c r="P3" s="9" t="s">
        <v>5</v>
      </c>
      <c r="Q3" s="9" t="s">
        <v>5</v>
      </c>
      <c r="R3" s="9" t="s">
        <v>5</v>
      </c>
      <c r="S3" s="9" t="s">
        <v>5</v>
      </c>
      <c r="T3" s="9" t="s">
        <v>10</v>
      </c>
      <c r="U3" s="9" t="s">
        <v>5</v>
      </c>
      <c r="V3" s="9" t="s">
        <v>5</v>
      </c>
      <c r="W3" s="9" t="s">
        <v>5</v>
      </c>
      <c r="X3" s="9" t="s">
        <v>5</v>
      </c>
      <c r="Y3" s="9" t="s">
        <v>5</v>
      </c>
      <c r="Z3" s="9" t="s">
        <v>5</v>
      </c>
      <c r="AA3" s="9" t="s">
        <v>6</v>
      </c>
      <c r="AB3" s="9" t="s">
        <v>5</v>
      </c>
      <c r="AC3" s="9" t="s">
        <v>5</v>
      </c>
      <c r="AD3" s="9" t="s">
        <v>5</v>
      </c>
      <c r="AE3" s="9" t="s">
        <v>5</v>
      </c>
    </row>
    <row r="4" ht="30" customHeight="1" spans="1:33">
      <c r="A4" s="11" t="s">
        <v>7</v>
      </c>
      <c r="B4" s="9" t="s">
        <v>5</v>
      </c>
      <c r="C4" s="9" t="s">
        <v>5</v>
      </c>
      <c r="D4" s="9" t="s">
        <v>5</v>
      </c>
      <c r="E4" s="9" t="s">
        <v>8</v>
      </c>
      <c r="F4" s="9" t="s">
        <v>5</v>
      </c>
      <c r="G4" s="9" t="s">
        <v>5</v>
      </c>
      <c r="H4" s="9" t="s">
        <v>5</v>
      </c>
      <c r="I4" s="9" t="s">
        <v>5</v>
      </c>
      <c r="J4" s="9" t="s">
        <v>5</v>
      </c>
      <c r="K4" s="9" t="s">
        <v>8</v>
      </c>
      <c r="L4" s="9" t="s">
        <v>5</v>
      </c>
      <c r="M4" s="9" t="s">
        <v>5</v>
      </c>
      <c r="N4" s="9" t="s">
        <v>5</v>
      </c>
      <c r="O4" s="9" t="s">
        <v>5</v>
      </c>
      <c r="P4" s="9" t="s">
        <v>5</v>
      </c>
      <c r="Q4" s="9" t="s">
        <v>8</v>
      </c>
      <c r="R4" s="9" t="s">
        <v>5</v>
      </c>
      <c r="S4" s="9" t="s">
        <v>5</v>
      </c>
      <c r="T4" s="9" t="s">
        <v>5</v>
      </c>
      <c r="U4" s="9" t="s">
        <v>5</v>
      </c>
      <c r="V4" s="9" t="s">
        <v>5</v>
      </c>
      <c r="W4" s="9" t="s">
        <v>5</v>
      </c>
      <c r="X4" s="9" t="s">
        <v>8</v>
      </c>
      <c r="Y4" s="9" t="s">
        <v>5</v>
      </c>
      <c r="Z4" s="9" t="s">
        <v>5</v>
      </c>
      <c r="AA4" s="9" t="s">
        <v>5</v>
      </c>
      <c r="AB4" s="9" t="s">
        <v>5</v>
      </c>
      <c r="AC4" s="9" t="s">
        <v>5</v>
      </c>
      <c r="AD4" s="9" t="s">
        <v>8</v>
      </c>
      <c r="AE4" s="9" t="s">
        <v>5</v>
      </c>
    </row>
    <row r="5" ht="30" customHeight="1" spans="1:33">
      <c r="A5" s="11" t="s">
        <v>9</v>
      </c>
      <c r="B5" s="9" t="s">
        <v>5</v>
      </c>
      <c r="C5" s="9" t="s">
        <v>5</v>
      </c>
      <c r="D5" s="9" t="s">
        <v>6</v>
      </c>
      <c r="E5" s="9" t="s">
        <v>5</v>
      </c>
      <c r="F5" s="9" t="s">
        <v>5</v>
      </c>
      <c r="G5" s="9" t="s">
        <v>5</v>
      </c>
      <c r="H5" s="9" t="s">
        <v>5</v>
      </c>
      <c r="I5" s="9" t="s">
        <v>5</v>
      </c>
      <c r="J5" s="9" t="s">
        <v>6</v>
      </c>
      <c r="K5" s="9" t="s">
        <v>5</v>
      </c>
      <c r="L5" s="9" t="s">
        <v>5</v>
      </c>
      <c r="M5" s="9" t="s">
        <v>5</v>
      </c>
      <c r="N5" s="9" t="s">
        <v>5</v>
      </c>
      <c r="O5" s="9" t="s">
        <v>5</v>
      </c>
      <c r="P5" s="9" t="s">
        <v>5</v>
      </c>
      <c r="Q5" s="9" t="s">
        <v>5</v>
      </c>
      <c r="R5" s="9" t="s">
        <v>8</v>
      </c>
      <c r="S5" s="9" t="s">
        <v>5</v>
      </c>
      <c r="T5" s="9" t="s">
        <v>5</v>
      </c>
      <c r="U5" s="9" t="s">
        <v>5</v>
      </c>
      <c r="V5" s="9" t="s">
        <v>5</v>
      </c>
      <c r="W5" s="9" t="s">
        <v>5</v>
      </c>
      <c r="X5" s="9" t="s">
        <v>5</v>
      </c>
      <c r="Y5" s="9" t="s">
        <v>5</v>
      </c>
      <c r="Z5" s="9" t="s">
        <v>10</v>
      </c>
      <c r="AA5" s="9" t="s">
        <v>5</v>
      </c>
      <c r="AB5" s="9" t="s">
        <v>5</v>
      </c>
      <c r="AC5" s="9" t="s">
        <v>5</v>
      </c>
      <c r="AD5" s="9" t="s">
        <v>5</v>
      </c>
      <c r="AE5" s="9" t="s">
        <v>10</v>
      </c>
    </row>
    <row r="6" ht="30" customHeight="1" spans="1:33">
      <c r="A6" s="11" t="s">
        <v>11</v>
      </c>
      <c r="B6" s="9" t="s">
        <v>5</v>
      </c>
      <c r="C6" s="9" t="s">
        <v>5</v>
      </c>
      <c r="D6" s="9" t="s">
        <v>5</v>
      </c>
      <c r="E6" s="9" t="s">
        <v>8</v>
      </c>
      <c r="F6" s="9" t="s">
        <v>5</v>
      </c>
      <c r="G6" s="9" t="s">
        <v>5</v>
      </c>
      <c r="H6" s="9" t="s">
        <v>5</v>
      </c>
      <c r="I6" s="9" t="s">
        <v>5</v>
      </c>
      <c r="J6" s="9" t="s">
        <v>5</v>
      </c>
      <c r="K6" s="9" t="s">
        <v>5</v>
      </c>
      <c r="L6" s="9" t="s">
        <v>5</v>
      </c>
      <c r="M6" s="9" t="s">
        <v>5</v>
      </c>
      <c r="N6" s="9" t="s">
        <v>5</v>
      </c>
      <c r="O6" s="9" t="s">
        <v>5</v>
      </c>
      <c r="P6" s="9" t="s">
        <v>5</v>
      </c>
      <c r="Q6" s="9" t="s">
        <v>8</v>
      </c>
      <c r="R6" s="9" t="s">
        <v>5</v>
      </c>
      <c r="S6" s="9" t="s">
        <v>5</v>
      </c>
      <c r="T6" s="9" t="s">
        <v>5</v>
      </c>
      <c r="U6" s="9" t="s">
        <v>5</v>
      </c>
      <c r="V6" s="9" t="s">
        <v>5</v>
      </c>
      <c r="W6" s="9" t="s">
        <v>5</v>
      </c>
      <c r="X6" s="9" t="s">
        <v>8</v>
      </c>
      <c r="Y6" s="9" t="s">
        <v>5</v>
      </c>
      <c r="Z6" s="9" t="s">
        <v>5</v>
      </c>
      <c r="AA6" s="9" t="s">
        <v>5</v>
      </c>
      <c r="AB6" s="9" t="s">
        <v>5</v>
      </c>
      <c r="AC6" s="9" t="s">
        <v>5</v>
      </c>
      <c r="AD6" s="9" t="s">
        <v>5</v>
      </c>
      <c r="AE6" s="9" t="s">
        <v>5</v>
      </c>
    </row>
    <row r="7" ht="30" customHeight="1" spans="1:33">
      <c r="A7" s="11" t="s">
        <v>12</v>
      </c>
      <c r="B7" s="9" t="s">
        <v>5</v>
      </c>
      <c r="C7" s="9" t="s">
        <v>5</v>
      </c>
      <c r="D7" s="9" t="s">
        <v>5</v>
      </c>
      <c r="E7" s="9" t="s">
        <v>5</v>
      </c>
      <c r="F7" s="9" t="s">
        <v>5</v>
      </c>
      <c r="G7" s="9" t="s">
        <v>10</v>
      </c>
      <c r="H7" s="9" t="s">
        <v>5</v>
      </c>
      <c r="I7" s="9" t="s">
        <v>5</v>
      </c>
      <c r="J7" s="9" t="s">
        <v>5</v>
      </c>
      <c r="K7" s="9" t="s">
        <v>5</v>
      </c>
      <c r="L7" s="9" t="s">
        <v>5</v>
      </c>
      <c r="M7" s="9" t="s">
        <v>5</v>
      </c>
      <c r="N7" s="9" t="s">
        <v>5</v>
      </c>
      <c r="O7" s="9" t="s">
        <v>5</v>
      </c>
      <c r="P7" s="9" t="s">
        <v>5</v>
      </c>
      <c r="Q7" s="9" t="s">
        <v>5</v>
      </c>
      <c r="R7" s="9" t="s">
        <v>5</v>
      </c>
      <c r="S7" s="9" t="s">
        <v>10</v>
      </c>
      <c r="T7" s="9" t="s">
        <v>5</v>
      </c>
      <c r="U7" s="9" t="s">
        <v>5</v>
      </c>
      <c r="V7" s="9" t="s">
        <v>5</v>
      </c>
      <c r="W7" s="9" t="s">
        <v>5</v>
      </c>
      <c r="X7" s="9" t="s">
        <v>5</v>
      </c>
      <c r="Y7" s="9" t="s">
        <v>5</v>
      </c>
      <c r="Z7" s="9" t="s">
        <v>5</v>
      </c>
      <c r="AA7" s="9" t="s">
        <v>5</v>
      </c>
      <c r="AB7" s="9" t="s">
        <v>5</v>
      </c>
      <c r="AC7" s="9" t="s">
        <v>5</v>
      </c>
      <c r="AD7" s="9" t="s">
        <v>5</v>
      </c>
      <c r="AE7" s="9" t="s">
        <v>5</v>
      </c>
    </row>
    <row r="8" ht="30" customHeight="1" spans="1:33">
      <c r="A8" s="11" t="s">
        <v>13</v>
      </c>
      <c r="B8" s="9" t="s">
        <v>5</v>
      </c>
      <c r="C8" s="9" t="s">
        <v>5</v>
      </c>
      <c r="D8" s="9" t="s">
        <v>6</v>
      </c>
      <c r="E8" s="9" t="s">
        <v>5</v>
      </c>
      <c r="F8" s="9" t="s">
        <v>5</v>
      </c>
      <c r="G8" s="9" t="s">
        <v>5</v>
      </c>
      <c r="H8" s="9" t="s">
        <v>5</v>
      </c>
      <c r="I8" s="9" t="s">
        <v>5</v>
      </c>
      <c r="J8" s="9" t="s">
        <v>6</v>
      </c>
      <c r="K8" s="9" t="s">
        <v>5</v>
      </c>
      <c r="L8" s="9" t="s">
        <v>5</v>
      </c>
      <c r="M8" s="9" t="s">
        <v>5</v>
      </c>
      <c r="N8" s="9" t="s">
        <v>5</v>
      </c>
      <c r="O8" s="9" t="s">
        <v>5</v>
      </c>
      <c r="P8" s="9" t="s">
        <v>5</v>
      </c>
      <c r="Q8" s="9" t="s">
        <v>5</v>
      </c>
      <c r="R8" s="9" t="s">
        <v>5</v>
      </c>
      <c r="S8" s="9" t="s">
        <v>5</v>
      </c>
      <c r="T8" s="9" t="s">
        <v>5</v>
      </c>
      <c r="U8" s="9" t="s">
        <v>5</v>
      </c>
      <c r="V8" s="9" t="s">
        <v>6</v>
      </c>
      <c r="W8" s="9" t="s">
        <v>5</v>
      </c>
      <c r="X8" s="9" t="s">
        <v>5</v>
      </c>
      <c r="Y8" s="9" t="s">
        <v>5</v>
      </c>
      <c r="Z8" s="9" t="s">
        <v>5</v>
      </c>
      <c r="AA8" s="9" t="s">
        <v>5</v>
      </c>
      <c r="AB8" s="9" t="s">
        <v>6</v>
      </c>
      <c r="AC8" s="9" t="s">
        <v>5</v>
      </c>
      <c r="AD8" s="9" t="s">
        <v>5</v>
      </c>
      <c r="AE8" s="9" t="s">
        <v>5</v>
      </c>
    </row>
    <row r="9" ht="30" customHeight="1"/>
    <row r="10" ht="45" hidden="1" customHeight="1" spans="1:33">
      <c r="A10" s="4" t="s">
        <v>14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ht="25" hidden="1" customHeight="1" spans="1:33">
      <c r="B11" s="6" t="s">
        <v>32</v>
      </c>
      <c r="C11" s="6" t="s">
        <v>33</v>
      </c>
      <c r="D11" s="6" t="s">
        <v>35</v>
      </c>
      <c r="E11" s="6" t="s">
        <v>35</v>
      </c>
      <c r="F11" s="6" t="s">
        <v>36</v>
      </c>
      <c r="G11" s="6" t="s">
        <v>37</v>
      </c>
      <c r="H11" s="6" t="s">
        <v>38</v>
      </c>
      <c r="I11" s="6" t="s">
        <v>39</v>
      </c>
      <c r="J11" s="6" t="s">
        <v>40</v>
      </c>
      <c r="K11" s="6" t="s">
        <v>41</v>
      </c>
      <c r="L11" s="6" t="s">
        <v>42</v>
      </c>
      <c r="M11" s="6" t="s">
        <v>43</v>
      </c>
      <c r="N11" s="6" t="s">
        <v>45</v>
      </c>
      <c r="O11" s="6" t="s">
        <v>45</v>
      </c>
      <c r="P11" s="7">
        <v>4.15</v>
      </c>
      <c r="Q11" s="7">
        <v>4.16</v>
      </c>
      <c r="R11" s="7">
        <v>4.17</v>
      </c>
      <c r="S11" s="7">
        <v>4.18</v>
      </c>
      <c r="T11" s="7">
        <v>4.19</v>
      </c>
      <c r="U11" s="6" t="s">
        <v>46</v>
      </c>
      <c r="V11" s="7">
        <v>4.21</v>
      </c>
      <c r="W11" s="7">
        <v>4.22</v>
      </c>
      <c r="X11" s="7">
        <v>4.24</v>
      </c>
      <c r="Y11" s="7">
        <v>4.24</v>
      </c>
      <c r="Z11" s="7">
        <v>4.25</v>
      </c>
      <c r="AA11" s="7">
        <v>4.26</v>
      </c>
      <c r="AB11" s="7">
        <v>4.27</v>
      </c>
      <c r="AC11" s="7">
        <v>4.28</v>
      </c>
      <c r="AD11" s="7">
        <v>4.29</v>
      </c>
      <c r="AE11" s="6" t="s">
        <v>48</v>
      </c>
      <c r="AF11" s="9" t="s">
        <v>15</v>
      </c>
      <c r="AG11" s="9" t="s">
        <v>16</v>
      </c>
    </row>
    <row r="12" ht="25" hidden="1" customHeight="1" spans="1:33">
      <c r="A12" s="11" t="s">
        <v>4</v>
      </c>
      <c r="B12" s="9">
        <f t="shared" ref="B12:AE12" si="0">IF(B3="/",0,1)</f>
        <v>0</v>
      </c>
      <c r="C12" s="9">
        <f t="shared" si="0"/>
        <v>0</v>
      </c>
      <c r="D12" s="9">
        <f t="shared" si="0"/>
        <v>1</v>
      </c>
      <c r="E12" s="9">
        <f t="shared" si="0"/>
        <v>0</v>
      </c>
      <c r="F12" s="9">
        <f t="shared" si="0"/>
        <v>0</v>
      </c>
      <c r="G12" s="9">
        <f t="shared" si="0"/>
        <v>0</v>
      </c>
      <c r="H12" s="9">
        <f t="shared" si="0"/>
        <v>0</v>
      </c>
      <c r="I12" s="9">
        <f t="shared" si="0"/>
        <v>0</v>
      </c>
      <c r="J12" s="9">
        <f t="shared" si="0"/>
        <v>1</v>
      </c>
      <c r="K12" s="9">
        <f t="shared" si="0"/>
        <v>0</v>
      </c>
      <c r="L12" s="9">
        <f t="shared" si="0"/>
        <v>0</v>
      </c>
      <c r="M12" s="9">
        <f t="shared" si="0"/>
        <v>0</v>
      </c>
      <c r="N12" s="9">
        <f t="shared" si="0"/>
        <v>0</v>
      </c>
      <c r="O12" s="9">
        <f t="shared" si="0"/>
        <v>0</v>
      </c>
      <c r="P12" s="9">
        <f t="shared" si="0"/>
        <v>0</v>
      </c>
      <c r="Q12" s="9">
        <f t="shared" si="0"/>
        <v>0</v>
      </c>
      <c r="R12" s="9">
        <f t="shared" si="0"/>
        <v>0</v>
      </c>
      <c r="S12" s="9">
        <f t="shared" si="0"/>
        <v>0</v>
      </c>
      <c r="T12" s="9">
        <f t="shared" si="0"/>
        <v>1</v>
      </c>
      <c r="U12" s="9">
        <f t="shared" si="0"/>
        <v>0</v>
      </c>
      <c r="V12" s="9">
        <f t="shared" si="0"/>
        <v>0</v>
      </c>
      <c r="W12" s="9">
        <f t="shared" si="0"/>
        <v>0</v>
      </c>
      <c r="X12" s="9">
        <f t="shared" si="0"/>
        <v>0</v>
      </c>
      <c r="Y12" s="9">
        <f t="shared" si="0"/>
        <v>0</v>
      </c>
      <c r="Z12" s="9">
        <f t="shared" si="0"/>
        <v>0</v>
      </c>
      <c r="AA12" s="9">
        <f t="shared" si="0"/>
        <v>1</v>
      </c>
      <c r="AB12" s="9">
        <f t="shared" si="0"/>
        <v>0</v>
      </c>
      <c r="AC12" s="9">
        <f t="shared" si="0"/>
        <v>0</v>
      </c>
      <c r="AD12" s="9">
        <f t="shared" si="0"/>
        <v>0</v>
      </c>
      <c r="AE12" s="9">
        <f t="shared" si="0"/>
        <v>0</v>
      </c>
      <c r="AF12" s="12">
        <f t="shared" ref="AF12:AF17" si="1">SUM(B12:AE12)</f>
        <v>4</v>
      </c>
      <c r="AG12" s="13">
        <f>SUM(AF12:AF17)</f>
        <v>23</v>
      </c>
    </row>
    <row r="13" ht="25" hidden="1" customHeight="1" spans="1:33">
      <c r="A13" s="11" t="s">
        <v>7</v>
      </c>
      <c r="B13" s="9">
        <f t="shared" ref="B13:AE13" si="2">IF(B4="/",0,1)</f>
        <v>0</v>
      </c>
      <c r="C13" s="9">
        <f t="shared" si="2"/>
        <v>0</v>
      </c>
      <c r="D13" s="9">
        <f t="shared" si="2"/>
        <v>0</v>
      </c>
      <c r="E13" s="9">
        <f t="shared" si="2"/>
        <v>1</v>
      </c>
      <c r="F13" s="9">
        <f t="shared" si="2"/>
        <v>0</v>
      </c>
      <c r="G13" s="9">
        <f t="shared" si="2"/>
        <v>0</v>
      </c>
      <c r="H13" s="9">
        <f t="shared" si="2"/>
        <v>0</v>
      </c>
      <c r="I13" s="9">
        <f t="shared" si="2"/>
        <v>0</v>
      </c>
      <c r="J13" s="9">
        <f t="shared" si="2"/>
        <v>0</v>
      </c>
      <c r="K13" s="9">
        <f t="shared" si="2"/>
        <v>1</v>
      </c>
      <c r="L13" s="9">
        <f t="shared" si="2"/>
        <v>0</v>
      </c>
      <c r="M13" s="9">
        <f t="shared" si="2"/>
        <v>0</v>
      </c>
      <c r="N13" s="9">
        <f t="shared" si="2"/>
        <v>0</v>
      </c>
      <c r="O13" s="9">
        <f t="shared" si="2"/>
        <v>0</v>
      </c>
      <c r="P13" s="9">
        <f t="shared" si="2"/>
        <v>0</v>
      </c>
      <c r="Q13" s="9">
        <f t="shared" si="2"/>
        <v>1</v>
      </c>
      <c r="R13" s="9">
        <f t="shared" si="2"/>
        <v>0</v>
      </c>
      <c r="S13" s="9">
        <f t="shared" si="2"/>
        <v>0</v>
      </c>
      <c r="T13" s="9">
        <f t="shared" si="2"/>
        <v>0</v>
      </c>
      <c r="U13" s="9">
        <f t="shared" si="2"/>
        <v>0</v>
      </c>
      <c r="V13" s="9">
        <f t="shared" si="2"/>
        <v>0</v>
      </c>
      <c r="W13" s="9">
        <f t="shared" si="2"/>
        <v>0</v>
      </c>
      <c r="X13" s="9">
        <f t="shared" si="2"/>
        <v>1</v>
      </c>
      <c r="Y13" s="9">
        <f t="shared" si="2"/>
        <v>0</v>
      </c>
      <c r="Z13" s="9">
        <f t="shared" si="2"/>
        <v>0</v>
      </c>
      <c r="AA13" s="9">
        <f t="shared" si="2"/>
        <v>0</v>
      </c>
      <c r="AB13" s="9">
        <f t="shared" si="2"/>
        <v>0</v>
      </c>
      <c r="AC13" s="9">
        <f t="shared" si="2"/>
        <v>0</v>
      </c>
      <c r="AD13" s="9">
        <f t="shared" si="2"/>
        <v>1</v>
      </c>
      <c r="AE13" s="9">
        <f t="shared" si="2"/>
        <v>0</v>
      </c>
      <c r="AF13" s="12">
        <f t="shared" si="1"/>
        <v>5</v>
      </c>
    </row>
    <row r="14" ht="25" hidden="1" customHeight="1" spans="1:33">
      <c r="A14" s="11" t="s">
        <v>9</v>
      </c>
      <c r="B14" s="9">
        <f t="shared" ref="B14:AE14" si="3">IF(B5="/",0,1)</f>
        <v>0</v>
      </c>
      <c r="C14" s="9">
        <f t="shared" si="3"/>
        <v>0</v>
      </c>
      <c r="D14" s="9">
        <f t="shared" si="3"/>
        <v>1</v>
      </c>
      <c r="E14" s="9">
        <f t="shared" si="3"/>
        <v>0</v>
      </c>
      <c r="F14" s="9">
        <f t="shared" si="3"/>
        <v>0</v>
      </c>
      <c r="G14" s="9">
        <f t="shared" si="3"/>
        <v>0</v>
      </c>
      <c r="H14" s="9">
        <f t="shared" si="3"/>
        <v>0</v>
      </c>
      <c r="I14" s="9">
        <f t="shared" si="3"/>
        <v>0</v>
      </c>
      <c r="J14" s="9">
        <f t="shared" si="3"/>
        <v>1</v>
      </c>
      <c r="K14" s="9">
        <f t="shared" si="3"/>
        <v>0</v>
      </c>
      <c r="L14" s="9">
        <f t="shared" si="3"/>
        <v>0</v>
      </c>
      <c r="M14" s="9">
        <f t="shared" si="3"/>
        <v>0</v>
      </c>
      <c r="N14" s="9">
        <f t="shared" si="3"/>
        <v>0</v>
      </c>
      <c r="O14" s="9">
        <f t="shared" si="3"/>
        <v>0</v>
      </c>
      <c r="P14" s="9">
        <f t="shared" si="3"/>
        <v>0</v>
      </c>
      <c r="Q14" s="9">
        <f t="shared" si="3"/>
        <v>0</v>
      </c>
      <c r="R14" s="9">
        <f t="shared" si="3"/>
        <v>1</v>
      </c>
      <c r="S14" s="9">
        <f t="shared" si="3"/>
        <v>0</v>
      </c>
      <c r="T14" s="9">
        <f t="shared" si="3"/>
        <v>0</v>
      </c>
      <c r="U14" s="9">
        <f t="shared" si="3"/>
        <v>0</v>
      </c>
      <c r="V14" s="9">
        <f t="shared" si="3"/>
        <v>0</v>
      </c>
      <c r="W14" s="9">
        <f t="shared" si="3"/>
        <v>0</v>
      </c>
      <c r="X14" s="9">
        <f t="shared" si="3"/>
        <v>0</v>
      </c>
      <c r="Y14" s="9">
        <f t="shared" si="3"/>
        <v>0</v>
      </c>
      <c r="Z14" s="9">
        <f t="shared" si="3"/>
        <v>1</v>
      </c>
      <c r="AA14" s="9">
        <f t="shared" si="3"/>
        <v>0</v>
      </c>
      <c r="AB14" s="9">
        <f t="shared" si="3"/>
        <v>0</v>
      </c>
      <c r="AC14" s="9">
        <f t="shared" si="3"/>
        <v>0</v>
      </c>
      <c r="AD14" s="9">
        <f t="shared" si="3"/>
        <v>0</v>
      </c>
      <c r="AE14" s="9">
        <f t="shared" si="3"/>
        <v>1</v>
      </c>
      <c r="AF14" s="12">
        <f t="shared" si="1"/>
        <v>5</v>
      </c>
    </row>
    <row r="15" ht="25" hidden="1" customHeight="1" spans="1:33">
      <c r="A15" s="11" t="s">
        <v>11</v>
      </c>
      <c r="B15" s="9">
        <f t="shared" ref="B15:AE15" si="4">IF(B6="/",0,1)</f>
        <v>0</v>
      </c>
      <c r="C15" s="9">
        <f t="shared" si="4"/>
        <v>0</v>
      </c>
      <c r="D15" s="9">
        <f t="shared" si="4"/>
        <v>0</v>
      </c>
      <c r="E15" s="9">
        <f t="shared" si="4"/>
        <v>1</v>
      </c>
      <c r="F15" s="9">
        <f t="shared" si="4"/>
        <v>0</v>
      </c>
      <c r="G15" s="9">
        <f t="shared" si="4"/>
        <v>0</v>
      </c>
      <c r="H15" s="9">
        <f t="shared" si="4"/>
        <v>0</v>
      </c>
      <c r="I15" s="9">
        <f t="shared" si="4"/>
        <v>0</v>
      </c>
      <c r="J15" s="9">
        <f t="shared" si="4"/>
        <v>0</v>
      </c>
      <c r="K15" s="9">
        <f t="shared" si="4"/>
        <v>0</v>
      </c>
      <c r="L15" s="9">
        <f t="shared" si="4"/>
        <v>0</v>
      </c>
      <c r="M15" s="9">
        <f t="shared" si="4"/>
        <v>0</v>
      </c>
      <c r="N15" s="9">
        <f t="shared" si="4"/>
        <v>0</v>
      </c>
      <c r="O15" s="9">
        <f t="shared" si="4"/>
        <v>0</v>
      </c>
      <c r="P15" s="9">
        <f t="shared" si="4"/>
        <v>0</v>
      </c>
      <c r="Q15" s="9">
        <f t="shared" si="4"/>
        <v>1</v>
      </c>
      <c r="R15" s="9">
        <f t="shared" si="4"/>
        <v>0</v>
      </c>
      <c r="S15" s="9">
        <f t="shared" si="4"/>
        <v>0</v>
      </c>
      <c r="T15" s="9">
        <f t="shared" si="4"/>
        <v>0</v>
      </c>
      <c r="U15" s="9">
        <f t="shared" si="4"/>
        <v>0</v>
      </c>
      <c r="V15" s="9">
        <f t="shared" si="4"/>
        <v>0</v>
      </c>
      <c r="W15" s="9">
        <f t="shared" si="4"/>
        <v>0</v>
      </c>
      <c r="X15" s="9">
        <f t="shared" si="4"/>
        <v>1</v>
      </c>
      <c r="Y15" s="9">
        <f t="shared" si="4"/>
        <v>0</v>
      </c>
      <c r="Z15" s="9">
        <f t="shared" si="4"/>
        <v>0</v>
      </c>
      <c r="AA15" s="9">
        <f t="shared" si="4"/>
        <v>0</v>
      </c>
      <c r="AB15" s="9">
        <f t="shared" si="4"/>
        <v>0</v>
      </c>
      <c r="AC15" s="9">
        <f t="shared" si="4"/>
        <v>0</v>
      </c>
      <c r="AD15" s="9">
        <f t="shared" si="4"/>
        <v>0</v>
      </c>
      <c r="AE15" s="9">
        <f t="shared" si="4"/>
        <v>0</v>
      </c>
      <c r="AF15" s="12">
        <f t="shared" si="1"/>
        <v>3</v>
      </c>
    </row>
    <row r="16" ht="25" hidden="1" customHeight="1" spans="1:33">
      <c r="A16" s="11" t="s">
        <v>12</v>
      </c>
      <c r="B16" s="9">
        <f t="shared" ref="B16:AE16" si="5">IF(B7="/",0,1)</f>
        <v>0</v>
      </c>
      <c r="C16" s="9">
        <f t="shared" si="5"/>
        <v>0</v>
      </c>
      <c r="D16" s="9">
        <f t="shared" si="5"/>
        <v>0</v>
      </c>
      <c r="E16" s="9">
        <f t="shared" si="5"/>
        <v>0</v>
      </c>
      <c r="F16" s="9">
        <f t="shared" si="5"/>
        <v>0</v>
      </c>
      <c r="G16" s="9">
        <f t="shared" si="5"/>
        <v>1</v>
      </c>
      <c r="H16" s="9">
        <f t="shared" si="5"/>
        <v>0</v>
      </c>
      <c r="I16" s="9">
        <f t="shared" si="5"/>
        <v>0</v>
      </c>
      <c r="J16" s="9">
        <f t="shared" si="5"/>
        <v>0</v>
      </c>
      <c r="K16" s="9">
        <f t="shared" si="5"/>
        <v>0</v>
      </c>
      <c r="L16" s="9">
        <f t="shared" si="5"/>
        <v>0</v>
      </c>
      <c r="M16" s="9">
        <f t="shared" si="5"/>
        <v>0</v>
      </c>
      <c r="N16" s="9">
        <f t="shared" si="5"/>
        <v>0</v>
      </c>
      <c r="O16" s="9">
        <f t="shared" si="5"/>
        <v>0</v>
      </c>
      <c r="P16" s="9">
        <f t="shared" si="5"/>
        <v>0</v>
      </c>
      <c r="Q16" s="9">
        <f t="shared" si="5"/>
        <v>0</v>
      </c>
      <c r="R16" s="9">
        <f t="shared" si="5"/>
        <v>0</v>
      </c>
      <c r="S16" s="9">
        <f t="shared" si="5"/>
        <v>1</v>
      </c>
      <c r="T16" s="9">
        <f t="shared" si="5"/>
        <v>0</v>
      </c>
      <c r="U16" s="9">
        <f t="shared" si="5"/>
        <v>0</v>
      </c>
      <c r="V16" s="9">
        <f t="shared" si="5"/>
        <v>0</v>
      </c>
      <c r="W16" s="9">
        <f t="shared" si="5"/>
        <v>0</v>
      </c>
      <c r="X16" s="9">
        <f t="shared" si="5"/>
        <v>0</v>
      </c>
      <c r="Y16" s="9">
        <f t="shared" si="5"/>
        <v>0</v>
      </c>
      <c r="Z16" s="9">
        <f t="shared" si="5"/>
        <v>0</v>
      </c>
      <c r="AA16" s="9">
        <f t="shared" si="5"/>
        <v>0</v>
      </c>
      <c r="AB16" s="9">
        <f t="shared" si="5"/>
        <v>0</v>
      </c>
      <c r="AC16" s="9">
        <f t="shared" si="5"/>
        <v>0</v>
      </c>
      <c r="AD16" s="9">
        <f t="shared" si="5"/>
        <v>0</v>
      </c>
      <c r="AE16" s="9">
        <f t="shared" si="5"/>
        <v>0</v>
      </c>
      <c r="AF16" s="12">
        <f t="shared" si="1"/>
        <v>2</v>
      </c>
    </row>
    <row r="17" ht="25" hidden="1" customHeight="1" spans="1:33">
      <c r="A17" s="11" t="s">
        <v>13</v>
      </c>
      <c r="B17" s="9">
        <f t="shared" ref="B17:AE17" si="6">IF(B8="/",0,1)</f>
        <v>0</v>
      </c>
      <c r="C17" s="9">
        <f t="shared" si="6"/>
        <v>0</v>
      </c>
      <c r="D17" s="9">
        <f t="shared" si="6"/>
        <v>1</v>
      </c>
      <c r="E17" s="9">
        <f t="shared" si="6"/>
        <v>0</v>
      </c>
      <c r="F17" s="9">
        <f t="shared" si="6"/>
        <v>0</v>
      </c>
      <c r="G17" s="9">
        <f t="shared" si="6"/>
        <v>0</v>
      </c>
      <c r="H17" s="9">
        <f t="shared" si="6"/>
        <v>0</v>
      </c>
      <c r="I17" s="9">
        <f t="shared" si="6"/>
        <v>0</v>
      </c>
      <c r="J17" s="9">
        <f t="shared" si="6"/>
        <v>1</v>
      </c>
      <c r="K17" s="9">
        <f t="shared" si="6"/>
        <v>0</v>
      </c>
      <c r="L17" s="9">
        <f t="shared" si="6"/>
        <v>0</v>
      </c>
      <c r="M17" s="9">
        <f t="shared" si="6"/>
        <v>0</v>
      </c>
      <c r="N17" s="9">
        <f t="shared" si="6"/>
        <v>0</v>
      </c>
      <c r="O17" s="9">
        <f t="shared" si="6"/>
        <v>0</v>
      </c>
      <c r="P17" s="9">
        <f t="shared" si="6"/>
        <v>0</v>
      </c>
      <c r="Q17" s="9">
        <f t="shared" si="6"/>
        <v>0</v>
      </c>
      <c r="R17" s="9">
        <f t="shared" si="6"/>
        <v>0</v>
      </c>
      <c r="S17" s="9">
        <f t="shared" si="6"/>
        <v>0</v>
      </c>
      <c r="T17" s="9">
        <f t="shared" si="6"/>
        <v>0</v>
      </c>
      <c r="U17" s="9">
        <f t="shared" si="6"/>
        <v>0</v>
      </c>
      <c r="V17" s="9">
        <f t="shared" si="6"/>
        <v>1</v>
      </c>
      <c r="W17" s="9">
        <f t="shared" si="6"/>
        <v>0</v>
      </c>
      <c r="X17" s="9">
        <f t="shared" si="6"/>
        <v>0</v>
      </c>
      <c r="Y17" s="9">
        <f t="shared" si="6"/>
        <v>0</v>
      </c>
      <c r="Z17" s="9">
        <f t="shared" si="6"/>
        <v>0</v>
      </c>
      <c r="AA17" s="9">
        <f t="shared" si="6"/>
        <v>0</v>
      </c>
      <c r="AB17" s="9">
        <f t="shared" si="6"/>
        <v>1</v>
      </c>
      <c r="AC17" s="9">
        <f t="shared" si="6"/>
        <v>0</v>
      </c>
      <c r="AD17" s="9">
        <f t="shared" si="6"/>
        <v>0</v>
      </c>
      <c r="AE17" s="9">
        <f t="shared" si="6"/>
        <v>0</v>
      </c>
      <c r="AF17" s="12">
        <f t="shared" si="1"/>
        <v>4</v>
      </c>
    </row>
    <row r="18" ht="25" hidden="1" customHeight="1"/>
    <row r="19" ht="37" customHeight="1" spans="1:33">
      <c r="A19" s="14" t="s">
        <v>17</v>
      </c>
      <c r="B19" s="14"/>
      <c r="C19" s="14"/>
      <c r="D19" s="14"/>
      <c r="E19" s="14"/>
      <c r="F19" s="15"/>
      <c r="R19"/>
    </row>
    <row r="20" ht="25" customHeight="1" spans="1:33">
      <c r="A20" s="9"/>
      <c r="B20" s="9" t="s">
        <v>6</v>
      </c>
      <c r="C20" s="9" t="s">
        <v>8</v>
      </c>
      <c r="D20" s="9" t="s">
        <v>10</v>
      </c>
      <c r="E20" s="9" t="s">
        <v>15</v>
      </c>
      <c r="F20" s="9" t="s">
        <v>18</v>
      </c>
      <c r="R20" s="16"/>
    </row>
    <row r="21" ht="25" customHeight="1" spans="1:33">
      <c r="A21" s="11" t="s">
        <v>4</v>
      </c>
      <c r="B21" s="9">
        <f t="shared" ref="B21:B26" si="7">COUNTIFS(B3:AE3,"甲")</f>
        <v>3</v>
      </c>
      <c r="C21" s="9">
        <f t="shared" ref="C21:C26" si="8">COUNTIFS(B3:AE3,"乙")</f>
        <v>0</v>
      </c>
      <c r="D21" s="9">
        <f t="shared" ref="D21:D26" si="9">COUNTIFS(B3:AE3,"丙")</f>
        <v>1</v>
      </c>
      <c r="E21" s="12">
        <f t="shared" ref="E21:E26" si="10">SUM(B21:D21)</f>
        <v>4</v>
      </c>
      <c r="F21" s="9">
        <f t="shared" ref="F21:F26" si="11">E21-AF12</f>
        <v>0</v>
      </c>
      <c r="R21" s="16"/>
    </row>
    <row r="22" ht="25" customHeight="1" spans="1:33">
      <c r="A22" s="11" t="s">
        <v>7</v>
      </c>
      <c r="B22" s="9">
        <f t="shared" si="7"/>
        <v>0</v>
      </c>
      <c r="C22" s="9">
        <f t="shared" si="8"/>
        <v>5</v>
      </c>
      <c r="D22" s="9">
        <f t="shared" si="9"/>
        <v>0</v>
      </c>
      <c r="E22" s="12">
        <f t="shared" si="10"/>
        <v>5</v>
      </c>
      <c r="F22" s="9">
        <f t="shared" si="11"/>
        <v>0</v>
      </c>
      <c r="R22" s="16"/>
    </row>
    <row r="23" ht="25" customHeight="1" spans="1:33">
      <c r="A23" s="11" t="s">
        <v>9</v>
      </c>
      <c r="B23" s="9">
        <f t="shared" si="7"/>
        <v>2</v>
      </c>
      <c r="C23" s="9">
        <f t="shared" si="8"/>
        <v>1</v>
      </c>
      <c r="D23" s="9">
        <f t="shared" si="9"/>
        <v>2</v>
      </c>
      <c r="E23" s="12">
        <f t="shared" si="10"/>
        <v>5</v>
      </c>
      <c r="F23" s="9">
        <f t="shared" si="11"/>
        <v>0</v>
      </c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</row>
    <row r="24" ht="25" customHeight="1" spans="1:33">
      <c r="A24" s="11" t="s">
        <v>11</v>
      </c>
      <c r="B24" s="9">
        <f t="shared" si="7"/>
        <v>0</v>
      </c>
      <c r="C24" s="9">
        <f t="shared" si="8"/>
        <v>3</v>
      </c>
      <c r="D24" s="9">
        <f t="shared" si="9"/>
        <v>0</v>
      </c>
      <c r="E24" s="12">
        <f t="shared" si="10"/>
        <v>3</v>
      </c>
      <c r="F24" s="9">
        <f t="shared" si="11"/>
        <v>0</v>
      </c>
      <c r="H24" s="17" t="s">
        <v>19</v>
      </c>
      <c r="I24" s="17"/>
      <c r="J24" s="17"/>
      <c r="K24" s="17"/>
      <c r="L24" s="17"/>
      <c r="M24" s="17"/>
      <c r="N24" s="17"/>
      <c r="O24" s="17"/>
      <c r="P24" s="17"/>
      <c r="Q24" s="17"/>
      <c r="R24" s="16"/>
    </row>
    <row r="25" ht="25" customHeight="1" spans="1:33">
      <c r="A25" s="11" t="s">
        <v>12</v>
      </c>
      <c r="B25" s="9">
        <f t="shared" si="7"/>
        <v>0</v>
      </c>
      <c r="C25" s="9">
        <f t="shared" si="8"/>
        <v>0</v>
      </c>
      <c r="D25" s="9">
        <f t="shared" si="9"/>
        <v>2</v>
      </c>
      <c r="E25" s="12">
        <f t="shared" si="10"/>
        <v>2</v>
      </c>
      <c r="F25" s="9">
        <f t="shared" si="11"/>
        <v>0</v>
      </c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6"/>
    </row>
    <row r="26" ht="25" customHeight="1" spans="1:33">
      <c r="A26" s="11" t="s">
        <v>13</v>
      </c>
      <c r="B26" s="9">
        <f t="shared" si="7"/>
        <v>4</v>
      </c>
      <c r="C26" s="9">
        <f t="shared" si="8"/>
        <v>0</v>
      </c>
      <c r="D26" s="9">
        <f t="shared" si="9"/>
        <v>0</v>
      </c>
      <c r="E26" s="12">
        <f t="shared" si="10"/>
        <v>4</v>
      </c>
      <c r="F26" s="9">
        <f t="shared" si="11"/>
        <v>0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6"/>
    </row>
    <row r="27" ht="25" customHeight="1" spans="1:33">
      <c r="A27" s="11" t="s">
        <v>21</v>
      </c>
      <c r="B27" s="13">
        <f>SUM(B21:B26)</f>
        <v>9</v>
      </c>
      <c r="C27" s="13">
        <f>SUM(C21:C26)</f>
        <v>9</v>
      </c>
      <c r="D27" s="13">
        <f>SUM(D21:D26)</f>
        <v>5</v>
      </c>
      <c r="E27" s="19">
        <f>SUM(E21:E26)</f>
        <v>23</v>
      </c>
      <c r="F27" s="9">
        <f>E27-AG12</f>
        <v>0</v>
      </c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16"/>
    </row>
    <row r="28" ht="50" customHeight="1"/>
    <row r="29" ht="45" customHeight="1" spans="1:33">
      <c r="A29" s="10" t="s">
        <v>113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21"/>
    </row>
    <row r="30" s="1" customFormat="1" ht="30" customHeight="1" spans="1:33">
      <c r="A30" s="11"/>
      <c r="B30" s="6" t="s">
        <v>114</v>
      </c>
      <c r="C30" s="6" t="s">
        <v>115</v>
      </c>
      <c r="D30" s="6" t="s">
        <v>116</v>
      </c>
      <c r="E30" s="6" t="s">
        <v>117</v>
      </c>
      <c r="F30" s="6" t="s">
        <v>118</v>
      </c>
      <c r="G30" s="6" t="s">
        <v>119</v>
      </c>
      <c r="H30" s="6" t="s">
        <v>120</v>
      </c>
      <c r="I30" s="6" t="s">
        <v>121</v>
      </c>
      <c r="J30" s="6" t="s">
        <v>122</v>
      </c>
      <c r="K30" s="6" t="s">
        <v>123</v>
      </c>
      <c r="L30" s="6" t="s">
        <v>124</v>
      </c>
      <c r="M30" s="6" t="s">
        <v>125</v>
      </c>
      <c r="N30" s="6" t="s">
        <v>126</v>
      </c>
      <c r="O30" s="6" t="s">
        <v>127</v>
      </c>
      <c r="P30" s="7">
        <v>8.15</v>
      </c>
      <c r="Q30" s="7">
        <v>8.16</v>
      </c>
      <c r="R30" s="7">
        <v>8.17</v>
      </c>
      <c r="S30" s="7">
        <v>8.18</v>
      </c>
      <c r="T30" s="7">
        <v>8.19</v>
      </c>
      <c r="U30" s="6" t="s">
        <v>128</v>
      </c>
      <c r="V30" s="7">
        <v>8.21</v>
      </c>
      <c r="W30" s="7">
        <v>8.22</v>
      </c>
      <c r="X30" s="7">
        <v>8.23</v>
      </c>
      <c r="Y30" s="7">
        <v>8.24</v>
      </c>
      <c r="Z30" s="7">
        <v>8.25</v>
      </c>
      <c r="AA30" s="7">
        <v>8.26</v>
      </c>
      <c r="AB30" s="7">
        <v>8.27</v>
      </c>
      <c r="AC30" s="7">
        <v>8.28</v>
      </c>
      <c r="AD30" s="7">
        <v>8.29</v>
      </c>
      <c r="AE30" s="6" t="s">
        <v>129</v>
      </c>
      <c r="AF30" s="7">
        <v>8.31</v>
      </c>
      <c r="AG30" s="8"/>
    </row>
    <row r="31" ht="30" customHeight="1" spans="1:33">
      <c r="A31" s="11" t="s">
        <v>4</v>
      </c>
      <c r="B31" s="9" t="s">
        <v>5</v>
      </c>
      <c r="C31" s="9" t="s">
        <v>6</v>
      </c>
      <c r="D31" s="9" t="s">
        <v>5</v>
      </c>
      <c r="E31" s="9" t="s">
        <v>5</v>
      </c>
      <c r="F31" s="9" t="s">
        <v>5</v>
      </c>
      <c r="G31" s="9" t="s">
        <v>5</v>
      </c>
      <c r="H31" s="9" t="s">
        <v>5</v>
      </c>
      <c r="I31" s="9" t="s">
        <v>6</v>
      </c>
      <c r="J31" s="9" t="s">
        <v>5</v>
      </c>
      <c r="K31" s="9" t="s">
        <v>5</v>
      </c>
      <c r="L31" s="9" t="s">
        <v>5</v>
      </c>
      <c r="M31" s="9" t="s">
        <v>5</v>
      </c>
      <c r="N31" s="9" t="s">
        <v>5</v>
      </c>
      <c r="O31" s="9" t="s">
        <v>5</v>
      </c>
      <c r="P31" s="9" t="s">
        <v>5</v>
      </c>
      <c r="Q31" s="9" t="s">
        <v>5</v>
      </c>
      <c r="R31" s="9" t="s">
        <v>5</v>
      </c>
      <c r="S31" s="9" t="s">
        <v>5</v>
      </c>
      <c r="T31" s="9" t="s">
        <v>5</v>
      </c>
      <c r="U31" s="9" t="s">
        <v>5</v>
      </c>
      <c r="V31" s="9" t="s">
        <v>5</v>
      </c>
      <c r="W31" s="9" t="s">
        <v>8</v>
      </c>
      <c r="X31" s="9" t="s">
        <v>5</v>
      </c>
      <c r="Y31" s="9" t="s">
        <v>5</v>
      </c>
      <c r="Z31" s="9" t="s">
        <v>5</v>
      </c>
      <c r="AA31" s="9" t="s">
        <v>6</v>
      </c>
      <c r="AB31" s="9" t="s">
        <v>5</v>
      </c>
      <c r="AC31" s="9" t="s">
        <v>5</v>
      </c>
      <c r="AD31" s="9" t="s">
        <v>5</v>
      </c>
      <c r="AE31" s="9" t="s">
        <v>5</v>
      </c>
      <c r="AF31" s="9" t="s">
        <v>5</v>
      </c>
    </row>
    <row r="32" ht="30" customHeight="1" spans="1:33">
      <c r="A32" s="11" t="s">
        <v>7</v>
      </c>
      <c r="B32" s="9" t="s">
        <v>5</v>
      </c>
      <c r="C32" s="9" t="s">
        <v>5</v>
      </c>
      <c r="D32" s="9" t="s">
        <v>8</v>
      </c>
      <c r="E32" s="9" t="s">
        <v>5</v>
      </c>
      <c r="F32" s="9" t="s">
        <v>5</v>
      </c>
      <c r="G32" s="9" t="s">
        <v>5</v>
      </c>
      <c r="H32" s="9" t="s">
        <v>5</v>
      </c>
      <c r="I32" s="9" t="s">
        <v>5</v>
      </c>
      <c r="J32" s="9" t="s">
        <v>5</v>
      </c>
      <c r="K32" s="9" t="s">
        <v>5</v>
      </c>
      <c r="L32" s="9" t="s">
        <v>5</v>
      </c>
      <c r="M32" s="9" t="s">
        <v>5</v>
      </c>
      <c r="N32" s="9" t="s">
        <v>5</v>
      </c>
      <c r="O32" s="9" t="s">
        <v>5</v>
      </c>
      <c r="P32" s="9" t="s">
        <v>5</v>
      </c>
      <c r="Q32" s="9" t="s">
        <v>5</v>
      </c>
      <c r="R32" s="9" t="s">
        <v>5</v>
      </c>
      <c r="S32" s="9" t="s">
        <v>5</v>
      </c>
      <c r="T32" s="9" t="s">
        <v>5</v>
      </c>
      <c r="U32" s="9" t="s">
        <v>5</v>
      </c>
      <c r="V32" s="9" t="s">
        <v>5</v>
      </c>
      <c r="W32" s="9" t="s">
        <v>5</v>
      </c>
      <c r="X32" s="9" t="s">
        <v>5</v>
      </c>
      <c r="Y32" s="9" t="s">
        <v>5</v>
      </c>
      <c r="Z32" s="9" t="s">
        <v>5</v>
      </c>
      <c r="AA32" s="9" t="s">
        <v>5</v>
      </c>
      <c r="AB32" s="9" t="s">
        <v>5</v>
      </c>
      <c r="AC32" s="9" t="s">
        <v>5</v>
      </c>
      <c r="AD32" s="9" t="s">
        <v>5</v>
      </c>
      <c r="AE32" s="9" t="s">
        <v>5</v>
      </c>
      <c r="AF32" s="9" t="s">
        <v>5</v>
      </c>
    </row>
    <row r="33" ht="30" customHeight="1" spans="1:34">
      <c r="A33" s="11" t="s">
        <v>9</v>
      </c>
      <c r="B33" s="9" t="s">
        <v>5</v>
      </c>
      <c r="C33" s="9" t="s">
        <v>6</v>
      </c>
      <c r="D33" s="9" t="s">
        <v>5</v>
      </c>
      <c r="E33" s="9" t="s">
        <v>5</v>
      </c>
      <c r="F33" s="9" t="s">
        <v>5</v>
      </c>
      <c r="G33" s="9" t="s">
        <v>5</v>
      </c>
      <c r="H33" s="9" t="s">
        <v>5</v>
      </c>
      <c r="I33" s="9" t="s">
        <v>6</v>
      </c>
      <c r="J33" s="9" t="s">
        <v>5</v>
      </c>
      <c r="K33" s="9" t="s">
        <v>5</v>
      </c>
      <c r="L33" s="9" t="s">
        <v>5</v>
      </c>
      <c r="M33" s="9" t="s">
        <v>5</v>
      </c>
      <c r="N33" s="9" t="s">
        <v>5</v>
      </c>
      <c r="O33" s="9" t="s">
        <v>5</v>
      </c>
      <c r="P33" s="9" t="s">
        <v>5</v>
      </c>
      <c r="Q33" s="9" t="s">
        <v>5</v>
      </c>
      <c r="R33" s="9" t="s">
        <v>5</v>
      </c>
      <c r="S33" s="9" t="s">
        <v>5</v>
      </c>
      <c r="T33" s="9" t="s">
        <v>5</v>
      </c>
      <c r="U33" s="9" t="s">
        <v>5</v>
      </c>
      <c r="V33" s="9" t="s">
        <v>5</v>
      </c>
      <c r="W33" s="9" t="s">
        <v>5</v>
      </c>
      <c r="X33" s="9" t="s">
        <v>10</v>
      </c>
      <c r="Y33" s="9" t="s">
        <v>5</v>
      </c>
      <c r="Z33" s="9" t="s">
        <v>5</v>
      </c>
      <c r="AA33" s="9" t="s">
        <v>5</v>
      </c>
      <c r="AB33" s="9" t="s">
        <v>5</v>
      </c>
      <c r="AC33" s="9" t="s">
        <v>5</v>
      </c>
      <c r="AD33" s="9" t="s">
        <v>5</v>
      </c>
      <c r="AE33" s="9" t="s">
        <v>5</v>
      </c>
      <c r="AF33" s="9" t="s">
        <v>5</v>
      </c>
    </row>
    <row r="34" ht="30" customHeight="1" spans="1:34">
      <c r="A34" s="11" t="s">
        <v>11</v>
      </c>
      <c r="B34" s="9" t="s">
        <v>5</v>
      </c>
      <c r="C34" s="9" t="s">
        <v>5</v>
      </c>
      <c r="D34" s="9" t="s">
        <v>5</v>
      </c>
      <c r="E34" s="9" t="s">
        <v>5</v>
      </c>
      <c r="F34" s="9" t="s">
        <v>5</v>
      </c>
      <c r="G34" s="9" t="s">
        <v>5</v>
      </c>
      <c r="H34" s="9" t="s">
        <v>5</v>
      </c>
      <c r="I34" s="9" t="s">
        <v>5</v>
      </c>
      <c r="J34" s="9" t="s">
        <v>8</v>
      </c>
      <c r="K34" s="9" t="s">
        <v>5</v>
      </c>
      <c r="L34" s="9" t="s">
        <v>5</v>
      </c>
      <c r="M34" s="9" t="s">
        <v>5</v>
      </c>
      <c r="N34" s="9" t="s">
        <v>5</v>
      </c>
      <c r="O34" s="9" t="s">
        <v>5</v>
      </c>
      <c r="P34" s="9" t="s">
        <v>5</v>
      </c>
      <c r="Q34" s="9" t="s">
        <v>5</v>
      </c>
      <c r="R34" s="9" t="s">
        <v>5</v>
      </c>
      <c r="S34" s="9" t="s">
        <v>5</v>
      </c>
      <c r="T34" s="9" t="s">
        <v>5</v>
      </c>
      <c r="U34" s="9" t="s">
        <v>5</v>
      </c>
      <c r="V34" s="9" t="s">
        <v>5</v>
      </c>
      <c r="W34" s="9" t="s">
        <v>5</v>
      </c>
      <c r="X34" s="9" t="s">
        <v>5</v>
      </c>
      <c r="Y34" s="9" t="s">
        <v>5</v>
      </c>
      <c r="Z34" s="9" t="s">
        <v>5</v>
      </c>
      <c r="AA34" s="9" t="s">
        <v>5</v>
      </c>
      <c r="AB34" s="9" t="s">
        <v>8</v>
      </c>
      <c r="AC34" s="9" t="s">
        <v>5</v>
      </c>
      <c r="AD34" s="9" t="s">
        <v>5</v>
      </c>
      <c r="AE34" s="9" t="s">
        <v>5</v>
      </c>
      <c r="AF34" s="9" t="s">
        <v>5</v>
      </c>
    </row>
    <row r="35" ht="30" customHeight="1" spans="1:34">
      <c r="A35" s="11" t="s">
        <v>12</v>
      </c>
      <c r="B35" s="9" t="s">
        <v>5</v>
      </c>
      <c r="C35" s="9" t="s">
        <v>5</v>
      </c>
      <c r="D35" s="9" t="s">
        <v>5</v>
      </c>
      <c r="E35" s="9" t="s">
        <v>5</v>
      </c>
      <c r="F35" s="9" t="s">
        <v>5</v>
      </c>
      <c r="G35" s="9" t="s">
        <v>10</v>
      </c>
      <c r="H35" s="9" t="s">
        <v>5</v>
      </c>
      <c r="I35" s="9" t="s">
        <v>5</v>
      </c>
      <c r="J35" s="9" t="s">
        <v>5</v>
      </c>
      <c r="K35" s="9" t="s">
        <v>5</v>
      </c>
      <c r="L35" s="9" t="s">
        <v>5</v>
      </c>
      <c r="M35" s="9" t="s">
        <v>5</v>
      </c>
      <c r="N35" s="9" t="s">
        <v>5</v>
      </c>
      <c r="O35" s="9" t="s">
        <v>5</v>
      </c>
      <c r="P35" s="9" t="s">
        <v>5</v>
      </c>
      <c r="Q35" s="9" t="s">
        <v>5</v>
      </c>
      <c r="R35" s="9" t="s">
        <v>5</v>
      </c>
      <c r="S35" s="9" t="s">
        <v>5</v>
      </c>
      <c r="T35" s="9" t="s">
        <v>5</v>
      </c>
      <c r="U35" s="9" t="s">
        <v>5</v>
      </c>
      <c r="V35" s="9" t="s">
        <v>5</v>
      </c>
      <c r="W35" s="9" t="s">
        <v>5</v>
      </c>
      <c r="X35" s="9" t="s">
        <v>5</v>
      </c>
      <c r="Y35" s="9" t="s">
        <v>5</v>
      </c>
      <c r="Z35" s="9" t="s">
        <v>5</v>
      </c>
      <c r="AA35" s="9" t="s">
        <v>5</v>
      </c>
      <c r="AB35" s="9" t="s">
        <v>5</v>
      </c>
      <c r="AC35" s="9" t="s">
        <v>5</v>
      </c>
      <c r="AD35" s="9" t="s">
        <v>10</v>
      </c>
      <c r="AE35" s="9" t="s">
        <v>5</v>
      </c>
      <c r="AF35" s="9" t="s">
        <v>5</v>
      </c>
    </row>
    <row r="36" ht="30" customHeight="1" spans="1:34">
      <c r="A36" s="11" t="s">
        <v>13</v>
      </c>
      <c r="B36" s="9" t="s">
        <v>5</v>
      </c>
      <c r="C36" s="9" t="s">
        <v>5</v>
      </c>
      <c r="D36" s="9" t="s">
        <v>8</v>
      </c>
      <c r="E36" s="9" t="s">
        <v>5</v>
      </c>
      <c r="F36" s="9" t="s">
        <v>5</v>
      </c>
      <c r="G36" s="9" t="s">
        <v>5</v>
      </c>
      <c r="H36" s="9" t="s">
        <v>5</v>
      </c>
      <c r="I36" s="9" t="s">
        <v>5</v>
      </c>
      <c r="J36" s="9" t="s">
        <v>5</v>
      </c>
      <c r="K36" s="9" t="s">
        <v>5</v>
      </c>
      <c r="L36" s="9" t="s">
        <v>5</v>
      </c>
      <c r="M36" s="9" t="s">
        <v>5</v>
      </c>
      <c r="N36" s="9" t="s">
        <v>5</v>
      </c>
      <c r="O36" s="9" t="s">
        <v>5</v>
      </c>
      <c r="P36" s="9" t="s">
        <v>5</v>
      </c>
      <c r="Q36" s="9" t="s">
        <v>5</v>
      </c>
      <c r="R36" s="9" t="s">
        <v>5</v>
      </c>
      <c r="S36" s="9" t="s">
        <v>5</v>
      </c>
      <c r="T36" s="9" t="s">
        <v>5</v>
      </c>
      <c r="U36" s="9" t="s">
        <v>6</v>
      </c>
      <c r="V36" s="9" t="s">
        <v>5</v>
      </c>
      <c r="W36" s="9" t="s">
        <v>5</v>
      </c>
      <c r="X36" s="9" t="s">
        <v>5</v>
      </c>
      <c r="Y36" s="9" t="s">
        <v>5</v>
      </c>
      <c r="Z36" s="9" t="s">
        <v>5</v>
      </c>
      <c r="AA36" s="9" t="s">
        <v>5</v>
      </c>
      <c r="AB36" s="9" t="s">
        <v>5</v>
      </c>
      <c r="AC36" s="9" t="s">
        <v>5</v>
      </c>
      <c r="AD36" s="9" t="s">
        <v>5</v>
      </c>
      <c r="AE36" s="9" t="s">
        <v>5</v>
      </c>
      <c r="AF36" s="9" t="s">
        <v>6</v>
      </c>
    </row>
    <row r="37" ht="30" customHeight="1"/>
    <row r="38" ht="45" hidden="1" customHeight="1" spans="1:34">
      <c r="A38" s="4" t="s">
        <v>14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ht="25" hidden="1" customHeight="1" spans="1:34">
      <c r="B39" s="6" t="s">
        <v>50</v>
      </c>
      <c r="C39" s="6" t="s">
        <v>51</v>
      </c>
      <c r="D39" s="6" t="s">
        <v>52</v>
      </c>
      <c r="E39" s="6" t="s">
        <v>53</v>
      </c>
      <c r="F39" s="6" t="s">
        <v>54</v>
      </c>
      <c r="G39" s="6" t="s">
        <v>55</v>
      </c>
      <c r="H39" s="6" t="s">
        <v>56</v>
      </c>
      <c r="I39" s="6" t="s">
        <v>57</v>
      </c>
      <c r="J39" s="6" t="s">
        <v>58</v>
      </c>
      <c r="K39" s="6" t="s">
        <v>59</v>
      </c>
      <c r="L39" s="6" t="s">
        <v>60</v>
      </c>
      <c r="M39" s="6" t="s">
        <v>61</v>
      </c>
      <c r="N39" s="6" t="s">
        <v>62</v>
      </c>
      <c r="O39" s="6" t="s">
        <v>63</v>
      </c>
      <c r="P39" s="7">
        <v>5.15</v>
      </c>
      <c r="Q39" s="7">
        <v>5.16</v>
      </c>
      <c r="R39" s="7">
        <v>5.17</v>
      </c>
      <c r="S39" s="7">
        <v>5.18</v>
      </c>
      <c r="T39" s="7">
        <v>5.19</v>
      </c>
      <c r="U39" s="6" t="s">
        <v>64</v>
      </c>
      <c r="V39" s="7">
        <v>5.21</v>
      </c>
      <c r="W39" s="7">
        <v>5.22</v>
      </c>
      <c r="X39" s="7">
        <v>5.23</v>
      </c>
      <c r="Y39" s="7">
        <v>5.24</v>
      </c>
      <c r="Z39" s="7">
        <v>5.25</v>
      </c>
      <c r="AA39" s="7">
        <v>5.26</v>
      </c>
      <c r="AB39" s="7">
        <v>5.27</v>
      </c>
      <c r="AC39" s="7">
        <v>5.28</v>
      </c>
      <c r="AD39" s="7">
        <v>5.29</v>
      </c>
      <c r="AE39" s="6" t="s">
        <v>65</v>
      </c>
      <c r="AF39" s="7">
        <v>5.31</v>
      </c>
      <c r="AG39" s="9" t="s">
        <v>15</v>
      </c>
      <c r="AH39" s="9" t="s">
        <v>16</v>
      </c>
    </row>
    <row r="40" ht="25" hidden="1" customHeight="1" spans="1:34">
      <c r="A40" s="11" t="s">
        <v>4</v>
      </c>
      <c r="B40" s="9">
        <f t="shared" ref="B40:AF40" si="12">IF(B31="/",0,1)</f>
        <v>0</v>
      </c>
      <c r="C40" s="9">
        <f t="shared" si="12"/>
        <v>1</v>
      </c>
      <c r="D40" s="9">
        <f t="shared" si="12"/>
        <v>0</v>
      </c>
      <c r="E40" s="9">
        <f t="shared" si="12"/>
        <v>0</v>
      </c>
      <c r="F40" s="9">
        <f t="shared" si="12"/>
        <v>0</v>
      </c>
      <c r="G40" s="9">
        <f t="shared" si="12"/>
        <v>0</v>
      </c>
      <c r="H40" s="9">
        <f t="shared" si="12"/>
        <v>0</v>
      </c>
      <c r="I40" s="9">
        <f t="shared" si="12"/>
        <v>1</v>
      </c>
      <c r="J40" s="9">
        <f t="shared" si="12"/>
        <v>0</v>
      </c>
      <c r="K40" s="9">
        <f t="shared" si="12"/>
        <v>0</v>
      </c>
      <c r="L40" s="9">
        <f t="shared" si="12"/>
        <v>0</v>
      </c>
      <c r="M40" s="9">
        <f t="shared" si="12"/>
        <v>0</v>
      </c>
      <c r="N40" s="9">
        <f t="shared" si="12"/>
        <v>0</v>
      </c>
      <c r="O40" s="9">
        <f t="shared" si="12"/>
        <v>0</v>
      </c>
      <c r="P40" s="9">
        <f t="shared" si="12"/>
        <v>0</v>
      </c>
      <c r="Q40" s="9">
        <f t="shared" si="12"/>
        <v>0</v>
      </c>
      <c r="R40" s="9">
        <f t="shared" si="12"/>
        <v>0</v>
      </c>
      <c r="S40" s="9">
        <f t="shared" si="12"/>
        <v>0</v>
      </c>
      <c r="T40" s="9">
        <f t="shared" si="12"/>
        <v>0</v>
      </c>
      <c r="U40" s="9">
        <f t="shared" si="12"/>
        <v>0</v>
      </c>
      <c r="V40" s="9">
        <f t="shared" si="12"/>
        <v>0</v>
      </c>
      <c r="W40" s="9">
        <f t="shared" si="12"/>
        <v>1</v>
      </c>
      <c r="X40" s="9">
        <f t="shared" si="12"/>
        <v>0</v>
      </c>
      <c r="Y40" s="9">
        <f t="shared" si="12"/>
        <v>0</v>
      </c>
      <c r="Z40" s="9">
        <f t="shared" si="12"/>
        <v>0</v>
      </c>
      <c r="AA40" s="9">
        <f t="shared" si="12"/>
        <v>1</v>
      </c>
      <c r="AB40" s="9">
        <f t="shared" si="12"/>
        <v>0</v>
      </c>
      <c r="AC40" s="9">
        <f t="shared" si="12"/>
        <v>0</v>
      </c>
      <c r="AD40" s="9">
        <f t="shared" si="12"/>
        <v>0</v>
      </c>
      <c r="AE40" s="9">
        <f t="shared" si="12"/>
        <v>0</v>
      </c>
      <c r="AF40" s="9">
        <f t="shared" si="12"/>
        <v>0</v>
      </c>
      <c r="AG40" s="12">
        <f t="shared" ref="AG40:AG45" si="13">SUM(B40:AF40)</f>
        <v>4</v>
      </c>
      <c r="AH40" s="13">
        <f>SUM(AG40:AG45)</f>
        <v>15</v>
      </c>
    </row>
    <row r="41" ht="25" hidden="1" customHeight="1" spans="1:34">
      <c r="A41" s="11" t="s">
        <v>7</v>
      </c>
      <c r="B41" s="9">
        <f t="shared" ref="B41:AF41" si="14">IF(B32="/",0,1)</f>
        <v>0</v>
      </c>
      <c r="C41" s="9">
        <f t="shared" si="14"/>
        <v>0</v>
      </c>
      <c r="D41" s="9">
        <f t="shared" si="14"/>
        <v>1</v>
      </c>
      <c r="E41" s="9">
        <f t="shared" si="14"/>
        <v>0</v>
      </c>
      <c r="F41" s="9">
        <f t="shared" si="14"/>
        <v>0</v>
      </c>
      <c r="G41" s="9">
        <f t="shared" si="14"/>
        <v>0</v>
      </c>
      <c r="H41" s="9">
        <f t="shared" si="14"/>
        <v>0</v>
      </c>
      <c r="I41" s="9">
        <f t="shared" si="14"/>
        <v>0</v>
      </c>
      <c r="J41" s="9">
        <f t="shared" si="14"/>
        <v>0</v>
      </c>
      <c r="K41" s="9">
        <f t="shared" si="14"/>
        <v>0</v>
      </c>
      <c r="L41" s="9">
        <f t="shared" si="14"/>
        <v>0</v>
      </c>
      <c r="M41" s="9">
        <f t="shared" si="14"/>
        <v>0</v>
      </c>
      <c r="N41" s="9">
        <f t="shared" si="14"/>
        <v>0</v>
      </c>
      <c r="O41" s="9">
        <f t="shared" si="14"/>
        <v>0</v>
      </c>
      <c r="P41" s="9">
        <f t="shared" si="14"/>
        <v>0</v>
      </c>
      <c r="Q41" s="9">
        <f t="shared" si="14"/>
        <v>0</v>
      </c>
      <c r="R41" s="9">
        <f t="shared" si="14"/>
        <v>0</v>
      </c>
      <c r="S41" s="9">
        <f t="shared" si="14"/>
        <v>0</v>
      </c>
      <c r="T41" s="9">
        <f t="shared" si="14"/>
        <v>0</v>
      </c>
      <c r="U41" s="9">
        <f t="shared" si="14"/>
        <v>0</v>
      </c>
      <c r="V41" s="9">
        <f t="shared" si="14"/>
        <v>0</v>
      </c>
      <c r="W41" s="9">
        <f t="shared" si="14"/>
        <v>0</v>
      </c>
      <c r="X41" s="9">
        <f t="shared" si="14"/>
        <v>0</v>
      </c>
      <c r="Y41" s="9">
        <f t="shared" si="14"/>
        <v>0</v>
      </c>
      <c r="Z41" s="9">
        <f t="shared" si="14"/>
        <v>0</v>
      </c>
      <c r="AA41" s="9">
        <f t="shared" si="14"/>
        <v>0</v>
      </c>
      <c r="AB41" s="9">
        <f t="shared" si="14"/>
        <v>0</v>
      </c>
      <c r="AC41" s="9">
        <f t="shared" si="14"/>
        <v>0</v>
      </c>
      <c r="AD41" s="9">
        <f t="shared" si="14"/>
        <v>0</v>
      </c>
      <c r="AE41" s="9">
        <f t="shared" si="14"/>
        <v>0</v>
      </c>
      <c r="AF41" s="9">
        <f t="shared" si="14"/>
        <v>0</v>
      </c>
      <c r="AG41" s="12">
        <f t="shared" si="13"/>
        <v>1</v>
      </c>
    </row>
    <row r="42" ht="25" hidden="1" customHeight="1" spans="1:34">
      <c r="A42" s="11" t="s">
        <v>9</v>
      </c>
      <c r="B42" s="9">
        <f t="shared" ref="B42:AF42" si="15">IF(B33="/",0,1)</f>
        <v>0</v>
      </c>
      <c r="C42" s="9">
        <f t="shared" si="15"/>
        <v>1</v>
      </c>
      <c r="D42" s="9">
        <f t="shared" si="15"/>
        <v>0</v>
      </c>
      <c r="E42" s="9">
        <f t="shared" si="15"/>
        <v>0</v>
      </c>
      <c r="F42" s="9">
        <f t="shared" si="15"/>
        <v>0</v>
      </c>
      <c r="G42" s="9">
        <f t="shared" si="15"/>
        <v>0</v>
      </c>
      <c r="H42" s="9">
        <f t="shared" si="15"/>
        <v>0</v>
      </c>
      <c r="I42" s="9">
        <f t="shared" si="15"/>
        <v>1</v>
      </c>
      <c r="J42" s="9">
        <f t="shared" si="15"/>
        <v>0</v>
      </c>
      <c r="K42" s="9">
        <f t="shared" si="15"/>
        <v>0</v>
      </c>
      <c r="L42" s="9">
        <f t="shared" si="15"/>
        <v>0</v>
      </c>
      <c r="M42" s="9">
        <f t="shared" si="15"/>
        <v>0</v>
      </c>
      <c r="N42" s="9">
        <f t="shared" si="15"/>
        <v>0</v>
      </c>
      <c r="O42" s="9">
        <f t="shared" si="15"/>
        <v>0</v>
      </c>
      <c r="P42" s="9">
        <f t="shared" si="15"/>
        <v>0</v>
      </c>
      <c r="Q42" s="9">
        <f t="shared" si="15"/>
        <v>0</v>
      </c>
      <c r="R42" s="9">
        <f t="shared" si="15"/>
        <v>0</v>
      </c>
      <c r="S42" s="9">
        <f t="shared" si="15"/>
        <v>0</v>
      </c>
      <c r="T42" s="9">
        <f t="shared" si="15"/>
        <v>0</v>
      </c>
      <c r="U42" s="9">
        <f t="shared" si="15"/>
        <v>0</v>
      </c>
      <c r="V42" s="9">
        <f t="shared" si="15"/>
        <v>0</v>
      </c>
      <c r="W42" s="9">
        <f t="shared" si="15"/>
        <v>0</v>
      </c>
      <c r="X42" s="9">
        <f t="shared" si="15"/>
        <v>1</v>
      </c>
      <c r="Y42" s="9">
        <f t="shared" si="15"/>
        <v>0</v>
      </c>
      <c r="Z42" s="9">
        <f t="shared" si="15"/>
        <v>0</v>
      </c>
      <c r="AA42" s="9">
        <f t="shared" si="15"/>
        <v>0</v>
      </c>
      <c r="AB42" s="9">
        <f t="shared" si="15"/>
        <v>0</v>
      </c>
      <c r="AC42" s="9">
        <f t="shared" si="15"/>
        <v>0</v>
      </c>
      <c r="AD42" s="9">
        <f t="shared" si="15"/>
        <v>0</v>
      </c>
      <c r="AE42" s="9">
        <f t="shared" si="15"/>
        <v>0</v>
      </c>
      <c r="AF42" s="9">
        <f t="shared" si="15"/>
        <v>0</v>
      </c>
      <c r="AG42" s="12">
        <f t="shared" si="13"/>
        <v>3</v>
      </c>
    </row>
    <row r="43" ht="25" hidden="1" customHeight="1" spans="1:34">
      <c r="A43" s="11" t="s">
        <v>11</v>
      </c>
      <c r="B43" s="9">
        <f t="shared" ref="B43:AF43" si="16">IF(B34="/",0,1)</f>
        <v>0</v>
      </c>
      <c r="C43" s="9">
        <f t="shared" si="16"/>
        <v>0</v>
      </c>
      <c r="D43" s="9">
        <f t="shared" si="16"/>
        <v>0</v>
      </c>
      <c r="E43" s="9">
        <f t="shared" si="16"/>
        <v>0</v>
      </c>
      <c r="F43" s="9">
        <f t="shared" si="16"/>
        <v>0</v>
      </c>
      <c r="G43" s="9">
        <f t="shared" si="16"/>
        <v>0</v>
      </c>
      <c r="H43" s="9">
        <f t="shared" si="16"/>
        <v>0</v>
      </c>
      <c r="I43" s="9">
        <f t="shared" si="16"/>
        <v>0</v>
      </c>
      <c r="J43" s="9">
        <f t="shared" si="16"/>
        <v>1</v>
      </c>
      <c r="K43" s="9">
        <f t="shared" si="16"/>
        <v>0</v>
      </c>
      <c r="L43" s="9">
        <f t="shared" si="16"/>
        <v>0</v>
      </c>
      <c r="M43" s="9">
        <f t="shared" si="16"/>
        <v>0</v>
      </c>
      <c r="N43" s="9">
        <f t="shared" si="16"/>
        <v>0</v>
      </c>
      <c r="O43" s="9">
        <f t="shared" si="16"/>
        <v>0</v>
      </c>
      <c r="P43" s="9">
        <f t="shared" si="16"/>
        <v>0</v>
      </c>
      <c r="Q43" s="9">
        <f t="shared" si="16"/>
        <v>0</v>
      </c>
      <c r="R43" s="9">
        <f t="shared" si="16"/>
        <v>0</v>
      </c>
      <c r="S43" s="9">
        <f t="shared" si="16"/>
        <v>0</v>
      </c>
      <c r="T43" s="9">
        <f t="shared" si="16"/>
        <v>0</v>
      </c>
      <c r="U43" s="9">
        <f t="shared" si="16"/>
        <v>0</v>
      </c>
      <c r="V43" s="9">
        <f t="shared" si="16"/>
        <v>0</v>
      </c>
      <c r="W43" s="9">
        <f t="shared" si="16"/>
        <v>0</v>
      </c>
      <c r="X43" s="9">
        <f t="shared" si="16"/>
        <v>0</v>
      </c>
      <c r="Y43" s="9">
        <f t="shared" si="16"/>
        <v>0</v>
      </c>
      <c r="Z43" s="9">
        <f t="shared" si="16"/>
        <v>0</v>
      </c>
      <c r="AA43" s="9">
        <f t="shared" si="16"/>
        <v>0</v>
      </c>
      <c r="AB43" s="9">
        <f t="shared" si="16"/>
        <v>1</v>
      </c>
      <c r="AC43" s="9">
        <f t="shared" si="16"/>
        <v>0</v>
      </c>
      <c r="AD43" s="9">
        <f t="shared" si="16"/>
        <v>0</v>
      </c>
      <c r="AE43" s="9">
        <f t="shared" si="16"/>
        <v>0</v>
      </c>
      <c r="AF43" s="9">
        <f t="shared" si="16"/>
        <v>0</v>
      </c>
      <c r="AG43" s="12">
        <f t="shared" si="13"/>
        <v>2</v>
      </c>
    </row>
    <row r="44" ht="25" hidden="1" customHeight="1" spans="1:34">
      <c r="A44" s="11" t="s">
        <v>12</v>
      </c>
      <c r="B44" s="9">
        <f t="shared" ref="B44:AF44" si="17">IF(B35="/",0,1)</f>
        <v>0</v>
      </c>
      <c r="C44" s="9">
        <f t="shared" si="17"/>
        <v>0</v>
      </c>
      <c r="D44" s="9">
        <f t="shared" si="17"/>
        <v>0</v>
      </c>
      <c r="E44" s="9">
        <f t="shared" si="17"/>
        <v>0</v>
      </c>
      <c r="F44" s="9">
        <f t="shared" si="17"/>
        <v>0</v>
      </c>
      <c r="G44" s="9">
        <f t="shared" si="17"/>
        <v>1</v>
      </c>
      <c r="H44" s="9">
        <f t="shared" si="17"/>
        <v>0</v>
      </c>
      <c r="I44" s="9">
        <f t="shared" si="17"/>
        <v>0</v>
      </c>
      <c r="J44" s="9">
        <f t="shared" si="17"/>
        <v>0</v>
      </c>
      <c r="K44" s="9">
        <f t="shared" si="17"/>
        <v>0</v>
      </c>
      <c r="L44" s="9">
        <f t="shared" si="17"/>
        <v>0</v>
      </c>
      <c r="M44" s="9">
        <f t="shared" si="17"/>
        <v>0</v>
      </c>
      <c r="N44" s="9">
        <f t="shared" si="17"/>
        <v>0</v>
      </c>
      <c r="O44" s="9">
        <f t="shared" si="17"/>
        <v>0</v>
      </c>
      <c r="P44" s="9">
        <f t="shared" si="17"/>
        <v>0</v>
      </c>
      <c r="Q44" s="9">
        <f t="shared" si="17"/>
        <v>0</v>
      </c>
      <c r="R44" s="9">
        <f t="shared" si="17"/>
        <v>0</v>
      </c>
      <c r="S44" s="9">
        <f t="shared" si="17"/>
        <v>0</v>
      </c>
      <c r="T44" s="9">
        <f t="shared" si="17"/>
        <v>0</v>
      </c>
      <c r="U44" s="9">
        <f t="shared" si="17"/>
        <v>0</v>
      </c>
      <c r="V44" s="9">
        <f t="shared" si="17"/>
        <v>0</v>
      </c>
      <c r="W44" s="9">
        <f t="shared" si="17"/>
        <v>0</v>
      </c>
      <c r="X44" s="9">
        <f t="shared" si="17"/>
        <v>0</v>
      </c>
      <c r="Y44" s="9">
        <f t="shared" si="17"/>
        <v>0</v>
      </c>
      <c r="Z44" s="9">
        <f t="shared" si="17"/>
        <v>0</v>
      </c>
      <c r="AA44" s="9">
        <f t="shared" si="17"/>
        <v>0</v>
      </c>
      <c r="AB44" s="9">
        <f t="shared" si="17"/>
        <v>0</v>
      </c>
      <c r="AC44" s="9">
        <f t="shared" si="17"/>
        <v>0</v>
      </c>
      <c r="AD44" s="9">
        <f t="shared" si="17"/>
        <v>1</v>
      </c>
      <c r="AE44" s="9">
        <f t="shared" si="17"/>
        <v>0</v>
      </c>
      <c r="AF44" s="9">
        <f t="shared" si="17"/>
        <v>0</v>
      </c>
      <c r="AG44" s="12">
        <f t="shared" si="13"/>
        <v>2</v>
      </c>
    </row>
    <row r="45" ht="25" hidden="1" customHeight="1" spans="1:34">
      <c r="A45" s="11" t="s">
        <v>13</v>
      </c>
      <c r="B45" s="9">
        <f t="shared" ref="B45:AF45" si="18">IF(B36="/",0,1)</f>
        <v>0</v>
      </c>
      <c r="C45" s="9">
        <f t="shared" si="18"/>
        <v>0</v>
      </c>
      <c r="D45" s="9">
        <f t="shared" si="18"/>
        <v>1</v>
      </c>
      <c r="E45" s="9">
        <f t="shared" si="18"/>
        <v>0</v>
      </c>
      <c r="F45" s="9">
        <f t="shared" si="18"/>
        <v>0</v>
      </c>
      <c r="G45" s="9">
        <f t="shared" si="18"/>
        <v>0</v>
      </c>
      <c r="H45" s="9">
        <f t="shared" si="18"/>
        <v>0</v>
      </c>
      <c r="I45" s="9">
        <f t="shared" si="18"/>
        <v>0</v>
      </c>
      <c r="J45" s="9">
        <f t="shared" si="18"/>
        <v>0</v>
      </c>
      <c r="K45" s="9">
        <f t="shared" si="18"/>
        <v>0</v>
      </c>
      <c r="L45" s="9">
        <f t="shared" si="18"/>
        <v>0</v>
      </c>
      <c r="M45" s="9">
        <f t="shared" si="18"/>
        <v>0</v>
      </c>
      <c r="N45" s="9">
        <f t="shared" si="18"/>
        <v>0</v>
      </c>
      <c r="O45" s="9">
        <f t="shared" si="18"/>
        <v>0</v>
      </c>
      <c r="P45" s="9">
        <f t="shared" si="18"/>
        <v>0</v>
      </c>
      <c r="Q45" s="9">
        <f t="shared" si="18"/>
        <v>0</v>
      </c>
      <c r="R45" s="9">
        <f t="shared" si="18"/>
        <v>0</v>
      </c>
      <c r="S45" s="9">
        <f t="shared" si="18"/>
        <v>0</v>
      </c>
      <c r="T45" s="9">
        <f t="shared" si="18"/>
        <v>0</v>
      </c>
      <c r="U45" s="9">
        <f t="shared" si="18"/>
        <v>1</v>
      </c>
      <c r="V45" s="9">
        <f t="shared" si="18"/>
        <v>0</v>
      </c>
      <c r="W45" s="9">
        <f t="shared" si="18"/>
        <v>0</v>
      </c>
      <c r="X45" s="9">
        <f t="shared" si="18"/>
        <v>0</v>
      </c>
      <c r="Y45" s="9">
        <f t="shared" si="18"/>
        <v>0</v>
      </c>
      <c r="Z45" s="9">
        <f t="shared" si="18"/>
        <v>0</v>
      </c>
      <c r="AA45" s="9">
        <f t="shared" si="18"/>
        <v>0</v>
      </c>
      <c r="AB45" s="9">
        <f t="shared" si="18"/>
        <v>0</v>
      </c>
      <c r="AC45" s="9">
        <f t="shared" si="18"/>
        <v>0</v>
      </c>
      <c r="AD45" s="9">
        <f t="shared" si="18"/>
        <v>0</v>
      </c>
      <c r="AE45" s="9">
        <f t="shared" si="18"/>
        <v>0</v>
      </c>
      <c r="AF45" s="9">
        <f t="shared" si="18"/>
        <v>1</v>
      </c>
      <c r="AG45" s="12">
        <f t="shared" si="13"/>
        <v>3</v>
      </c>
    </row>
    <row r="46" ht="25" hidden="1" customHeight="1"/>
    <row r="47" ht="37" customHeight="1" spans="1:34">
      <c r="A47" s="14" t="s">
        <v>17</v>
      </c>
      <c r="B47" s="14"/>
      <c r="C47" s="14"/>
      <c r="D47" s="14"/>
      <c r="E47" s="14"/>
      <c r="F47" s="15"/>
      <c r="R47"/>
    </row>
    <row r="48" ht="25" customHeight="1" spans="1:34">
      <c r="A48" s="9"/>
      <c r="B48" s="9" t="s">
        <v>6</v>
      </c>
      <c r="C48" s="9" t="s">
        <v>8</v>
      </c>
      <c r="D48" s="9" t="s">
        <v>10</v>
      </c>
      <c r="E48" s="9" t="s">
        <v>15</v>
      </c>
      <c r="F48" s="9" t="s">
        <v>18</v>
      </c>
      <c r="R48" s="16"/>
    </row>
    <row r="49" ht="25" customHeight="1" spans="1:33">
      <c r="A49" s="11" t="s">
        <v>4</v>
      </c>
      <c r="B49" s="9">
        <f t="shared" ref="B49:B54" si="19">COUNTIFS(B31:AF31,"甲")</f>
        <v>3</v>
      </c>
      <c r="C49" s="9">
        <f t="shared" ref="C49:C54" si="20">COUNTIFS(B31:AF31,"乙")</f>
        <v>1</v>
      </c>
      <c r="D49" s="9">
        <f t="shared" ref="D49:D54" si="21">COUNTIFS(B31:AF31,"丙")</f>
        <v>0</v>
      </c>
      <c r="E49" s="12">
        <f t="shared" ref="E49:E54" si="22">SUM(B49:D49)</f>
        <v>4</v>
      </c>
      <c r="F49" s="9">
        <f t="shared" ref="F49:F54" si="23">E49-AG40</f>
        <v>0</v>
      </c>
      <c r="R49" s="16"/>
    </row>
    <row r="50" ht="25" customHeight="1" spans="1:33">
      <c r="A50" s="11" t="s">
        <v>7</v>
      </c>
      <c r="B50" s="9">
        <f t="shared" si="19"/>
        <v>0</v>
      </c>
      <c r="C50" s="9">
        <f t="shared" si="20"/>
        <v>1</v>
      </c>
      <c r="D50" s="9">
        <f t="shared" si="21"/>
        <v>0</v>
      </c>
      <c r="E50" s="12">
        <f t="shared" si="22"/>
        <v>1</v>
      </c>
      <c r="F50" s="9">
        <f t="shared" si="23"/>
        <v>0</v>
      </c>
      <c r="R50" s="16"/>
    </row>
    <row r="51" ht="25" customHeight="1" spans="1:33">
      <c r="A51" s="11" t="s">
        <v>9</v>
      </c>
      <c r="B51" s="9">
        <f t="shared" si="19"/>
        <v>2</v>
      </c>
      <c r="C51" s="9">
        <f t="shared" si="20"/>
        <v>0</v>
      </c>
      <c r="D51" s="9">
        <f t="shared" si="21"/>
        <v>1</v>
      </c>
      <c r="E51" s="12">
        <f t="shared" si="22"/>
        <v>3</v>
      </c>
      <c r="F51" s="9">
        <f t="shared" si="23"/>
        <v>0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</row>
    <row r="52" ht="25" customHeight="1" spans="1:33">
      <c r="A52" s="11" t="s">
        <v>11</v>
      </c>
      <c r="B52" s="9">
        <f t="shared" si="19"/>
        <v>0</v>
      </c>
      <c r="C52" s="9">
        <f t="shared" si="20"/>
        <v>2</v>
      </c>
      <c r="D52" s="9">
        <f t="shared" si="21"/>
        <v>0</v>
      </c>
      <c r="E52" s="12">
        <f t="shared" si="22"/>
        <v>2</v>
      </c>
      <c r="F52" s="9">
        <f t="shared" si="23"/>
        <v>0</v>
      </c>
      <c r="H52" s="17" t="s">
        <v>19</v>
      </c>
      <c r="I52" s="17"/>
      <c r="J52" s="17"/>
      <c r="K52" s="17"/>
      <c r="L52" s="17"/>
      <c r="M52" s="17"/>
      <c r="N52" s="17"/>
      <c r="O52" s="17"/>
      <c r="P52" s="17"/>
      <c r="Q52" s="17"/>
      <c r="R52" s="16"/>
    </row>
    <row r="53" ht="25" customHeight="1" spans="1:33">
      <c r="A53" s="11" t="s">
        <v>12</v>
      </c>
      <c r="B53" s="9">
        <f t="shared" si="19"/>
        <v>0</v>
      </c>
      <c r="C53" s="9">
        <f t="shared" si="20"/>
        <v>0</v>
      </c>
      <c r="D53" s="9">
        <f t="shared" si="21"/>
        <v>2</v>
      </c>
      <c r="E53" s="12">
        <f t="shared" si="22"/>
        <v>2</v>
      </c>
      <c r="F53" s="9">
        <f t="shared" si="23"/>
        <v>0</v>
      </c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6"/>
    </row>
    <row r="54" ht="25" customHeight="1" spans="1:33">
      <c r="A54" s="11" t="s">
        <v>13</v>
      </c>
      <c r="B54" s="9">
        <f t="shared" si="19"/>
        <v>2</v>
      </c>
      <c r="C54" s="9">
        <f t="shared" si="20"/>
        <v>1</v>
      </c>
      <c r="D54" s="9">
        <f t="shared" si="21"/>
        <v>0</v>
      </c>
      <c r="E54" s="12">
        <f t="shared" si="22"/>
        <v>3</v>
      </c>
      <c r="F54" s="9">
        <f t="shared" si="23"/>
        <v>0</v>
      </c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6"/>
    </row>
    <row r="55" ht="25" customHeight="1" spans="1:33">
      <c r="A55" s="11" t="s">
        <v>21</v>
      </c>
      <c r="B55" s="13">
        <f>SUM(B49:B54)</f>
        <v>7</v>
      </c>
      <c r="C55" s="13">
        <f>SUM(C49:C54)</f>
        <v>5</v>
      </c>
      <c r="D55" s="13">
        <f>SUM(D49:D54)</f>
        <v>3</v>
      </c>
      <c r="E55" s="19">
        <f>SUM(E49:E54)</f>
        <v>15</v>
      </c>
      <c r="F55" s="9">
        <f>E55-AH40</f>
        <v>0</v>
      </c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16"/>
    </row>
    <row r="56" ht="50" customHeight="1"/>
    <row r="57" ht="45" customHeight="1" spans="1:33">
      <c r="A57" s="10" t="s">
        <v>130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 s="1" customFormat="1" ht="30" customHeight="1" spans="1:33">
      <c r="A58" s="11"/>
      <c r="B58" s="6" t="s">
        <v>131</v>
      </c>
      <c r="C58" s="6" t="s">
        <v>132</v>
      </c>
      <c r="D58" s="6" t="s">
        <v>133</v>
      </c>
      <c r="E58" s="6" t="s">
        <v>134</v>
      </c>
      <c r="F58" s="6" t="s">
        <v>135</v>
      </c>
      <c r="G58" s="6" t="s">
        <v>136</v>
      </c>
      <c r="H58" s="6" t="s">
        <v>137</v>
      </c>
      <c r="I58" s="6" t="s">
        <v>138</v>
      </c>
      <c r="J58" s="6" t="s">
        <v>139</v>
      </c>
      <c r="K58" s="6" t="s">
        <v>140</v>
      </c>
      <c r="L58" s="6" t="s">
        <v>141</v>
      </c>
      <c r="M58" s="6" t="s">
        <v>142</v>
      </c>
      <c r="N58" s="6" t="s">
        <v>143</v>
      </c>
      <c r="O58" s="6" t="s">
        <v>144</v>
      </c>
      <c r="P58" s="7">
        <v>9.15</v>
      </c>
      <c r="Q58" s="7">
        <v>9.16</v>
      </c>
      <c r="R58" s="7">
        <v>9.17</v>
      </c>
      <c r="S58" s="7">
        <v>9.18</v>
      </c>
      <c r="T58" s="7">
        <v>9.19</v>
      </c>
      <c r="U58" s="6" t="s">
        <v>145</v>
      </c>
      <c r="V58" s="7">
        <v>9.21</v>
      </c>
      <c r="W58" s="7">
        <v>9.22</v>
      </c>
      <c r="X58" s="7">
        <v>9.23</v>
      </c>
      <c r="Y58" s="7">
        <v>9.24</v>
      </c>
      <c r="Z58" s="7">
        <v>9.25</v>
      </c>
      <c r="AA58" s="7">
        <v>9.26</v>
      </c>
      <c r="AB58" s="7">
        <v>9.27</v>
      </c>
      <c r="AC58" s="7">
        <v>9.28</v>
      </c>
      <c r="AD58" s="7">
        <v>9.29</v>
      </c>
      <c r="AE58" s="6" t="s">
        <v>146</v>
      </c>
      <c r="AF58" s="8"/>
      <c r="AG58" s="8"/>
    </row>
    <row r="59" ht="30" customHeight="1" spans="1:33">
      <c r="A59" s="11" t="s">
        <v>4</v>
      </c>
      <c r="B59" s="9" t="s">
        <v>5</v>
      </c>
      <c r="C59" s="9" t="s">
        <v>5</v>
      </c>
      <c r="D59" s="9" t="s">
        <v>5</v>
      </c>
      <c r="E59" s="9" t="s">
        <v>5</v>
      </c>
      <c r="F59" s="9" t="s">
        <v>10</v>
      </c>
      <c r="G59" s="9" t="s">
        <v>5</v>
      </c>
      <c r="H59" s="9" t="s">
        <v>5</v>
      </c>
      <c r="I59" s="9" t="s">
        <v>5</v>
      </c>
      <c r="J59" s="9" t="s">
        <v>5</v>
      </c>
      <c r="K59" s="9" t="s">
        <v>5</v>
      </c>
      <c r="L59" s="9" t="s">
        <v>5</v>
      </c>
      <c r="M59" s="9" t="s">
        <v>5</v>
      </c>
      <c r="N59" s="9" t="s">
        <v>5</v>
      </c>
      <c r="O59" s="9" t="s">
        <v>5</v>
      </c>
      <c r="P59" s="9" t="s">
        <v>5</v>
      </c>
      <c r="Q59" s="9" t="s">
        <v>5</v>
      </c>
      <c r="R59" s="9" t="s">
        <v>5</v>
      </c>
      <c r="S59" s="9" t="s">
        <v>5</v>
      </c>
      <c r="T59" s="9" t="s">
        <v>5</v>
      </c>
      <c r="U59" s="9" t="s">
        <v>5</v>
      </c>
      <c r="V59" s="9" t="s">
        <v>5</v>
      </c>
      <c r="W59" s="9" t="s">
        <v>5</v>
      </c>
      <c r="X59" s="9" t="s">
        <v>5</v>
      </c>
      <c r="Y59" s="9" t="s">
        <v>5</v>
      </c>
      <c r="Z59" s="9" t="s">
        <v>5</v>
      </c>
      <c r="AA59" s="9" t="s">
        <v>5</v>
      </c>
      <c r="AB59" s="9" t="s">
        <v>5</v>
      </c>
      <c r="AC59" s="9" t="s">
        <v>5</v>
      </c>
      <c r="AD59" s="9" t="s">
        <v>5</v>
      </c>
      <c r="AE59" s="9" t="s">
        <v>5</v>
      </c>
    </row>
    <row r="60" ht="30" customHeight="1" spans="1:33">
      <c r="A60" s="11" t="s">
        <v>7</v>
      </c>
      <c r="B60" s="9" t="s">
        <v>5</v>
      </c>
      <c r="C60" s="9" t="s">
        <v>8</v>
      </c>
      <c r="D60" s="9" t="s">
        <v>5</v>
      </c>
      <c r="E60" s="9" t="s">
        <v>5</v>
      </c>
      <c r="F60" s="9" t="s">
        <v>5</v>
      </c>
      <c r="G60" s="9" t="s">
        <v>5</v>
      </c>
      <c r="H60" s="9" t="s">
        <v>5</v>
      </c>
      <c r="I60" s="9" t="s">
        <v>8</v>
      </c>
      <c r="J60" s="9" t="s">
        <v>5</v>
      </c>
      <c r="K60" s="9" t="s">
        <v>5</v>
      </c>
      <c r="L60" s="9" t="s">
        <v>5</v>
      </c>
      <c r="M60" s="9" t="s">
        <v>5</v>
      </c>
      <c r="N60" s="9" t="s">
        <v>5</v>
      </c>
      <c r="O60" s="9" t="s">
        <v>5</v>
      </c>
      <c r="P60" s="9" t="s">
        <v>5</v>
      </c>
      <c r="Q60" s="9" t="s">
        <v>5</v>
      </c>
      <c r="R60" s="9" t="s">
        <v>5</v>
      </c>
      <c r="S60" s="9" t="s">
        <v>5</v>
      </c>
      <c r="T60" s="9" t="s">
        <v>5</v>
      </c>
      <c r="U60" s="9" t="s">
        <v>5</v>
      </c>
      <c r="V60" s="9" t="s">
        <v>5</v>
      </c>
      <c r="W60" s="9" t="s">
        <v>5</v>
      </c>
      <c r="X60" s="9" t="s">
        <v>5</v>
      </c>
      <c r="Y60" s="9" t="s">
        <v>5</v>
      </c>
      <c r="Z60" s="9" t="s">
        <v>5</v>
      </c>
      <c r="AA60" s="9" t="s">
        <v>5</v>
      </c>
      <c r="AB60" s="9" t="s">
        <v>5</v>
      </c>
      <c r="AC60" s="9" t="s">
        <v>5</v>
      </c>
      <c r="AD60" s="9" t="s">
        <v>5</v>
      </c>
      <c r="AE60" s="9" t="s">
        <v>5</v>
      </c>
    </row>
    <row r="61" ht="30" customHeight="1" spans="1:33">
      <c r="A61" s="11" t="s">
        <v>9</v>
      </c>
      <c r="B61" s="9" t="s">
        <v>5</v>
      </c>
      <c r="C61" s="9" t="s">
        <v>8</v>
      </c>
      <c r="D61" s="9" t="s">
        <v>5</v>
      </c>
      <c r="E61" s="9" t="s">
        <v>5</v>
      </c>
      <c r="F61" s="9" t="s">
        <v>5</v>
      </c>
      <c r="G61" s="9" t="s">
        <v>5</v>
      </c>
      <c r="H61" s="9" t="s">
        <v>5</v>
      </c>
      <c r="I61" s="9" t="s">
        <v>5</v>
      </c>
      <c r="J61" s="9" t="s">
        <v>5</v>
      </c>
      <c r="K61" s="9" t="s">
        <v>5</v>
      </c>
      <c r="L61" s="9" t="s">
        <v>10</v>
      </c>
      <c r="M61" s="9" t="s">
        <v>5</v>
      </c>
      <c r="N61" s="9" t="s">
        <v>5</v>
      </c>
      <c r="O61" s="9" t="s">
        <v>5</v>
      </c>
      <c r="P61" s="9" t="s">
        <v>5</v>
      </c>
      <c r="Q61" s="9" t="s">
        <v>5</v>
      </c>
      <c r="R61" s="9" t="s">
        <v>5</v>
      </c>
      <c r="S61" s="9" t="s">
        <v>5</v>
      </c>
      <c r="T61" s="9" t="s">
        <v>5</v>
      </c>
      <c r="U61" s="9" t="s">
        <v>5</v>
      </c>
      <c r="V61" s="9" t="s">
        <v>5</v>
      </c>
      <c r="W61" s="9" t="s">
        <v>5</v>
      </c>
      <c r="X61" s="9" t="s">
        <v>5</v>
      </c>
      <c r="Y61" s="9" t="s">
        <v>5</v>
      </c>
      <c r="Z61" s="9" t="s">
        <v>5</v>
      </c>
      <c r="AA61" s="9" t="s">
        <v>5</v>
      </c>
      <c r="AB61" s="9" t="s">
        <v>5</v>
      </c>
      <c r="AC61" s="9" t="s">
        <v>5</v>
      </c>
      <c r="AD61" s="9" t="s">
        <v>5</v>
      </c>
      <c r="AE61" s="9" t="s">
        <v>5</v>
      </c>
    </row>
    <row r="62" ht="30" customHeight="1" spans="1:33">
      <c r="A62" s="11" t="s">
        <v>11</v>
      </c>
      <c r="B62" s="9" t="s">
        <v>6</v>
      </c>
      <c r="C62" s="9" t="s">
        <v>5</v>
      </c>
      <c r="D62" s="9" t="s">
        <v>5</v>
      </c>
      <c r="E62" s="9" t="s">
        <v>5</v>
      </c>
      <c r="F62" s="9" t="s">
        <v>5</v>
      </c>
      <c r="G62" s="9" t="s">
        <v>5</v>
      </c>
      <c r="H62" s="9" t="s">
        <v>5</v>
      </c>
      <c r="I62" s="9" t="s">
        <v>8</v>
      </c>
      <c r="J62" s="9" t="s">
        <v>5</v>
      </c>
      <c r="K62" s="9" t="s">
        <v>5</v>
      </c>
      <c r="L62" s="9" t="s">
        <v>5</v>
      </c>
      <c r="M62" s="9" t="s">
        <v>5</v>
      </c>
      <c r="N62" s="9" t="s">
        <v>5</v>
      </c>
      <c r="O62" s="9" t="s">
        <v>5</v>
      </c>
      <c r="P62" s="9" t="s">
        <v>5</v>
      </c>
      <c r="Q62" s="9" t="s">
        <v>5</v>
      </c>
      <c r="R62" s="9" t="s">
        <v>5</v>
      </c>
      <c r="S62" s="9" t="s">
        <v>5</v>
      </c>
      <c r="T62" s="9" t="s">
        <v>5</v>
      </c>
      <c r="U62" s="9" t="s">
        <v>5</v>
      </c>
      <c r="V62" s="9" t="s">
        <v>5</v>
      </c>
      <c r="W62" s="9" t="s">
        <v>5</v>
      </c>
      <c r="X62" s="9" t="s">
        <v>5</v>
      </c>
      <c r="Y62" s="9" t="s">
        <v>5</v>
      </c>
      <c r="Z62" s="9" t="s">
        <v>5</v>
      </c>
      <c r="AA62" s="9" t="s">
        <v>5</v>
      </c>
      <c r="AB62" s="9" t="s">
        <v>5</v>
      </c>
      <c r="AC62" s="9" t="s">
        <v>5</v>
      </c>
      <c r="AD62" s="9" t="s">
        <v>5</v>
      </c>
      <c r="AE62" s="9" t="s">
        <v>5</v>
      </c>
    </row>
    <row r="63" ht="30" customHeight="1" spans="1:33">
      <c r="A63" s="11" t="s">
        <v>12</v>
      </c>
      <c r="B63" s="9" t="s">
        <v>5</v>
      </c>
      <c r="C63" s="9" t="s">
        <v>5</v>
      </c>
      <c r="D63" s="9" t="s">
        <v>5</v>
      </c>
      <c r="E63" s="9" t="s">
        <v>5</v>
      </c>
      <c r="F63" s="9" t="s">
        <v>10</v>
      </c>
      <c r="G63" s="9" t="s">
        <v>5</v>
      </c>
      <c r="H63" s="9" t="s">
        <v>5</v>
      </c>
      <c r="I63" s="9" t="s">
        <v>5</v>
      </c>
      <c r="J63" s="9" t="s">
        <v>5</v>
      </c>
      <c r="K63" s="9" t="s">
        <v>5</v>
      </c>
      <c r="L63" s="9" t="s">
        <v>5</v>
      </c>
      <c r="M63" s="9" t="s">
        <v>5</v>
      </c>
      <c r="N63" s="9" t="s">
        <v>5</v>
      </c>
      <c r="O63" s="9" t="s">
        <v>5</v>
      </c>
      <c r="P63" s="9" t="s">
        <v>5</v>
      </c>
      <c r="Q63" s="9" t="s">
        <v>5</v>
      </c>
      <c r="R63" s="9" t="s">
        <v>5</v>
      </c>
      <c r="S63" s="9" t="s">
        <v>5</v>
      </c>
      <c r="T63" s="9" t="s">
        <v>5</v>
      </c>
      <c r="U63" s="9" t="s">
        <v>5</v>
      </c>
      <c r="V63" s="9" t="s">
        <v>5</v>
      </c>
      <c r="W63" s="9" t="s">
        <v>5</v>
      </c>
      <c r="X63" s="9" t="s">
        <v>5</v>
      </c>
      <c r="Y63" s="9" t="s">
        <v>5</v>
      </c>
      <c r="Z63" s="9" t="s">
        <v>5</v>
      </c>
      <c r="AA63" s="9" t="s">
        <v>5</v>
      </c>
      <c r="AB63" s="9" t="s">
        <v>5</v>
      </c>
      <c r="AC63" s="9" t="s">
        <v>5</v>
      </c>
      <c r="AD63" s="9" t="s">
        <v>5</v>
      </c>
      <c r="AE63" s="9" t="s">
        <v>5</v>
      </c>
    </row>
    <row r="64" ht="30" customHeight="1" spans="1:33">
      <c r="A64" s="11" t="s">
        <v>13</v>
      </c>
      <c r="B64" s="9" t="s">
        <v>5</v>
      </c>
      <c r="C64" s="9" t="s">
        <v>5</v>
      </c>
      <c r="D64" s="9" t="s">
        <v>5</v>
      </c>
      <c r="E64" s="9" t="s">
        <v>5</v>
      </c>
      <c r="F64" s="9" t="s">
        <v>5</v>
      </c>
      <c r="G64" s="9" t="s">
        <v>5</v>
      </c>
      <c r="H64" s="9" t="s">
        <v>5</v>
      </c>
      <c r="I64" s="9" t="s">
        <v>5</v>
      </c>
      <c r="J64" s="9" t="s">
        <v>5</v>
      </c>
      <c r="K64" s="9" t="s">
        <v>5</v>
      </c>
      <c r="L64" s="9" t="s">
        <v>5</v>
      </c>
      <c r="M64" s="9" t="s">
        <v>5</v>
      </c>
      <c r="N64" s="9" t="s">
        <v>5</v>
      </c>
      <c r="O64" s="9" t="s">
        <v>5</v>
      </c>
      <c r="P64" s="9" t="s">
        <v>5</v>
      </c>
      <c r="Q64" s="9" t="s">
        <v>5</v>
      </c>
      <c r="R64" s="9" t="s">
        <v>5</v>
      </c>
      <c r="S64" s="9" t="s">
        <v>5</v>
      </c>
      <c r="T64" s="9" t="s">
        <v>5</v>
      </c>
      <c r="U64" s="9" t="s">
        <v>5</v>
      </c>
      <c r="V64" s="9" t="s">
        <v>5</v>
      </c>
      <c r="W64" s="9" t="s">
        <v>5</v>
      </c>
      <c r="X64" s="9" t="s">
        <v>5</v>
      </c>
      <c r="Y64" s="9" t="s">
        <v>5</v>
      </c>
      <c r="Z64" s="9" t="s">
        <v>5</v>
      </c>
      <c r="AA64" s="9" t="s">
        <v>5</v>
      </c>
      <c r="AB64" s="9" t="s">
        <v>5</v>
      </c>
      <c r="AC64" s="9" t="s">
        <v>5</v>
      </c>
      <c r="AD64" s="9" t="s">
        <v>5</v>
      </c>
      <c r="AE64" s="9" t="s">
        <v>5</v>
      </c>
    </row>
    <row r="65" ht="30" customHeight="1"/>
    <row r="66" ht="45" hidden="1" customHeight="1" spans="1:33">
      <c r="A66" s="4" t="s">
        <v>14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ht="25" hidden="1" customHeight="1" spans="1:33">
      <c r="B67" s="6" t="s">
        <v>67</v>
      </c>
      <c r="C67" s="6" t="s">
        <v>68</v>
      </c>
      <c r="D67" s="6" t="s">
        <v>69</v>
      </c>
      <c r="E67" s="6" t="s">
        <v>70</v>
      </c>
      <c r="F67" s="6" t="s">
        <v>71</v>
      </c>
      <c r="G67" s="6" t="s">
        <v>72</v>
      </c>
      <c r="H67" s="6" t="s">
        <v>73</v>
      </c>
      <c r="I67" s="6" t="s">
        <v>74</v>
      </c>
      <c r="J67" s="6" t="s">
        <v>75</v>
      </c>
      <c r="K67" s="6" t="s">
        <v>76</v>
      </c>
      <c r="L67" s="6" t="s">
        <v>77</v>
      </c>
      <c r="M67" s="6" t="s">
        <v>78</v>
      </c>
      <c r="N67" s="6" t="s">
        <v>79</v>
      </c>
      <c r="O67" s="6" t="s">
        <v>80</v>
      </c>
      <c r="P67" s="7">
        <v>6.15</v>
      </c>
      <c r="Q67" s="7">
        <v>6.16</v>
      </c>
      <c r="R67" s="7">
        <v>6.17</v>
      </c>
      <c r="S67" s="7">
        <v>6.18</v>
      </c>
      <c r="T67" s="7">
        <v>6.19</v>
      </c>
      <c r="U67" s="6" t="s">
        <v>81</v>
      </c>
      <c r="V67" s="7">
        <v>6.21</v>
      </c>
      <c r="W67" s="7">
        <v>6.22</v>
      </c>
      <c r="X67" s="7">
        <v>6.23</v>
      </c>
      <c r="Y67" s="7">
        <v>6.24</v>
      </c>
      <c r="Z67" s="7">
        <v>6.25</v>
      </c>
      <c r="AA67" s="7">
        <v>6.26</v>
      </c>
      <c r="AB67" s="7">
        <v>6.27</v>
      </c>
      <c r="AC67" s="7">
        <v>6.28</v>
      </c>
      <c r="AD67" s="7">
        <v>6.29</v>
      </c>
      <c r="AE67" s="6" t="s">
        <v>82</v>
      </c>
      <c r="AF67" s="9" t="s">
        <v>15</v>
      </c>
      <c r="AG67" s="9" t="s">
        <v>16</v>
      </c>
    </row>
    <row r="68" ht="25" hidden="1" customHeight="1" spans="1:33">
      <c r="A68" s="11" t="s">
        <v>4</v>
      </c>
      <c r="B68" s="9">
        <f t="shared" ref="B68:AE68" si="24">IF(B59="/",0,1)</f>
        <v>0</v>
      </c>
      <c r="C68" s="9">
        <f t="shared" si="24"/>
        <v>0</v>
      </c>
      <c r="D68" s="9">
        <f t="shared" si="24"/>
        <v>0</v>
      </c>
      <c r="E68" s="9">
        <f t="shared" si="24"/>
        <v>0</v>
      </c>
      <c r="F68" s="9">
        <f t="shared" si="24"/>
        <v>1</v>
      </c>
      <c r="G68" s="9">
        <f t="shared" si="24"/>
        <v>0</v>
      </c>
      <c r="H68" s="9">
        <f t="shared" si="24"/>
        <v>0</v>
      </c>
      <c r="I68" s="9">
        <f t="shared" si="24"/>
        <v>0</v>
      </c>
      <c r="J68" s="9">
        <f t="shared" si="24"/>
        <v>0</v>
      </c>
      <c r="K68" s="9">
        <f t="shared" si="24"/>
        <v>0</v>
      </c>
      <c r="L68" s="9">
        <f t="shared" si="24"/>
        <v>0</v>
      </c>
      <c r="M68" s="9">
        <f t="shared" si="24"/>
        <v>0</v>
      </c>
      <c r="N68" s="9">
        <f t="shared" si="24"/>
        <v>0</v>
      </c>
      <c r="O68" s="9">
        <f t="shared" si="24"/>
        <v>0</v>
      </c>
      <c r="P68" s="9">
        <f t="shared" si="24"/>
        <v>0</v>
      </c>
      <c r="Q68" s="9">
        <f t="shared" si="24"/>
        <v>0</v>
      </c>
      <c r="R68" s="9">
        <f t="shared" si="24"/>
        <v>0</v>
      </c>
      <c r="S68" s="9">
        <f t="shared" si="24"/>
        <v>0</v>
      </c>
      <c r="T68" s="9">
        <f t="shared" si="24"/>
        <v>0</v>
      </c>
      <c r="U68" s="9">
        <f t="shared" si="24"/>
        <v>0</v>
      </c>
      <c r="V68" s="9">
        <f t="shared" si="24"/>
        <v>0</v>
      </c>
      <c r="W68" s="9">
        <f t="shared" si="24"/>
        <v>0</v>
      </c>
      <c r="X68" s="9">
        <f t="shared" si="24"/>
        <v>0</v>
      </c>
      <c r="Y68" s="9">
        <f t="shared" si="24"/>
        <v>0</v>
      </c>
      <c r="Z68" s="9">
        <f t="shared" si="24"/>
        <v>0</v>
      </c>
      <c r="AA68" s="9">
        <f t="shared" si="24"/>
        <v>0</v>
      </c>
      <c r="AB68" s="9">
        <f t="shared" si="24"/>
        <v>0</v>
      </c>
      <c r="AC68" s="9">
        <f t="shared" si="24"/>
        <v>0</v>
      </c>
      <c r="AD68" s="9">
        <f t="shared" si="24"/>
        <v>0</v>
      </c>
      <c r="AE68" s="9">
        <f t="shared" si="24"/>
        <v>0</v>
      </c>
      <c r="AF68" s="12">
        <f t="shared" ref="AF68:AF73" si="25">SUM(B68:AE68)</f>
        <v>1</v>
      </c>
      <c r="AG68" s="13">
        <f>SUM(AF68:AF73)</f>
        <v>8</v>
      </c>
    </row>
    <row r="69" ht="25" hidden="1" customHeight="1" spans="1:33">
      <c r="A69" s="11" t="s">
        <v>7</v>
      </c>
      <c r="B69" s="9">
        <f t="shared" ref="B69:AE69" si="26">IF(B60="/",0,1)</f>
        <v>0</v>
      </c>
      <c r="C69" s="9">
        <f t="shared" si="26"/>
        <v>1</v>
      </c>
      <c r="D69" s="9">
        <f t="shared" si="26"/>
        <v>0</v>
      </c>
      <c r="E69" s="9">
        <f t="shared" si="26"/>
        <v>0</v>
      </c>
      <c r="F69" s="9">
        <f t="shared" si="26"/>
        <v>0</v>
      </c>
      <c r="G69" s="9">
        <f t="shared" si="26"/>
        <v>0</v>
      </c>
      <c r="H69" s="9">
        <f t="shared" si="26"/>
        <v>0</v>
      </c>
      <c r="I69" s="9">
        <f t="shared" si="26"/>
        <v>1</v>
      </c>
      <c r="J69" s="9">
        <f t="shared" si="26"/>
        <v>0</v>
      </c>
      <c r="K69" s="9">
        <f t="shared" si="26"/>
        <v>0</v>
      </c>
      <c r="L69" s="9">
        <f t="shared" si="26"/>
        <v>0</v>
      </c>
      <c r="M69" s="9">
        <f t="shared" si="26"/>
        <v>0</v>
      </c>
      <c r="N69" s="9">
        <f t="shared" si="26"/>
        <v>0</v>
      </c>
      <c r="O69" s="9">
        <f t="shared" si="26"/>
        <v>0</v>
      </c>
      <c r="P69" s="9">
        <f t="shared" si="26"/>
        <v>0</v>
      </c>
      <c r="Q69" s="9">
        <f t="shared" si="26"/>
        <v>0</v>
      </c>
      <c r="R69" s="9">
        <f t="shared" si="26"/>
        <v>0</v>
      </c>
      <c r="S69" s="9">
        <f t="shared" si="26"/>
        <v>0</v>
      </c>
      <c r="T69" s="9">
        <f t="shared" si="26"/>
        <v>0</v>
      </c>
      <c r="U69" s="9">
        <f t="shared" si="26"/>
        <v>0</v>
      </c>
      <c r="V69" s="9">
        <f t="shared" si="26"/>
        <v>0</v>
      </c>
      <c r="W69" s="9">
        <f t="shared" si="26"/>
        <v>0</v>
      </c>
      <c r="X69" s="9">
        <f t="shared" si="26"/>
        <v>0</v>
      </c>
      <c r="Y69" s="9">
        <f t="shared" si="26"/>
        <v>0</v>
      </c>
      <c r="Z69" s="9">
        <f t="shared" si="26"/>
        <v>0</v>
      </c>
      <c r="AA69" s="9">
        <f t="shared" si="26"/>
        <v>0</v>
      </c>
      <c r="AB69" s="9">
        <f t="shared" si="26"/>
        <v>0</v>
      </c>
      <c r="AC69" s="9">
        <f t="shared" si="26"/>
        <v>0</v>
      </c>
      <c r="AD69" s="9">
        <f t="shared" si="26"/>
        <v>0</v>
      </c>
      <c r="AE69" s="9">
        <f t="shared" si="26"/>
        <v>0</v>
      </c>
      <c r="AF69" s="12">
        <f t="shared" si="25"/>
        <v>2</v>
      </c>
    </row>
    <row r="70" ht="25" hidden="1" customHeight="1" spans="1:33">
      <c r="A70" s="11" t="s">
        <v>9</v>
      </c>
      <c r="B70" s="9">
        <f t="shared" ref="B70:AE70" si="27">IF(B61="/",0,1)</f>
        <v>0</v>
      </c>
      <c r="C70" s="9">
        <f t="shared" si="27"/>
        <v>1</v>
      </c>
      <c r="D70" s="9">
        <f t="shared" si="27"/>
        <v>0</v>
      </c>
      <c r="E70" s="9">
        <f t="shared" si="27"/>
        <v>0</v>
      </c>
      <c r="F70" s="9">
        <f t="shared" si="27"/>
        <v>0</v>
      </c>
      <c r="G70" s="9">
        <f t="shared" si="27"/>
        <v>0</v>
      </c>
      <c r="H70" s="9">
        <f t="shared" si="27"/>
        <v>0</v>
      </c>
      <c r="I70" s="9">
        <f t="shared" si="27"/>
        <v>0</v>
      </c>
      <c r="J70" s="9">
        <f t="shared" si="27"/>
        <v>0</v>
      </c>
      <c r="K70" s="9">
        <f t="shared" si="27"/>
        <v>0</v>
      </c>
      <c r="L70" s="9">
        <f t="shared" si="27"/>
        <v>1</v>
      </c>
      <c r="M70" s="9">
        <f t="shared" si="27"/>
        <v>0</v>
      </c>
      <c r="N70" s="9">
        <f t="shared" si="27"/>
        <v>0</v>
      </c>
      <c r="O70" s="9">
        <f t="shared" si="27"/>
        <v>0</v>
      </c>
      <c r="P70" s="9">
        <f t="shared" si="27"/>
        <v>0</v>
      </c>
      <c r="Q70" s="9">
        <f t="shared" si="27"/>
        <v>0</v>
      </c>
      <c r="R70" s="9">
        <f t="shared" si="27"/>
        <v>0</v>
      </c>
      <c r="S70" s="9">
        <f t="shared" si="27"/>
        <v>0</v>
      </c>
      <c r="T70" s="9">
        <f t="shared" si="27"/>
        <v>0</v>
      </c>
      <c r="U70" s="9">
        <f t="shared" si="27"/>
        <v>0</v>
      </c>
      <c r="V70" s="9">
        <f t="shared" si="27"/>
        <v>0</v>
      </c>
      <c r="W70" s="9">
        <f t="shared" si="27"/>
        <v>0</v>
      </c>
      <c r="X70" s="9">
        <f t="shared" si="27"/>
        <v>0</v>
      </c>
      <c r="Y70" s="9">
        <f t="shared" si="27"/>
        <v>0</v>
      </c>
      <c r="Z70" s="9">
        <f t="shared" si="27"/>
        <v>0</v>
      </c>
      <c r="AA70" s="9">
        <f t="shared" si="27"/>
        <v>0</v>
      </c>
      <c r="AB70" s="9">
        <f t="shared" si="27"/>
        <v>0</v>
      </c>
      <c r="AC70" s="9">
        <f t="shared" si="27"/>
        <v>0</v>
      </c>
      <c r="AD70" s="9">
        <f t="shared" si="27"/>
        <v>0</v>
      </c>
      <c r="AE70" s="9">
        <f t="shared" si="27"/>
        <v>0</v>
      </c>
      <c r="AF70" s="12">
        <f t="shared" si="25"/>
        <v>2</v>
      </c>
    </row>
    <row r="71" ht="25" hidden="1" customHeight="1" spans="1:33">
      <c r="A71" s="11" t="s">
        <v>11</v>
      </c>
      <c r="B71" s="9">
        <f t="shared" ref="B71:AE71" si="28">IF(B62="/",0,1)</f>
        <v>1</v>
      </c>
      <c r="C71" s="9">
        <f t="shared" si="28"/>
        <v>0</v>
      </c>
      <c r="D71" s="9">
        <f t="shared" si="28"/>
        <v>0</v>
      </c>
      <c r="E71" s="9">
        <f t="shared" si="28"/>
        <v>0</v>
      </c>
      <c r="F71" s="9">
        <f t="shared" si="28"/>
        <v>0</v>
      </c>
      <c r="G71" s="9">
        <f t="shared" si="28"/>
        <v>0</v>
      </c>
      <c r="H71" s="9">
        <f t="shared" si="28"/>
        <v>0</v>
      </c>
      <c r="I71" s="9">
        <f t="shared" si="28"/>
        <v>1</v>
      </c>
      <c r="J71" s="9">
        <f t="shared" si="28"/>
        <v>0</v>
      </c>
      <c r="K71" s="9">
        <f t="shared" si="28"/>
        <v>0</v>
      </c>
      <c r="L71" s="9">
        <f t="shared" si="28"/>
        <v>0</v>
      </c>
      <c r="M71" s="9">
        <f t="shared" si="28"/>
        <v>0</v>
      </c>
      <c r="N71" s="9">
        <f t="shared" si="28"/>
        <v>0</v>
      </c>
      <c r="O71" s="9">
        <f t="shared" si="28"/>
        <v>0</v>
      </c>
      <c r="P71" s="9">
        <f t="shared" si="28"/>
        <v>0</v>
      </c>
      <c r="Q71" s="9">
        <f t="shared" si="28"/>
        <v>0</v>
      </c>
      <c r="R71" s="9">
        <f t="shared" si="28"/>
        <v>0</v>
      </c>
      <c r="S71" s="9">
        <f t="shared" si="28"/>
        <v>0</v>
      </c>
      <c r="T71" s="9">
        <f t="shared" si="28"/>
        <v>0</v>
      </c>
      <c r="U71" s="9">
        <f t="shared" si="28"/>
        <v>0</v>
      </c>
      <c r="V71" s="9">
        <f t="shared" si="28"/>
        <v>0</v>
      </c>
      <c r="W71" s="9">
        <f t="shared" si="28"/>
        <v>0</v>
      </c>
      <c r="X71" s="9">
        <f t="shared" si="28"/>
        <v>0</v>
      </c>
      <c r="Y71" s="9">
        <f t="shared" si="28"/>
        <v>0</v>
      </c>
      <c r="Z71" s="9">
        <f t="shared" si="28"/>
        <v>0</v>
      </c>
      <c r="AA71" s="9">
        <f t="shared" si="28"/>
        <v>0</v>
      </c>
      <c r="AB71" s="9">
        <f t="shared" si="28"/>
        <v>0</v>
      </c>
      <c r="AC71" s="9">
        <f t="shared" si="28"/>
        <v>0</v>
      </c>
      <c r="AD71" s="9">
        <f t="shared" si="28"/>
        <v>0</v>
      </c>
      <c r="AE71" s="9">
        <f t="shared" si="28"/>
        <v>0</v>
      </c>
      <c r="AF71" s="12">
        <f t="shared" si="25"/>
        <v>2</v>
      </c>
    </row>
    <row r="72" ht="25" hidden="1" customHeight="1" spans="1:33">
      <c r="A72" s="11" t="s">
        <v>12</v>
      </c>
      <c r="B72" s="9">
        <f t="shared" ref="B72:AE72" si="29">IF(B63="/",0,1)</f>
        <v>0</v>
      </c>
      <c r="C72" s="9">
        <f t="shared" si="29"/>
        <v>0</v>
      </c>
      <c r="D72" s="9">
        <f t="shared" si="29"/>
        <v>0</v>
      </c>
      <c r="E72" s="9">
        <f t="shared" si="29"/>
        <v>0</v>
      </c>
      <c r="F72" s="9">
        <f t="shared" si="29"/>
        <v>1</v>
      </c>
      <c r="G72" s="9">
        <f t="shared" si="29"/>
        <v>0</v>
      </c>
      <c r="H72" s="9">
        <f t="shared" si="29"/>
        <v>0</v>
      </c>
      <c r="I72" s="9">
        <f t="shared" si="29"/>
        <v>0</v>
      </c>
      <c r="J72" s="9">
        <f t="shared" si="29"/>
        <v>0</v>
      </c>
      <c r="K72" s="9">
        <f t="shared" si="29"/>
        <v>0</v>
      </c>
      <c r="L72" s="9">
        <f t="shared" si="29"/>
        <v>0</v>
      </c>
      <c r="M72" s="9">
        <f t="shared" si="29"/>
        <v>0</v>
      </c>
      <c r="N72" s="9">
        <f t="shared" si="29"/>
        <v>0</v>
      </c>
      <c r="O72" s="9">
        <f t="shared" si="29"/>
        <v>0</v>
      </c>
      <c r="P72" s="9">
        <f t="shared" si="29"/>
        <v>0</v>
      </c>
      <c r="Q72" s="9">
        <f t="shared" si="29"/>
        <v>0</v>
      </c>
      <c r="R72" s="9">
        <f t="shared" si="29"/>
        <v>0</v>
      </c>
      <c r="S72" s="9">
        <f t="shared" si="29"/>
        <v>0</v>
      </c>
      <c r="T72" s="9">
        <f t="shared" si="29"/>
        <v>0</v>
      </c>
      <c r="U72" s="9">
        <f t="shared" si="29"/>
        <v>0</v>
      </c>
      <c r="V72" s="9">
        <f t="shared" si="29"/>
        <v>0</v>
      </c>
      <c r="W72" s="9">
        <f t="shared" si="29"/>
        <v>0</v>
      </c>
      <c r="X72" s="9">
        <f t="shared" si="29"/>
        <v>0</v>
      </c>
      <c r="Y72" s="9">
        <f t="shared" si="29"/>
        <v>0</v>
      </c>
      <c r="Z72" s="9">
        <f t="shared" si="29"/>
        <v>0</v>
      </c>
      <c r="AA72" s="9">
        <f t="shared" si="29"/>
        <v>0</v>
      </c>
      <c r="AB72" s="9">
        <f t="shared" si="29"/>
        <v>0</v>
      </c>
      <c r="AC72" s="9">
        <f t="shared" si="29"/>
        <v>0</v>
      </c>
      <c r="AD72" s="9">
        <f t="shared" si="29"/>
        <v>0</v>
      </c>
      <c r="AE72" s="9">
        <f t="shared" si="29"/>
        <v>0</v>
      </c>
      <c r="AF72" s="12">
        <f t="shared" si="25"/>
        <v>1</v>
      </c>
    </row>
    <row r="73" ht="25" hidden="1" customHeight="1" spans="1:33">
      <c r="A73" s="11" t="s">
        <v>13</v>
      </c>
      <c r="B73" s="9">
        <f t="shared" ref="B73:AE73" si="30">IF(B64="/",0,1)</f>
        <v>0</v>
      </c>
      <c r="C73" s="9">
        <f t="shared" si="30"/>
        <v>0</v>
      </c>
      <c r="D73" s="9">
        <f t="shared" si="30"/>
        <v>0</v>
      </c>
      <c r="E73" s="9">
        <f t="shared" si="30"/>
        <v>0</v>
      </c>
      <c r="F73" s="9">
        <f t="shared" si="30"/>
        <v>0</v>
      </c>
      <c r="G73" s="9">
        <f t="shared" si="30"/>
        <v>0</v>
      </c>
      <c r="H73" s="9">
        <f t="shared" si="30"/>
        <v>0</v>
      </c>
      <c r="I73" s="9">
        <f t="shared" si="30"/>
        <v>0</v>
      </c>
      <c r="J73" s="9">
        <f t="shared" si="30"/>
        <v>0</v>
      </c>
      <c r="K73" s="9">
        <f t="shared" si="30"/>
        <v>0</v>
      </c>
      <c r="L73" s="9">
        <f t="shared" si="30"/>
        <v>0</v>
      </c>
      <c r="M73" s="9">
        <f t="shared" si="30"/>
        <v>0</v>
      </c>
      <c r="N73" s="9">
        <f t="shared" si="30"/>
        <v>0</v>
      </c>
      <c r="O73" s="9">
        <f t="shared" si="30"/>
        <v>0</v>
      </c>
      <c r="P73" s="9">
        <f t="shared" si="30"/>
        <v>0</v>
      </c>
      <c r="Q73" s="9">
        <f t="shared" si="30"/>
        <v>0</v>
      </c>
      <c r="R73" s="9">
        <f t="shared" si="30"/>
        <v>0</v>
      </c>
      <c r="S73" s="9">
        <f t="shared" si="30"/>
        <v>0</v>
      </c>
      <c r="T73" s="9">
        <f t="shared" si="30"/>
        <v>0</v>
      </c>
      <c r="U73" s="9">
        <f t="shared" si="30"/>
        <v>0</v>
      </c>
      <c r="V73" s="9">
        <f t="shared" si="30"/>
        <v>0</v>
      </c>
      <c r="W73" s="9">
        <f t="shared" si="30"/>
        <v>0</v>
      </c>
      <c r="X73" s="9">
        <f t="shared" si="30"/>
        <v>0</v>
      </c>
      <c r="Y73" s="9">
        <f t="shared" si="30"/>
        <v>0</v>
      </c>
      <c r="Z73" s="9">
        <f t="shared" si="30"/>
        <v>0</v>
      </c>
      <c r="AA73" s="9">
        <f t="shared" si="30"/>
        <v>0</v>
      </c>
      <c r="AB73" s="9">
        <f t="shared" si="30"/>
        <v>0</v>
      </c>
      <c r="AC73" s="9">
        <f t="shared" si="30"/>
        <v>0</v>
      </c>
      <c r="AD73" s="9">
        <f t="shared" si="30"/>
        <v>0</v>
      </c>
      <c r="AE73" s="9">
        <f t="shared" si="30"/>
        <v>0</v>
      </c>
      <c r="AF73" s="12">
        <f t="shared" si="25"/>
        <v>0</v>
      </c>
    </row>
    <row r="74" ht="25" hidden="1" customHeight="1"/>
    <row r="75" ht="37" customHeight="1" spans="1:33">
      <c r="A75" s="14" t="s">
        <v>17</v>
      </c>
      <c r="B75" s="14"/>
      <c r="C75" s="14"/>
      <c r="D75" s="14"/>
      <c r="E75" s="14"/>
      <c r="F75" s="15"/>
      <c r="R75"/>
    </row>
    <row r="76" ht="25" customHeight="1" spans="1:33">
      <c r="A76" s="9"/>
      <c r="B76" s="9" t="s">
        <v>6</v>
      </c>
      <c r="C76" s="9" t="s">
        <v>8</v>
      </c>
      <c r="D76" s="9" t="s">
        <v>10</v>
      </c>
      <c r="E76" s="9" t="s">
        <v>15</v>
      </c>
      <c r="F76" s="9" t="s">
        <v>18</v>
      </c>
      <c r="R76" s="16"/>
    </row>
    <row r="77" ht="25" customHeight="1" spans="1:33">
      <c r="A77" s="11" t="s">
        <v>4</v>
      </c>
      <c r="B77" s="9">
        <f t="shared" ref="B77:B82" si="31">COUNTIFS(B59:AE59,"甲")</f>
        <v>0</v>
      </c>
      <c r="C77" s="9">
        <f t="shared" ref="C77:C82" si="32">COUNTIFS(B59:AE59,"乙")</f>
        <v>0</v>
      </c>
      <c r="D77" s="9">
        <f t="shared" ref="D77:D82" si="33">COUNTIFS(B59:AE59,"丙")</f>
        <v>1</v>
      </c>
      <c r="E77" s="12">
        <f t="shared" ref="E77:E82" si="34">SUM(B77:D77)</f>
        <v>1</v>
      </c>
      <c r="F77" s="9">
        <f t="shared" ref="F77:F82" si="35">E77-AF68</f>
        <v>0</v>
      </c>
      <c r="R77" s="16"/>
    </row>
    <row r="78" ht="25" customHeight="1" spans="1:33">
      <c r="A78" s="11" t="s">
        <v>7</v>
      </c>
      <c r="B78" s="9">
        <f t="shared" si="31"/>
        <v>0</v>
      </c>
      <c r="C78" s="9">
        <f t="shared" si="32"/>
        <v>2</v>
      </c>
      <c r="D78" s="9">
        <f t="shared" si="33"/>
        <v>0</v>
      </c>
      <c r="E78" s="12">
        <f t="shared" si="34"/>
        <v>2</v>
      </c>
      <c r="F78" s="9">
        <f t="shared" si="35"/>
        <v>0</v>
      </c>
      <c r="R78" s="16"/>
    </row>
    <row r="79" ht="25" customHeight="1" spans="1:33">
      <c r="A79" s="11" t="s">
        <v>9</v>
      </c>
      <c r="B79" s="9">
        <f t="shared" si="31"/>
        <v>0</v>
      </c>
      <c r="C79" s="9">
        <f t="shared" si="32"/>
        <v>1</v>
      </c>
      <c r="D79" s="9">
        <f t="shared" si="33"/>
        <v>1</v>
      </c>
      <c r="E79" s="12">
        <f t="shared" si="34"/>
        <v>2</v>
      </c>
      <c r="F79" s="9">
        <f t="shared" si="35"/>
        <v>0</v>
      </c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</row>
    <row r="80" ht="25" customHeight="1" spans="1:33">
      <c r="A80" s="11" t="s">
        <v>11</v>
      </c>
      <c r="B80" s="9">
        <f t="shared" si="31"/>
        <v>1</v>
      </c>
      <c r="C80" s="9">
        <f t="shared" si="32"/>
        <v>1</v>
      </c>
      <c r="D80" s="9">
        <f t="shared" si="33"/>
        <v>0</v>
      </c>
      <c r="E80" s="12">
        <f t="shared" si="34"/>
        <v>2</v>
      </c>
      <c r="F80" s="9">
        <f t="shared" si="35"/>
        <v>0</v>
      </c>
      <c r="H80" s="17" t="s">
        <v>19</v>
      </c>
      <c r="I80" s="17"/>
      <c r="J80" s="17"/>
      <c r="K80" s="17"/>
      <c r="L80" s="17"/>
      <c r="M80" s="17"/>
      <c r="N80" s="17"/>
      <c r="O80" s="17"/>
      <c r="P80" s="17"/>
      <c r="Q80" s="17"/>
      <c r="R80" s="16"/>
    </row>
    <row r="81" ht="25" customHeight="1" spans="1:18">
      <c r="A81" s="11" t="s">
        <v>12</v>
      </c>
      <c r="B81" s="9">
        <f t="shared" si="31"/>
        <v>0</v>
      </c>
      <c r="C81" s="9">
        <f t="shared" si="32"/>
        <v>0</v>
      </c>
      <c r="D81" s="9">
        <f t="shared" si="33"/>
        <v>1</v>
      </c>
      <c r="E81" s="12">
        <f t="shared" si="34"/>
        <v>1</v>
      </c>
      <c r="F81" s="9">
        <f t="shared" si="35"/>
        <v>0</v>
      </c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6"/>
    </row>
    <row r="82" ht="25" customHeight="1" spans="1:18">
      <c r="A82" s="11" t="s">
        <v>13</v>
      </c>
      <c r="B82" s="9">
        <f t="shared" si="31"/>
        <v>0</v>
      </c>
      <c r="C82" s="9">
        <f t="shared" si="32"/>
        <v>0</v>
      </c>
      <c r="D82" s="9">
        <f t="shared" si="33"/>
        <v>0</v>
      </c>
      <c r="E82" s="12">
        <f t="shared" si="34"/>
        <v>0</v>
      </c>
      <c r="F82" s="9">
        <f t="shared" si="35"/>
        <v>0</v>
      </c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6"/>
    </row>
    <row r="83" ht="25" customHeight="1" spans="1:18">
      <c r="A83" s="11" t="s">
        <v>21</v>
      </c>
      <c r="B83" s="13">
        <f>SUM(B77:B82)</f>
        <v>1</v>
      </c>
      <c r="C83" s="13">
        <f>SUM(C77:C82)</f>
        <v>4</v>
      </c>
      <c r="D83" s="13">
        <f>SUM(D77:D82)</f>
        <v>3</v>
      </c>
      <c r="E83" s="19">
        <f>SUM(E77:E82)</f>
        <v>8</v>
      </c>
      <c r="F83" s="9">
        <f>E83-AG68</f>
        <v>0</v>
      </c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16"/>
    </row>
  </sheetData>
  <protectedRanges>
    <protectedRange sqref="B5:C6 B7:B8 L7:Q8 B4:D4 F4:J4 E4 B3:I3 J3 D5:I5 K5:L5 D6:L6 J5 J8 N3:Q3 N4:P4 Q4 M5:Q5 M6:P6 Q6 R5 V8 K3:M3 L4:M4 K4 X6 X4 AA3 AB8 AD4 C31 C33 D32 D36 I31 I33 K34 J34 U36 W31 AA31 AB34 AF36 B62" name="区域1"/>
    <protectedRange sqref="H25:Q27" name="区域2"/>
  </protectedRanges>
  <mergeCells count="18">
    <mergeCell ref="A10:AE10"/>
    <mergeCell ref="A19:E19"/>
    <mergeCell ref="H24:Q24"/>
    <mergeCell ref="H25:Q25"/>
    <mergeCell ref="H26:Q26"/>
    <mergeCell ref="H27:Q27"/>
    <mergeCell ref="A38:AE38"/>
    <mergeCell ref="A47:E47"/>
    <mergeCell ref="H52:Q52"/>
    <mergeCell ref="H53:Q53"/>
    <mergeCell ref="H54:Q54"/>
    <mergeCell ref="H55:Q55"/>
    <mergeCell ref="A66:AE66"/>
    <mergeCell ref="A75:E75"/>
    <mergeCell ref="H80:Q80"/>
    <mergeCell ref="H81:Q81"/>
    <mergeCell ref="H82:Q82"/>
    <mergeCell ref="H83:Q83"/>
  </mergeCells>
  <conditionalFormatting sqref="D24">
    <cfRule type="containsText" dxfId="0" priority="173" operator="between" text="乙">
      <formula>NOT(ISERROR(SEARCH("乙",D24)))</formula>
    </cfRule>
  </conditionalFormatting>
  <conditionalFormatting sqref="C31">
    <cfRule type="containsText" dxfId="2" priority="69" operator="between" text="甲">
      <formula>NOT(ISERROR(SEARCH("甲",C31)))</formula>
    </cfRule>
    <cfRule type="containsText" dxfId="0" priority="68" operator="between" text="乙">
      <formula>NOT(ISERROR(SEARCH("乙",C31)))</formula>
    </cfRule>
    <cfRule type="containsText" dxfId="1" priority="67" operator="between" text="丙">
      <formula>NOT(ISERROR(SEARCH("丙",C31)))</formula>
    </cfRule>
  </conditionalFormatting>
  <conditionalFormatting sqref="I31">
    <cfRule type="containsText" dxfId="2" priority="54" operator="between" text="甲">
      <formula>NOT(ISERROR(SEARCH("甲",I31)))</formula>
    </cfRule>
    <cfRule type="containsText" dxfId="0" priority="53" operator="between" text="乙">
      <formula>NOT(ISERROR(SEARCH("乙",I31)))</formula>
    </cfRule>
    <cfRule type="containsText" dxfId="1" priority="52" operator="between" text="丙">
      <formula>NOT(ISERROR(SEARCH("丙",I31)))</formula>
    </cfRule>
  </conditionalFormatting>
  <conditionalFormatting sqref="W31">
    <cfRule type="containsText" dxfId="2" priority="42" operator="between" text="甲">
      <formula>NOT(ISERROR(SEARCH("甲",W31)))</formula>
    </cfRule>
    <cfRule type="containsText" dxfId="0" priority="41" operator="between" text="乙">
      <formula>NOT(ISERROR(SEARCH("乙",W31)))</formula>
    </cfRule>
    <cfRule type="containsText" dxfId="1" priority="40" operator="between" text="丙">
      <formula>NOT(ISERROR(SEARCH("丙",W31)))</formula>
    </cfRule>
  </conditionalFormatting>
  <conditionalFormatting sqref="AA31">
    <cfRule type="containsText" dxfId="2" priority="36" operator="between" text="甲">
      <formula>NOT(ISERROR(SEARCH("甲",AA31)))</formula>
    </cfRule>
    <cfRule type="containsText" dxfId="0" priority="35" operator="between" text="乙">
      <formula>NOT(ISERROR(SEARCH("乙",AA31)))</formula>
    </cfRule>
    <cfRule type="containsText" dxfId="1" priority="34" operator="between" text="丙">
      <formula>NOT(ISERROR(SEARCH("丙",AA31)))</formula>
    </cfRule>
  </conditionalFormatting>
  <conditionalFormatting sqref="D32">
    <cfRule type="containsText" dxfId="2" priority="63" operator="between" text="甲">
      <formula>NOT(ISERROR(SEARCH("甲",D32)))</formula>
    </cfRule>
    <cfRule type="containsText" dxfId="0" priority="62" operator="between" text="乙">
      <formula>NOT(ISERROR(SEARCH("乙",D32)))</formula>
    </cfRule>
    <cfRule type="containsText" dxfId="1" priority="61" operator="between" text="丙">
      <formula>NOT(ISERROR(SEARCH("丙",D32)))</formula>
    </cfRule>
  </conditionalFormatting>
  <conditionalFormatting sqref="C33">
    <cfRule type="containsText" dxfId="2" priority="66" operator="between" text="甲">
      <formula>NOT(ISERROR(SEARCH("甲",C33)))</formula>
    </cfRule>
    <cfRule type="containsText" dxfId="0" priority="65" operator="between" text="乙">
      <formula>NOT(ISERROR(SEARCH("乙",C33)))</formula>
    </cfRule>
    <cfRule type="containsText" dxfId="1" priority="64" operator="between" text="丙">
      <formula>NOT(ISERROR(SEARCH("丙",C33)))</formula>
    </cfRule>
  </conditionalFormatting>
  <conditionalFormatting sqref="I33">
    <cfRule type="containsText" dxfId="2" priority="51" operator="between" text="甲">
      <formula>NOT(ISERROR(SEARCH("甲",I33)))</formula>
    </cfRule>
    <cfRule type="containsText" dxfId="0" priority="50" operator="between" text="乙">
      <formula>NOT(ISERROR(SEARCH("乙",I33)))</formula>
    </cfRule>
    <cfRule type="containsText" dxfId="1" priority="49" operator="between" text="丙">
      <formula>NOT(ISERROR(SEARCH("丙",I33)))</formula>
    </cfRule>
  </conditionalFormatting>
  <conditionalFormatting sqref="X33">
    <cfRule type="containsText" dxfId="2" priority="39" operator="between" text="甲">
      <formula>NOT(ISERROR(SEARCH("甲",X33)))</formula>
    </cfRule>
    <cfRule type="containsText" dxfId="0" priority="38" operator="between" text="乙">
      <formula>NOT(ISERROR(SEARCH("乙",X33)))</formula>
    </cfRule>
    <cfRule type="containsText" dxfId="1" priority="37" operator="between" text="丙">
      <formula>NOT(ISERROR(SEARCH("丙",X33)))</formula>
    </cfRule>
  </conditionalFormatting>
  <conditionalFormatting sqref="J34">
    <cfRule type="containsText" dxfId="2" priority="48" operator="between" text="甲">
      <formula>NOT(ISERROR(SEARCH("甲",J34)))</formula>
    </cfRule>
    <cfRule type="containsText" dxfId="0" priority="47" operator="between" text="乙">
      <formula>NOT(ISERROR(SEARCH("乙",J34)))</formula>
    </cfRule>
    <cfRule type="containsText" dxfId="1" priority="46" operator="between" text="丙">
      <formula>NOT(ISERROR(SEARCH("丙",J34)))</formula>
    </cfRule>
  </conditionalFormatting>
  <conditionalFormatting sqref="AB34">
    <cfRule type="containsText" dxfId="2" priority="33" operator="between" text="甲">
      <formula>NOT(ISERROR(SEARCH("甲",AB34)))</formula>
    </cfRule>
    <cfRule type="containsText" dxfId="0" priority="32" operator="between" text="乙">
      <formula>NOT(ISERROR(SEARCH("乙",AB34)))</formula>
    </cfRule>
    <cfRule type="containsText" dxfId="1" priority="31" operator="between" text="丙">
      <formula>NOT(ISERROR(SEARCH("丙",AB34)))</formula>
    </cfRule>
  </conditionalFormatting>
  <conditionalFormatting sqref="G35">
    <cfRule type="containsText" dxfId="2" priority="57" operator="between" text="甲">
      <formula>NOT(ISERROR(SEARCH("甲",G35)))</formula>
    </cfRule>
    <cfRule type="containsText" dxfId="0" priority="56" operator="between" text="乙">
      <formula>NOT(ISERROR(SEARCH("乙",G35)))</formula>
    </cfRule>
    <cfRule type="containsText" dxfId="1" priority="55" operator="between" text="丙">
      <formula>NOT(ISERROR(SEARCH("丙",G35)))</formula>
    </cfRule>
  </conditionalFormatting>
  <conditionalFormatting sqref="AD35">
    <cfRule type="containsText" dxfId="2" priority="30" operator="between" text="甲">
      <formula>NOT(ISERROR(SEARCH("甲",AD35)))</formula>
    </cfRule>
    <cfRule type="containsText" dxfId="0" priority="29" operator="between" text="乙">
      <formula>NOT(ISERROR(SEARCH("乙",AD35)))</formula>
    </cfRule>
    <cfRule type="containsText" dxfId="1" priority="28" operator="between" text="丙">
      <formula>NOT(ISERROR(SEARCH("丙",AD35)))</formula>
    </cfRule>
  </conditionalFormatting>
  <conditionalFormatting sqref="D36">
    <cfRule type="containsText" dxfId="2" priority="60" operator="between" text="甲">
      <formula>NOT(ISERROR(SEARCH("甲",D36)))</formula>
    </cfRule>
    <cfRule type="containsText" dxfId="0" priority="59" operator="between" text="乙">
      <formula>NOT(ISERROR(SEARCH("乙",D36)))</formula>
    </cfRule>
    <cfRule type="containsText" dxfId="1" priority="58" operator="between" text="丙">
      <formula>NOT(ISERROR(SEARCH("丙",D36)))</formula>
    </cfRule>
  </conditionalFormatting>
  <conditionalFormatting sqref="U36">
    <cfRule type="containsText" dxfId="2" priority="45" operator="between" text="甲">
      <formula>NOT(ISERROR(SEARCH("甲",U36)))</formula>
    </cfRule>
    <cfRule type="containsText" dxfId="0" priority="44" operator="between" text="乙">
      <formula>NOT(ISERROR(SEARCH("乙",U36)))</formula>
    </cfRule>
    <cfRule type="containsText" dxfId="1" priority="43" operator="between" text="丙">
      <formula>NOT(ISERROR(SEARCH("丙",U36)))</formula>
    </cfRule>
  </conditionalFormatting>
  <conditionalFormatting sqref="AF36">
    <cfRule type="containsText" dxfId="2" priority="27" operator="between" text="甲">
      <formula>NOT(ISERROR(SEARCH("甲",AF36)))</formula>
    </cfRule>
    <cfRule type="containsText" dxfId="0" priority="26" operator="between" text="乙">
      <formula>NOT(ISERROR(SEARCH("乙",AF36)))</formula>
    </cfRule>
    <cfRule type="containsText" dxfId="1" priority="25" operator="between" text="丙">
      <formula>NOT(ISERROR(SEARCH("丙",AF36)))</formula>
    </cfRule>
  </conditionalFormatting>
  <conditionalFormatting sqref="D52">
    <cfRule type="containsText" dxfId="0" priority="169" operator="between" text="乙">
      <formula>NOT(ISERROR(SEARCH("乙",D52)))</formula>
    </cfRule>
  </conditionalFormatting>
  <conditionalFormatting sqref="F59">
    <cfRule type="containsText" dxfId="2" priority="15" operator="between" text="甲">
      <formula>NOT(ISERROR(SEARCH("甲",F59)))</formula>
    </cfRule>
    <cfRule type="containsText" dxfId="0" priority="14" operator="between" text="乙">
      <formula>NOT(ISERROR(SEARCH("乙",F59)))</formula>
    </cfRule>
    <cfRule type="containsText" dxfId="1" priority="13" operator="between" text="丙">
      <formula>NOT(ISERROR(SEARCH("丙",F59)))</formula>
    </cfRule>
  </conditionalFormatting>
  <conditionalFormatting sqref="C60">
    <cfRule type="containsText" dxfId="2" priority="21" operator="between" text="甲">
      <formula>NOT(ISERROR(SEARCH("甲",C60)))</formula>
    </cfRule>
    <cfRule type="containsText" dxfId="0" priority="20" operator="between" text="乙">
      <formula>NOT(ISERROR(SEARCH("乙",C60)))</formula>
    </cfRule>
    <cfRule type="containsText" dxfId="1" priority="19" operator="between" text="丙">
      <formula>NOT(ISERROR(SEARCH("丙",C60)))</formula>
    </cfRule>
  </conditionalFormatting>
  <conditionalFormatting sqref="I60">
    <cfRule type="containsText" dxfId="2" priority="9" operator="between" text="甲">
      <formula>NOT(ISERROR(SEARCH("甲",I60)))</formula>
    </cfRule>
    <cfRule type="containsText" dxfId="0" priority="8" operator="between" text="乙">
      <formula>NOT(ISERROR(SEARCH("乙",I60)))</formula>
    </cfRule>
    <cfRule type="containsText" dxfId="1" priority="7" operator="between" text="丙">
      <formula>NOT(ISERROR(SEARCH("丙",I60)))</formula>
    </cfRule>
  </conditionalFormatting>
  <conditionalFormatting sqref="C61">
    <cfRule type="containsText" dxfId="2" priority="18" operator="between" text="甲">
      <formula>NOT(ISERROR(SEARCH("甲",C61)))</formula>
    </cfRule>
    <cfRule type="containsText" dxfId="0" priority="17" operator="between" text="乙">
      <formula>NOT(ISERROR(SEARCH("乙",C61)))</formula>
    </cfRule>
    <cfRule type="containsText" dxfId="1" priority="16" operator="between" text="丙">
      <formula>NOT(ISERROR(SEARCH("丙",C61)))</formula>
    </cfRule>
  </conditionalFormatting>
  <conditionalFormatting sqref="L61">
    <cfRule type="containsText" dxfId="2" priority="3" operator="between" text="甲">
      <formula>NOT(ISERROR(SEARCH("甲",L61)))</formula>
    </cfRule>
    <cfRule type="containsText" dxfId="0" priority="2" operator="between" text="乙">
      <formula>NOT(ISERROR(SEARCH("乙",L61)))</formula>
    </cfRule>
    <cfRule type="containsText" dxfId="1" priority="1" operator="between" text="丙">
      <formula>NOT(ISERROR(SEARCH("丙",L61)))</formula>
    </cfRule>
  </conditionalFormatting>
  <conditionalFormatting sqref="B62">
    <cfRule type="containsText" dxfId="2" priority="24" operator="between" text="甲">
      <formula>NOT(ISERROR(SEARCH("甲",B62)))</formula>
    </cfRule>
    <cfRule type="containsText" dxfId="0" priority="23" operator="between" text="乙">
      <formula>NOT(ISERROR(SEARCH("乙",B62)))</formula>
    </cfRule>
    <cfRule type="containsText" dxfId="1" priority="22" operator="between" text="丙">
      <formula>NOT(ISERROR(SEARCH("丙",B62)))</formula>
    </cfRule>
  </conditionalFormatting>
  <conditionalFormatting sqref="I62">
    <cfRule type="containsText" dxfId="2" priority="6" operator="between" text="甲">
      <formula>NOT(ISERROR(SEARCH("甲",I62)))</formula>
    </cfRule>
    <cfRule type="containsText" dxfId="0" priority="5" operator="between" text="乙">
      <formula>NOT(ISERROR(SEARCH("乙",I62)))</formula>
    </cfRule>
    <cfRule type="containsText" dxfId="1" priority="4" operator="between" text="丙">
      <formula>NOT(ISERROR(SEARCH("丙",I62)))</formula>
    </cfRule>
  </conditionalFormatting>
  <conditionalFormatting sqref="F63">
    <cfRule type="containsText" dxfId="2" priority="12" operator="between" text="甲">
      <formula>NOT(ISERROR(SEARCH("甲",F63)))</formula>
    </cfRule>
    <cfRule type="containsText" dxfId="0" priority="11" operator="between" text="乙">
      <formula>NOT(ISERROR(SEARCH("乙",F63)))</formula>
    </cfRule>
    <cfRule type="containsText" dxfId="1" priority="10" operator="between" text="丙">
      <formula>NOT(ISERROR(SEARCH("丙",F63)))</formula>
    </cfRule>
  </conditionalFormatting>
  <conditionalFormatting sqref="D80">
    <cfRule type="containsText" dxfId="0" priority="165" operator="between" text="乙">
      <formula>NOT(ISERROR(SEARCH("乙",D80)))</formula>
    </cfRule>
  </conditionalFormatting>
  <conditionalFormatting sqref="AF31:AF35">
    <cfRule type="containsText" dxfId="2" priority="170" operator="between" text="甲">
      <formula>NOT(ISERROR(SEARCH("甲",AF31)))</formula>
    </cfRule>
    <cfRule type="containsText" dxfId="0" priority="168" operator="between" text="乙">
      <formula>NOT(ISERROR(SEARCH("乙",AF31)))</formula>
    </cfRule>
    <cfRule type="containsText" dxfId="1" priority="167" operator="between" text="丙">
      <formula>NOT(ISERROR(SEARCH("丙",AF31)))</formula>
    </cfRule>
  </conditionalFormatting>
  <conditionalFormatting sqref="B3:AE8">
    <cfRule type="containsText" dxfId="2" priority="174" operator="between" text="甲">
      <formula>NOT(ISERROR(SEARCH("甲",B3)))</formula>
    </cfRule>
    <cfRule type="containsText" dxfId="0" priority="172" operator="between" text="乙">
      <formula>NOT(ISERROR(SEARCH("乙",B3)))</formula>
    </cfRule>
    <cfRule type="containsText" dxfId="1" priority="171" operator="between" text="丙">
      <formula>NOT(ISERROR(SEARCH("丙",B3)))</formula>
    </cfRule>
  </conditionalFormatting>
  <conditionalFormatting sqref="B31 D31:H31 J31:V31 X31:Z31 AB31:AE31 B32:C32 E32:AE32 B33 D33:H33 J33:W33 Y33:AE33 B34:I34 K34:AA34 AC34:AE34 B35:F35 H35:AC35 AE35 B36:C36 E36:T36 V36:AE36">
    <cfRule type="containsText" dxfId="2" priority="75" operator="between" text="甲">
      <formula>NOT(ISERROR(SEARCH("甲",B31)))</formula>
    </cfRule>
    <cfRule type="containsText" dxfId="0" priority="74" operator="between" text="乙">
      <formula>NOT(ISERROR(SEARCH("乙",B31)))</formula>
    </cfRule>
    <cfRule type="containsText" dxfId="1" priority="73" operator="between" text="丙">
      <formula>NOT(ISERROR(SEARCH("丙",B31)))</formula>
    </cfRule>
  </conditionalFormatting>
  <conditionalFormatting sqref="B59:E59 G59:AE59 B60 D60:H60 J60:AE60 B61 D61:K61 M61:AE61 C62:H62 J62:AE62 B63:E63 G63:AE63 B64:AE64">
    <cfRule type="containsText" dxfId="2" priority="72" operator="between" text="甲">
      <formula>NOT(ISERROR(SEARCH("甲",B59)))</formula>
    </cfRule>
    <cfRule type="containsText" dxfId="0" priority="71" operator="between" text="乙">
      <formula>NOT(ISERROR(SEARCH("乙",B59)))</formula>
    </cfRule>
    <cfRule type="containsText" dxfId="1" priority="70" operator="between" text="丙">
      <formula>NOT(ISERROR(SEARCH("丙",B59)))</formula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6"/>
  <sheetViews>
    <sheetView zoomScale="85" zoomScaleNormal="85" topLeftCell="A13" workbookViewId="0">
      <selection activeCell="AJ8" sqref="AJ8"/>
    </sheetView>
  </sheetViews>
  <sheetFormatPr defaultColWidth="9" defaultRowHeight="13.5"/>
  <cols>
    <col min="1" max="1" width="15.0083333333333" style="2" customWidth="1"/>
    <col min="2" max="34" width="6.625" style="1" customWidth="1"/>
    <col min="35" max="16383" width="9" style="1"/>
  </cols>
  <sheetData>
    <row r="1" s="1" customFormat="1" ht="45" customHeight="1" spans="1:34 16384:16384">
      <c r="A1" s="3" t="s">
        <v>147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XFD1"/>
    </row>
    <row r="2" s="1" customFormat="1" ht="30" customHeight="1" spans="1:34 16384:16384">
      <c r="A2" s="5"/>
      <c r="B2" s="6" t="s">
        <v>97</v>
      </c>
      <c r="C2" s="6" t="s">
        <v>98</v>
      </c>
      <c r="D2" s="6" t="s">
        <v>99</v>
      </c>
      <c r="E2" s="6" t="s">
        <v>100</v>
      </c>
      <c r="F2" s="6" t="s">
        <v>101</v>
      </c>
      <c r="G2" s="6" t="s">
        <v>102</v>
      </c>
      <c r="H2" s="6" t="s">
        <v>103</v>
      </c>
      <c r="I2" s="6" t="s">
        <v>104</v>
      </c>
      <c r="J2" s="6" t="s">
        <v>105</v>
      </c>
      <c r="K2" s="6" t="s">
        <v>106</v>
      </c>
      <c r="L2" s="6" t="s">
        <v>107</v>
      </c>
      <c r="M2" s="6" t="s">
        <v>108</v>
      </c>
      <c r="N2" s="6" t="s">
        <v>109</v>
      </c>
      <c r="O2" s="6" t="s">
        <v>110</v>
      </c>
      <c r="P2" s="7">
        <v>7.15</v>
      </c>
      <c r="Q2" s="7">
        <v>7.16</v>
      </c>
      <c r="R2" s="7">
        <v>7.17</v>
      </c>
      <c r="S2" s="7">
        <v>7.18</v>
      </c>
      <c r="T2" s="7">
        <v>7.19</v>
      </c>
      <c r="U2" s="6" t="s">
        <v>111</v>
      </c>
      <c r="V2" s="7">
        <v>7.21</v>
      </c>
      <c r="W2" s="7">
        <v>7.22</v>
      </c>
      <c r="X2" s="7">
        <v>7.23</v>
      </c>
      <c r="Y2" s="7">
        <v>7.24</v>
      </c>
      <c r="Z2" s="7">
        <v>7.25</v>
      </c>
      <c r="AA2" s="7">
        <v>7.26</v>
      </c>
      <c r="AB2" s="7">
        <v>7.27</v>
      </c>
      <c r="AC2" s="7">
        <v>7.28</v>
      </c>
      <c r="AD2" s="7">
        <v>7.29</v>
      </c>
      <c r="AE2" s="6" t="s">
        <v>112</v>
      </c>
      <c r="AF2" s="7">
        <v>7.31</v>
      </c>
      <c r="AG2" s="8"/>
      <c r="AH2" s="8"/>
    </row>
    <row r="3" s="1" customFormat="1" ht="45" customHeight="1" spans="1:34 16384:16384">
      <c r="A3" s="5" t="s">
        <v>86</v>
      </c>
      <c r="B3" s="9" t="s">
        <v>5</v>
      </c>
      <c r="C3" s="9" t="s">
        <v>5</v>
      </c>
      <c r="D3" s="9" t="s">
        <v>5</v>
      </c>
      <c r="E3" s="9" t="s">
        <v>5</v>
      </c>
      <c r="F3" s="9" t="s">
        <v>5</v>
      </c>
      <c r="G3" s="9" t="s">
        <v>5</v>
      </c>
      <c r="H3" s="9" t="s">
        <v>5</v>
      </c>
      <c r="I3" s="9" t="s">
        <v>5</v>
      </c>
      <c r="J3" s="9" t="s">
        <v>6</v>
      </c>
      <c r="K3" s="9" t="s">
        <v>5</v>
      </c>
      <c r="L3" s="9" t="s">
        <v>5</v>
      </c>
      <c r="M3" s="9" t="s">
        <v>5</v>
      </c>
      <c r="N3" s="9" t="s">
        <v>5</v>
      </c>
      <c r="O3" s="9" t="s">
        <v>5</v>
      </c>
      <c r="P3" s="9" t="s">
        <v>5</v>
      </c>
      <c r="Q3" s="9" t="s">
        <v>5</v>
      </c>
      <c r="R3" s="9" t="s">
        <v>5</v>
      </c>
      <c r="S3" s="9" t="s">
        <v>5</v>
      </c>
      <c r="T3" s="9" t="s">
        <v>5</v>
      </c>
      <c r="U3" s="9" t="s">
        <v>5</v>
      </c>
      <c r="V3" s="9" t="s">
        <v>5</v>
      </c>
      <c r="W3" s="9" t="s">
        <v>5</v>
      </c>
      <c r="X3" s="9" t="s">
        <v>5</v>
      </c>
      <c r="Y3" s="9" t="s">
        <v>5</v>
      </c>
      <c r="Z3" s="9" t="s">
        <v>5</v>
      </c>
      <c r="AA3" s="9" t="s">
        <v>5</v>
      </c>
      <c r="AB3" s="9" t="s">
        <v>5</v>
      </c>
      <c r="AC3" s="9" t="s">
        <v>5</v>
      </c>
      <c r="AD3" s="9" t="s">
        <v>5</v>
      </c>
      <c r="AE3" s="9" t="s">
        <v>5</v>
      </c>
      <c r="AF3" s="9" t="s">
        <v>5</v>
      </c>
      <c r="XFD3"/>
    </row>
    <row r="4" ht="45" customHeight="1" spans="1:34 16384:16384">
      <c r="A4" s="5" t="s">
        <v>87</v>
      </c>
      <c r="B4" s="9" t="s">
        <v>5</v>
      </c>
      <c r="C4" s="9" t="s">
        <v>5</v>
      </c>
      <c r="D4" s="9" t="s">
        <v>5</v>
      </c>
      <c r="E4" s="9" t="s">
        <v>5</v>
      </c>
      <c r="F4" s="9" t="s">
        <v>5</v>
      </c>
      <c r="G4" s="9" t="s">
        <v>5</v>
      </c>
      <c r="H4" s="9" t="s">
        <v>5</v>
      </c>
      <c r="I4" s="9" t="s">
        <v>5</v>
      </c>
      <c r="J4" s="9" t="s">
        <v>6</v>
      </c>
      <c r="K4" s="9" t="s">
        <v>5</v>
      </c>
      <c r="L4" s="9" t="s">
        <v>5</v>
      </c>
      <c r="M4" s="9" t="s">
        <v>5</v>
      </c>
      <c r="N4" s="9" t="s">
        <v>5</v>
      </c>
      <c r="O4" s="9" t="s">
        <v>5</v>
      </c>
      <c r="P4" s="9" t="s">
        <v>5</v>
      </c>
      <c r="Q4" s="9" t="s">
        <v>5</v>
      </c>
      <c r="R4" s="9" t="s">
        <v>5</v>
      </c>
      <c r="S4" s="9" t="s">
        <v>5</v>
      </c>
      <c r="T4" s="9" t="s">
        <v>5</v>
      </c>
      <c r="U4" s="9" t="s">
        <v>5</v>
      </c>
      <c r="V4" s="9" t="s">
        <v>5</v>
      </c>
      <c r="W4" s="9" t="s">
        <v>5</v>
      </c>
      <c r="X4" s="9" t="s">
        <v>5</v>
      </c>
      <c r="Y4" s="9" t="s">
        <v>5</v>
      </c>
      <c r="Z4" s="9" t="s">
        <v>5</v>
      </c>
      <c r="AA4" s="9" t="s">
        <v>5</v>
      </c>
      <c r="AB4" s="9" t="s">
        <v>5</v>
      </c>
      <c r="AC4" s="9" t="s">
        <v>5</v>
      </c>
      <c r="AD4" s="9" t="s">
        <v>5</v>
      </c>
      <c r="AE4" s="9" t="s">
        <v>5</v>
      </c>
      <c r="AF4" s="9" t="s">
        <v>5</v>
      </c>
    </row>
    <row r="5" ht="45" customHeight="1" spans="1:34 16384:16384">
      <c r="A5" s="5" t="s">
        <v>94</v>
      </c>
      <c r="B5" s="9" t="s">
        <v>5</v>
      </c>
      <c r="C5" s="9" t="s">
        <v>5</v>
      </c>
      <c r="D5" s="9" t="s">
        <v>5</v>
      </c>
      <c r="E5" s="9" t="s">
        <v>5</v>
      </c>
      <c r="F5" s="9" t="s">
        <v>5</v>
      </c>
      <c r="G5" s="9" t="s">
        <v>5</v>
      </c>
      <c r="H5" s="9" t="s">
        <v>5</v>
      </c>
      <c r="I5" s="9" t="s">
        <v>5</v>
      </c>
      <c r="J5" s="9" t="s">
        <v>6</v>
      </c>
      <c r="K5" s="9" t="s">
        <v>5</v>
      </c>
      <c r="L5" s="9" t="s">
        <v>5</v>
      </c>
      <c r="M5" s="9" t="s">
        <v>5</v>
      </c>
      <c r="N5" s="9" t="s">
        <v>5</v>
      </c>
      <c r="O5" s="9" t="s">
        <v>5</v>
      </c>
      <c r="P5" s="9" t="s">
        <v>5</v>
      </c>
      <c r="Q5" s="9" t="s">
        <v>5</v>
      </c>
      <c r="R5" s="9" t="s">
        <v>5</v>
      </c>
      <c r="S5" s="9" t="s">
        <v>5</v>
      </c>
      <c r="T5" s="9" t="s">
        <v>5</v>
      </c>
      <c r="U5" s="9" t="s">
        <v>5</v>
      </c>
      <c r="V5" s="9" t="s">
        <v>5</v>
      </c>
      <c r="W5" s="9" t="s">
        <v>5</v>
      </c>
      <c r="X5" s="9" t="s">
        <v>5</v>
      </c>
      <c r="Y5" s="9" t="s">
        <v>5</v>
      </c>
      <c r="Z5" s="9" t="s">
        <v>5</v>
      </c>
      <c r="AA5" s="9" t="s">
        <v>5</v>
      </c>
      <c r="AB5" s="9" t="s">
        <v>5</v>
      </c>
      <c r="AC5" s="9" t="s">
        <v>5</v>
      </c>
      <c r="AD5" s="9" t="s">
        <v>5</v>
      </c>
      <c r="AE5" s="9" t="s">
        <v>5</v>
      </c>
      <c r="AF5" s="9" t="s">
        <v>5</v>
      </c>
    </row>
    <row r="6" ht="45" customHeight="1" spans="1:34 16384:16384">
      <c r="A6" s="5" t="s">
        <v>95</v>
      </c>
      <c r="B6" s="9" t="s">
        <v>5</v>
      </c>
      <c r="C6" s="9" t="s">
        <v>5</v>
      </c>
      <c r="D6" s="9" t="s">
        <v>5</v>
      </c>
      <c r="E6" s="9" t="s">
        <v>5</v>
      </c>
      <c r="F6" s="9" t="s">
        <v>5</v>
      </c>
      <c r="G6" s="9" t="s">
        <v>5</v>
      </c>
      <c r="H6" s="9" t="s">
        <v>5</v>
      </c>
      <c r="I6" s="9" t="s">
        <v>5</v>
      </c>
      <c r="J6" s="9" t="s">
        <v>6</v>
      </c>
      <c r="K6" s="9" t="s">
        <v>5</v>
      </c>
      <c r="L6" s="9" t="s">
        <v>5</v>
      </c>
      <c r="M6" s="9" t="s">
        <v>5</v>
      </c>
      <c r="N6" s="9" t="s">
        <v>5</v>
      </c>
      <c r="O6" s="9" t="s">
        <v>5</v>
      </c>
      <c r="P6" s="9" t="s">
        <v>5</v>
      </c>
      <c r="Q6" s="9" t="s">
        <v>5</v>
      </c>
      <c r="R6" s="9" t="s">
        <v>5</v>
      </c>
      <c r="S6" s="9" t="s">
        <v>5</v>
      </c>
      <c r="T6" s="9" t="s">
        <v>5</v>
      </c>
      <c r="U6" s="9" t="s">
        <v>5</v>
      </c>
      <c r="V6" s="9" t="s">
        <v>5</v>
      </c>
      <c r="W6" s="9" t="s">
        <v>5</v>
      </c>
      <c r="X6" s="9" t="s">
        <v>5</v>
      </c>
      <c r="Y6" s="9" t="s">
        <v>5</v>
      </c>
      <c r="Z6" s="9" t="s">
        <v>5</v>
      </c>
      <c r="AA6" s="9" t="s">
        <v>5</v>
      </c>
      <c r="AB6" s="9" t="s">
        <v>5</v>
      </c>
      <c r="AC6" s="9" t="s">
        <v>5</v>
      </c>
      <c r="AD6" s="9" t="s">
        <v>5</v>
      </c>
      <c r="AE6" s="9" t="s">
        <v>5</v>
      </c>
      <c r="AF6" s="9" t="s">
        <v>5</v>
      </c>
    </row>
    <row r="7" ht="45" customHeight="1" spans="1:34 16384:16384">
      <c r="A7" s="5" t="s">
        <v>88</v>
      </c>
      <c r="B7" s="9" t="s">
        <v>5</v>
      </c>
      <c r="C7" s="9" t="s">
        <v>5</v>
      </c>
      <c r="D7" s="9" t="s">
        <v>5</v>
      </c>
      <c r="E7" s="9" t="s">
        <v>5</v>
      </c>
      <c r="F7" s="9" t="s">
        <v>5</v>
      </c>
      <c r="G7" s="9" t="s">
        <v>5</v>
      </c>
      <c r="H7" s="9" t="s">
        <v>5</v>
      </c>
      <c r="I7" s="9" t="s">
        <v>5</v>
      </c>
      <c r="J7" s="9" t="s">
        <v>6</v>
      </c>
      <c r="K7" s="9" t="s">
        <v>5</v>
      </c>
      <c r="L7" s="9" t="s">
        <v>5</v>
      </c>
      <c r="M7" s="9" t="s">
        <v>5</v>
      </c>
      <c r="N7" s="9" t="s">
        <v>5</v>
      </c>
      <c r="O7" s="9" t="s">
        <v>5</v>
      </c>
      <c r="P7" s="9" t="s">
        <v>5</v>
      </c>
      <c r="Q7" s="9" t="s">
        <v>5</v>
      </c>
      <c r="R7" s="9" t="s">
        <v>5</v>
      </c>
      <c r="S7" s="9" t="s">
        <v>5</v>
      </c>
      <c r="T7" s="9" t="s">
        <v>5</v>
      </c>
      <c r="U7" s="9" t="s">
        <v>5</v>
      </c>
      <c r="V7" s="9" t="s">
        <v>5</v>
      </c>
      <c r="W7" s="9" t="s">
        <v>5</v>
      </c>
      <c r="X7" s="9" t="s">
        <v>5</v>
      </c>
      <c r="Y7" s="9" t="s">
        <v>5</v>
      </c>
      <c r="Z7" s="9" t="s">
        <v>5</v>
      </c>
      <c r="AA7" s="9" t="s">
        <v>5</v>
      </c>
      <c r="AB7" s="9" t="s">
        <v>5</v>
      </c>
      <c r="AC7" s="9" t="s">
        <v>5</v>
      </c>
      <c r="AD7" s="9" t="s">
        <v>5</v>
      </c>
      <c r="AE7" s="9" t="s">
        <v>5</v>
      </c>
      <c r="AF7" s="9" t="s">
        <v>5</v>
      </c>
    </row>
    <row r="8" ht="45" customHeight="1" spans="1:34 16384:16384">
      <c r="A8" s="5" t="s">
        <v>89</v>
      </c>
      <c r="B8" s="9" t="s">
        <v>5</v>
      </c>
      <c r="C8" s="9" t="s">
        <v>5</v>
      </c>
      <c r="D8" s="9" t="s">
        <v>5</v>
      </c>
      <c r="E8" s="9" t="s">
        <v>5</v>
      </c>
      <c r="F8" s="9" t="s">
        <v>5</v>
      </c>
      <c r="G8" s="9" t="s">
        <v>5</v>
      </c>
      <c r="H8" s="9" t="s">
        <v>5</v>
      </c>
      <c r="I8" s="9" t="s">
        <v>5</v>
      </c>
      <c r="J8" s="9" t="s">
        <v>6</v>
      </c>
      <c r="K8" s="9" t="s">
        <v>5</v>
      </c>
      <c r="L8" s="9" t="s">
        <v>5</v>
      </c>
      <c r="M8" s="9" t="s">
        <v>5</v>
      </c>
      <c r="N8" s="9" t="s">
        <v>5</v>
      </c>
      <c r="O8" s="9" t="s">
        <v>5</v>
      </c>
      <c r="P8" s="9" t="s">
        <v>5</v>
      </c>
      <c r="Q8" s="9" t="s">
        <v>5</v>
      </c>
      <c r="R8" s="9" t="s">
        <v>5</v>
      </c>
      <c r="S8" s="9" t="s">
        <v>5</v>
      </c>
      <c r="T8" s="9" t="s">
        <v>5</v>
      </c>
      <c r="U8" s="9" t="s">
        <v>5</v>
      </c>
      <c r="V8" s="9" t="s">
        <v>5</v>
      </c>
      <c r="W8" s="9" t="s">
        <v>5</v>
      </c>
      <c r="X8" s="9" t="s">
        <v>5</v>
      </c>
      <c r="Y8" s="9" t="s">
        <v>5</v>
      </c>
      <c r="Z8" s="9" t="s">
        <v>5</v>
      </c>
      <c r="AA8" s="9" t="s">
        <v>5</v>
      </c>
      <c r="AB8" s="9" t="s">
        <v>5</v>
      </c>
      <c r="AC8" s="9" t="s">
        <v>5</v>
      </c>
      <c r="AD8" s="9" t="s">
        <v>5</v>
      </c>
      <c r="AE8" s="9" t="s">
        <v>5</v>
      </c>
      <c r="AF8" s="9" t="s">
        <v>5</v>
      </c>
    </row>
    <row r="9" ht="45" customHeight="1" spans="1:34 16384:16384">
      <c r="A9" s="5" t="s">
        <v>92</v>
      </c>
      <c r="B9" s="9" t="s">
        <v>5</v>
      </c>
      <c r="C9" s="9" t="s">
        <v>5</v>
      </c>
      <c r="D9" s="9" t="s">
        <v>5</v>
      </c>
      <c r="E9" s="9" t="s">
        <v>5</v>
      </c>
      <c r="F9" s="9" t="s">
        <v>5</v>
      </c>
      <c r="G9" s="9" t="s">
        <v>5</v>
      </c>
      <c r="H9" s="9" t="s">
        <v>5</v>
      </c>
      <c r="I9" s="9" t="s">
        <v>5</v>
      </c>
      <c r="J9" s="9" t="s">
        <v>6</v>
      </c>
      <c r="K9" s="9" t="s">
        <v>5</v>
      </c>
      <c r="L9" s="9" t="s">
        <v>5</v>
      </c>
      <c r="M9" s="9" t="s">
        <v>5</v>
      </c>
      <c r="N9" s="9" t="s">
        <v>5</v>
      </c>
      <c r="O9" s="9" t="s">
        <v>5</v>
      </c>
      <c r="P9" s="9" t="s">
        <v>5</v>
      </c>
      <c r="Q9" s="9" t="s">
        <v>5</v>
      </c>
      <c r="R9" s="9" t="s">
        <v>5</v>
      </c>
      <c r="S9" s="9" t="s">
        <v>5</v>
      </c>
      <c r="T9" s="9" t="s">
        <v>5</v>
      </c>
      <c r="U9" s="9" t="s">
        <v>5</v>
      </c>
      <c r="V9" s="9" t="s">
        <v>5</v>
      </c>
      <c r="W9" s="9" t="s">
        <v>5</v>
      </c>
      <c r="X9" s="9" t="s">
        <v>5</v>
      </c>
      <c r="Y9" s="9" t="s">
        <v>5</v>
      </c>
      <c r="Z9" s="9" t="s">
        <v>5</v>
      </c>
      <c r="AA9" s="9" t="s">
        <v>5</v>
      </c>
      <c r="AB9" s="9" t="s">
        <v>5</v>
      </c>
      <c r="AC9" s="9" t="s">
        <v>5</v>
      </c>
      <c r="AD9" s="9" t="s">
        <v>5</v>
      </c>
      <c r="AE9" s="9" t="s">
        <v>5</v>
      </c>
      <c r="AF9" s="9" t="s">
        <v>5</v>
      </c>
    </row>
    <row r="10" ht="45" customHeight="1" spans="1:34 16384:16384">
      <c r="A10" s="5" t="s">
        <v>93</v>
      </c>
      <c r="B10" s="9" t="s">
        <v>5</v>
      </c>
      <c r="C10" s="9" t="s">
        <v>5</v>
      </c>
      <c r="D10" s="9" t="s">
        <v>5</v>
      </c>
      <c r="E10" s="9" t="s">
        <v>5</v>
      </c>
      <c r="F10" s="9" t="s">
        <v>5</v>
      </c>
      <c r="G10" s="9" t="s">
        <v>5</v>
      </c>
      <c r="H10" s="9" t="s">
        <v>5</v>
      </c>
      <c r="I10" s="9" t="s">
        <v>5</v>
      </c>
      <c r="J10" s="9" t="s">
        <v>6</v>
      </c>
      <c r="K10" s="9" t="s">
        <v>5</v>
      </c>
      <c r="L10" s="9" t="s">
        <v>5</v>
      </c>
      <c r="M10" s="9" t="s">
        <v>5</v>
      </c>
      <c r="N10" s="9" t="s">
        <v>5</v>
      </c>
      <c r="O10" s="9" t="s">
        <v>5</v>
      </c>
      <c r="P10" s="9" t="s">
        <v>5</v>
      </c>
      <c r="Q10" s="9" t="s">
        <v>5</v>
      </c>
      <c r="R10" s="9" t="s">
        <v>5</v>
      </c>
      <c r="S10" s="9" t="s">
        <v>5</v>
      </c>
      <c r="T10" s="9" t="s">
        <v>5</v>
      </c>
      <c r="U10" s="9" t="s">
        <v>5</v>
      </c>
      <c r="V10" s="9" t="s">
        <v>5</v>
      </c>
      <c r="W10" s="9" t="s">
        <v>5</v>
      </c>
      <c r="X10" s="9" t="s">
        <v>5</v>
      </c>
      <c r="Y10" s="9" t="s">
        <v>5</v>
      </c>
      <c r="Z10" s="9" t="s">
        <v>5</v>
      </c>
      <c r="AA10" s="9" t="s">
        <v>5</v>
      </c>
      <c r="AB10" s="9" t="s">
        <v>5</v>
      </c>
      <c r="AC10" s="9" t="s">
        <v>5</v>
      </c>
      <c r="AD10" s="9" t="s">
        <v>5</v>
      </c>
      <c r="AE10" s="9" t="s">
        <v>5</v>
      </c>
      <c r="AF10" s="9" t="s">
        <v>5</v>
      </c>
    </row>
    <row r="11" ht="45" customHeight="1" spans="1:34 16384:16384">
      <c r="A11" s="5"/>
      <c r="B11" s="9" t="s">
        <v>5</v>
      </c>
      <c r="C11" s="9" t="s">
        <v>5</v>
      </c>
      <c r="D11" s="9" t="s">
        <v>5</v>
      </c>
      <c r="E11" s="9" t="s">
        <v>5</v>
      </c>
      <c r="F11" s="9" t="s">
        <v>5</v>
      </c>
      <c r="G11" s="9" t="s">
        <v>5</v>
      </c>
      <c r="H11" s="9" t="s">
        <v>5</v>
      </c>
      <c r="I11" s="9" t="s">
        <v>5</v>
      </c>
      <c r="J11" s="9" t="s">
        <v>5</v>
      </c>
      <c r="K11" s="9" t="s">
        <v>5</v>
      </c>
      <c r="L11" s="9" t="s">
        <v>5</v>
      </c>
      <c r="M11" s="9" t="s">
        <v>5</v>
      </c>
      <c r="N11" s="9" t="s">
        <v>5</v>
      </c>
      <c r="O11" s="9" t="s">
        <v>5</v>
      </c>
      <c r="P11" s="9" t="s">
        <v>5</v>
      </c>
      <c r="Q11" s="9" t="s">
        <v>5</v>
      </c>
      <c r="R11" s="9" t="s">
        <v>5</v>
      </c>
      <c r="S11" s="9" t="s">
        <v>5</v>
      </c>
      <c r="T11" s="9" t="s">
        <v>5</v>
      </c>
      <c r="U11" s="9" t="s">
        <v>5</v>
      </c>
      <c r="V11" s="9" t="s">
        <v>5</v>
      </c>
      <c r="W11" s="9" t="s">
        <v>5</v>
      </c>
      <c r="X11" s="9" t="s">
        <v>5</v>
      </c>
      <c r="Y11" s="9" t="s">
        <v>5</v>
      </c>
      <c r="Z11" s="9" t="s">
        <v>5</v>
      </c>
      <c r="AA11" s="9" t="s">
        <v>5</v>
      </c>
      <c r="AB11" s="9" t="s">
        <v>5</v>
      </c>
      <c r="AC11" s="9" t="s">
        <v>5</v>
      </c>
      <c r="AD11" s="9" t="s">
        <v>5</v>
      </c>
      <c r="AE11" s="9" t="s">
        <v>5</v>
      </c>
      <c r="AF11" s="9" t="s">
        <v>5</v>
      </c>
    </row>
    <row r="12" ht="45" customHeight="1"/>
    <row r="13" ht="45" customHeight="1" spans="1:34 16384:16384">
      <c r="A13" s="3" t="s">
        <v>148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ht="45" customHeight="1" spans="1:34 16384:16384">
      <c r="A14" s="5"/>
      <c r="B14" s="6" t="s">
        <v>114</v>
      </c>
      <c r="C14" s="6" t="s">
        <v>115</v>
      </c>
      <c r="D14" s="6" t="s">
        <v>116</v>
      </c>
      <c r="E14" s="6" t="s">
        <v>117</v>
      </c>
      <c r="F14" s="6" t="s">
        <v>118</v>
      </c>
      <c r="G14" s="6" t="s">
        <v>119</v>
      </c>
      <c r="H14" s="6" t="s">
        <v>120</v>
      </c>
      <c r="I14" s="6" t="s">
        <v>121</v>
      </c>
      <c r="J14" s="6" t="s">
        <v>122</v>
      </c>
      <c r="K14" s="6" t="s">
        <v>123</v>
      </c>
      <c r="L14" s="6" t="s">
        <v>124</v>
      </c>
      <c r="M14" s="6" t="s">
        <v>125</v>
      </c>
      <c r="N14" s="6" t="s">
        <v>126</v>
      </c>
      <c r="O14" s="6" t="s">
        <v>127</v>
      </c>
      <c r="P14" s="7">
        <v>8.15</v>
      </c>
      <c r="Q14" s="7">
        <v>8.16</v>
      </c>
      <c r="R14" s="7">
        <v>8.17</v>
      </c>
      <c r="S14" s="7">
        <v>8.18</v>
      </c>
      <c r="T14" s="7">
        <v>8.19</v>
      </c>
      <c r="U14" s="6" t="s">
        <v>128</v>
      </c>
      <c r="V14" s="7">
        <v>8.21</v>
      </c>
      <c r="W14" s="7">
        <v>8.22</v>
      </c>
      <c r="X14" s="7">
        <v>8.23</v>
      </c>
      <c r="Y14" s="7">
        <v>8.24</v>
      </c>
      <c r="Z14" s="7">
        <v>8.25</v>
      </c>
      <c r="AA14" s="7">
        <v>8.26</v>
      </c>
      <c r="AB14" s="7">
        <v>8.27</v>
      </c>
      <c r="AC14" s="7">
        <v>8.28</v>
      </c>
      <c r="AD14" s="7">
        <v>8.29</v>
      </c>
      <c r="AE14" s="6" t="s">
        <v>129</v>
      </c>
      <c r="AF14" s="7">
        <v>8.31</v>
      </c>
    </row>
    <row r="15" ht="45" customHeight="1" spans="1:34 16384:16384">
      <c r="A15" s="5" t="s">
        <v>149</v>
      </c>
      <c r="B15" s="9" t="s">
        <v>5</v>
      </c>
      <c r="C15" s="9" t="s">
        <v>5</v>
      </c>
      <c r="D15" s="9" t="s">
        <v>5</v>
      </c>
      <c r="E15" s="9" t="s">
        <v>5</v>
      </c>
      <c r="F15" s="9" t="s">
        <v>5</v>
      </c>
      <c r="G15" s="9" t="s">
        <v>5</v>
      </c>
      <c r="H15" s="9" t="s">
        <v>5</v>
      </c>
      <c r="I15" s="9" t="s">
        <v>5</v>
      </c>
      <c r="J15" s="9" t="s">
        <v>5</v>
      </c>
      <c r="K15" s="9" t="s">
        <v>5</v>
      </c>
      <c r="L15" s="9" t="s">
        <v>5</v>
      </c>
      <c r="M15" s="9" t="s">
        <v>10</v>
      </c>
      <c r="N15" s="9" t="s">
        <v>5</v>
      </c>
      <c r="O15" s="9" t="s">
        <v>5</v>
      </c>
      <c r="P15" s="9" t="s">
        <v>5</v>
      </c>
      <c r="Q15" s="9" t="s">
        <v>5</v>
      </c>
      <c r="R15" s="9" t="s">
        <v>5</v>
      </c>
      <c r="S15" s="9" t="s">
        <v>5</v>
      </c>
      <c r="T15" s="9" t="s">
        <v>5</v>
      </c>
      <c r="U15" s="9" t="s">
        <v>5</v>
      </c>
      <c r="V15" s="9" t="s">
        <v>5</v>
      </c>
      <c r="W15" s="9" t="s">
        <v>5</v>
      </c>
      <c r="X15" s="9" t="s">
        <v>5</v>
      </c>
      <c r="Y15" s="9" t="s">
        <v>5</v>
      </c>
      <c r="Z15" s="9" t="s">
        <v>5</v>
      </c>
      <c r="AA15" s="9" t="s">
        <v>5</v>
      </c>
      <c r="AB15" s="9" t="s">
        <v>5</v>
      </c>
      <c r="AC15" s="9" t="s">
        <v>5</v>
      </c>
      <c r="AD15" s="9" t="s">
        <v>5</v>
      </c>
      <c r="AE15" s="9" t="s">
        <v>5</v>
      </c>
      <c r="AF15" s="9" t="s">
        <v>5</v>
      </c>
    </row>
    <row r="16" ht="45" customHeight="1" spans="1:34 16384:16384">
      <c r="A16" s="5" t="s">
        <v>150</v>
      </c>
      <c r="B16" s="9" t="s">
        <v>5</v>
      </c>
      <c r="C16" s="9" t="s">
        <v>5</v>
      </c>
      <c r="D16" s="9" t="s">
        <v>5</v>
      </c>
      <c r="E16" s="9" t="s">
        <v>5</v>
      </c>
      <c r="F16" s="9" t="s">
        <v>5</v>
      </c>
      <c r="G16" s="9" t="s">
        <v>5</v>
      </c>
      <c r="H16" s="9" t="s">
        <v>5</v>
      </c>
      <c r="I16" s="9" t="s">
        <v>5</v>
      </c>
      <c r="J16" s="9" t="s">
        <v>5</v>
      </c>
      <c r="K16" s="9" t="s">
        <v>5</v>
      </c>
      <c r="L16" s="9" t="s">
        <v>5</v>
      </c>
      <c r="M16" s="9" t="s">
        <v>10</v>
      </c>
      <c r="N16" s="9" t="s">
        <v>5</v>
      </c>
      <c r="O16" s="9" t="s">
        <v>5</v>
      </c>
      <c r="P16" s="9" t="s">
        <v>5</v>
      </c>
      <c r="Q16" s="9" t="s">
        <v>5</v>
      </c>
      <c r="R16" s="9" t="s">
        <v>5</v>
      </c>
      <c r="S16" s="9" t="s">
        <v>5</v>
      </c>
      <c r="T16" s="9" t="s">
        <v>5</v>
      </c>
      <c r="U16" s="9" t="s">
        <v>5</v>
      </c>
      <c r="V16" s="9" t="s">
        <v>5</v>
      </c>
      <c r="W16" s="9" t="s">
        <v>5</v>
      </c>
      <c r="X16" s="9" t="s">
        <v>5</v>
      </c>
      <c r="Y16" s="9" t="s">
        <v>5</v>
      </c>
      <c r="Z16" s="9" t="s">
        <v>5</v>
      </c>
      <c r="AA16" s="9" t="s">
        <v>5</v>
      </c>
      <c r="AB16" s="9" t="s">
        <v>5</v>
      </c>
      <c r="AC16" s="9" t="s">
        <v>5</v>
      </c>
      <c r="AD16" s="9" t="s">
        <v>5</v>
      </c>
      <c r="AE16" s="9" t="s">
        <v>5</v>
      </c>
      <c r="AF16" s="9" t="s">
        <v>5</v>
      </c>
    </row>
    <row r="17" ht="45" customHeight="1" spans="1:32">
      <c r="A17" s="5"/>
      <c r="B17" s="9" t="s">
        <v>5</v>
      </c>
      <c r="C17" s="9" t="s">
        <v>5</v>
      </c>
      <c r="D17" s="9" t="s">
        <v>5</v>
      </c>
      <c r="E17" s="9" t="s">
        <v>5</v>
      </c>
      <c r="F17" s="9" t="s">
        <v>5</v>
      </c>
      <c r="G17" s="9" t="s">
        <v>5</v>
      </c>
      <c r="H17" s="9" t="s">
        <v>5</v>
      </c>
      <c r="I17" s="9" t="s">
        <v>5</v>
      </c>
      <c r="J17" s="9" t="s">
        <v>5</v>
      </c>
      <c r="K17" s="9" t="s">
        <v>5</v>
      </c>
      <c r="L17" s="9" t="s">
        <v>5</v>
      </c>
      <c r="M17" s="9" t="s">
        <v>5</v>
      </c>
      <c r="N17" s="9" t="s">
        <v>5</v>
      </c>
      <c r="O17" s="9" t="s">
        <v>5</v>
      </c>
      <c r="P17" s="9" t="s">
        <v>5</v>
      </c>
      <c r="Q17" s="9" t="s">
        <v>5</v>
      </c>
      <c r="R17" s="9" t="s">
        <v>5</v>
      </c>
      <c r="S17" s="9" t="s">
        <v>5</v>
      </c>
      <c r="T17" s="9" t="s">
        <v>5</v>
      </c>
      <c r="U17" s="9" t="s">
        <v>5</v>
      </c>
      <c r="V17" s="9" t="s">
        <v>5</v>
      </c>
      <c r="W17" s="9" t="s">
        <v>5</v>
      </c>
      <c r="X17" s="9" t="s">
        <v>5</v>
      </c>
      <c r="Y17" s="9" t="s">
        <v>5</v>
      </c>
      <c r="Z17" s="9" t="s">
        <v>5</v>
      </c>
      <c r="AA17" s="9" t="s">
        <v>5</v>
      </c>
      <c r="AB17" s="9" t="s">
        <v>5</v>
      </c>
      <c r="AC17" s="9" t="s">
        <v>5</v>
      </c>
      <c r="AD17" s="9" t="s">
        <v>5</v>
      </c>
      <c r="AE17" s="9" t="s">
        <v>5</v>
      </c>
      <c r="AF17" s="9" t="s">
        <v>5</v>
      </c>
    </row>
    <row r="18" ht="45" customHeight="1" spans="1:32">
      <c r="A18" s="5"/>
      <c r="B18" s="9" t="s">
        <v>5</v>
      </c>
      <c r="C18" s="9" t="s">
        <v>5</v>
      </c>
      <c r="D18" s="9" t="s">
        <v>5</v>
      </c>
      <c r="E18" s="9" t="s">
        <v>5</v>
      </c>
      <c r="F18" s="9" t="s">
        <v>5</v>
      </c>
      <c r="G18" s="9" t="s">
        <v>5</v>
      </c>
      <c r="H18" s="9" t="s">
        <v>5</v>
      </c>
      <c r="I18" s="9" t="s">
        <v>5</v>
      </c>
      <c r="J18" s="9" t="s">
        <v>5</v>
      </c>
      <c r="K18" s="9" t="s">
        <v>5</v>
      </c>
      <c r="L18" s="9" t="s">
        <v>5</v>
      </c>
      <c r="M18" s="9" t="s">
        <v>5</v>
      </c>
      <c r="N18" s="9" t="s">
        <v>5</v>
      </c>
      <c r="O18" s="9" t="s">
        <v>5</v>
      </c>
      <c r="P18" s="9" t="s">
        <v>5</v>
      </c>
      <c r="Q18" s="9" t="s">
        <v>5</v>
      </c>
      <c r="R18" s="9" t="s">
        <v>5</v>
      </c>
      <c r="S18" s="9" t="s">
        <v>5</v>
      </c>
      <c r="T18" s="9" t="s">
        <v>5</v>
      </c>
      <c r="U18" s="9" t="s">
        <v>5</v>
      </c>
      <c r="V18" s="9" t="s">
        <v>5</v>
      </c>
      <c r="W18" s="9" t="s">
        <v>5</v>
      </c>
      <c r="X18" s="9" t="s">
        <v>5</v>
      </c>
      <c r="Y18" s="9" t="s">
        <v>5</v>
      </c>
      <c r="Z18" s="9" t="s">
        <v>5</v>
      </c>
      <c r="AA18" s="9" t="s">
        <v>5</v>
      </c>
      <c r="AB18" s="9" t="s">
        <v>5</v>
      </c>
      <c r="AC18" s="9" t="s">
        <v>5</v>
      </c>
      <c r="AD18" s="9" t="s">
        <v>5</v>
      </c>
      <c r="AE18" s="9" t="s">
        <v>5</v>
      </c>
      <c r="AF18" s="9" t="s">
        <v>5</v>
      </c>
    </row>
    <row r="19" ht="45" customHeight="1"/>
    <row r="20" ht="45" customHeight="1" spans="1:32">
      <c r="A20" s="3" t="s">
        <v>151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ht="45" customHeight="1" spans="1:32">
      <c r="A21" s="5"/>
      <c r="B21" s="6" t="s">
        <v>131</v>
      </c>
      <c r="C21" s="6" t="s">
        <v>132</v>
      </c>
      <c r="D21" s="6" t="s">
        <v>133</v>
      </c>
      <c r="E21" s="6" t="s">
        <v>134</v>
      </c>
      <c r="F21" s="6" t="s">
        <v>135</v>
      </c>
      <c r="G21" s="6" t="s">
        <v>136</v>
      </c>
      <c r="H21" s="6" t="s">
        <v>137</v>
      </c>
      <c r="I21" s="6" t="s">
        <v>138</v>
      </c>
      <c r="J21" s="6" t="s">
        <v>139</v>
      </c>
      <c r="K21" s="6" t="s">
        <v>140</v>
      </c>
      <c r="L21" s="6" t="s">
        <v>141</v>
      </c>
      <c r="M21" s="6" t="s">
        <v>142</v>
      </c>
      <c r="N21" s="6" t="s">
        <v>143</v>
      </c>
      <c r="O21" s="6" t="s">
        <v>144</v>
      </c>
      <c r="P21" s="7">
        <v>9.15</v>
      </c>
      <c r="Q21" s="7">
        <v>9.16</v>
      </c>
      <c r="R21" s="7">
        <v>9.17</v>
      </c>
      <c r="S21" s="7">
        <v>9.18</v>
      </c>
      <c r="T21" s="7">
        <v>9.19</v>
      </c>
      <c r="U21" s="6" t="s">
        <v>145</v>
      </c>
      <c r="V21" s="7">
        <v>9.21</v>
      </c>
      <c r="W21" s="7">
        <v>9.22</v>
      </c>
      <c r="X21" s="7">
        <v>9.23</v>
      </c>
      <c r="Y21" s="7">
        <v>9.24</v>
      </c>
      <c r="Z21" s="7">
        <v>9.25</v>
      </c>
      <c r="AA21" s="7">
        <v>9.26</v>
      </c>
      <c r="AB21" s="7">
        <v>9.27</v>
      </c>
      <c r="AC21" s="7">
        <v>9.28</v>
      </c>
      <c r="AD21" s="7">
        <v>9.29</v>
      </c>
      <c r="AE21" s="6" t="s">
        <v>146</v>
      </c>
      <c r="AF21" s="7"/>
    </row>
    <row r="22" ht="45" customHeight="1" spans="1:32">
      <c r="A22" s="5" t="s">
        <v>88</v>
      </c>
      <c r="B22" s="9" t="s">
        <v>5</v>
      </c>
      <c r="C22" s="9" t="s">
        <v>8</v>
      </c>
      <c r="D22" s="9" t="s">
        <v>5</v>
      </c>
      <c r="E22" s="9" t="s">
        <v>5</v>
      </c>
      <c r="F22" s="9" t="s">
        <v>5</v>
      </c>
      <c r="G22" s="9" t="s">
        <v>5</v>
      </c>
      <c r="H22" s="9" t="s">
        <v>5</v>
      </c>
      <c r="I22" s="9" t="s">
        <v>5</v>
      </c>
      <c r="J22" s="9" t="s">
        <v>5</v>
      </c>
      <c r="K22" s="9" t="s">
        <v>5</v>
      </c>
      <c r="L22" s="9" t="s">
        <v>5</v>
      </c>
      <c r="M22" s="9" t="s">
        <v>5</v>
      </c>
      <c r="N22" s="9" t="s">
        <v>5</v>
      </c>
      <c r="O22" s="9" t="s">
        <v>5</v>
      </c>
      <c r="P22" s="9" t="s">
        <v>5</v>
      </c>
      <c r="Q22" s="9" t="s">
        <v>5</v>
      </c>
      <c r="R22" s="9" t="s">
        <v>5</v>
      </c>
      <c r="S22" s="9" t="s">
        <v>5</v>
      </c>
      <c r="T22" s="9" t="s">
        <v>5</v>
      </c>
      <c r="U22" s="9" t="s">
        <v>5</v>
      </c>
      <c r="V22" s="9" t="s">
        <v>5</v>
      </c>
      <c r="W22" s="9" t="s">
        <v>5</v>
      </c>
      <c r="X22" s="9" t="s">
        <v>5</v>
      </c>
      <c r="Y22" s="9" t="s">
        <v>5</v>
      </c>
      <c r="Z22" s="9" t="s">
        <v>5</v>
      </c>
      <c r="AA22" s="9" t="s">
        <v>5</v>
      </c>
      <c r="AB22" s="9" t="s">
        <v>5</v>
      </c>
      <c r="AC22" s="9" t="s">
        <v>5</v>
      </c>
      <c r="AD22" s="9" t="s">
        <v>5</v>
      </c>
      <c r="AE22" s="9" t="s">
        <v>5</v>
      </c>
      <c r="AF22" s="9"/>
    </row>
    <row r="23" ht="45" customHeight="1" spans="1:32">
      <c r="A23" s="5"/>
      <c r="B23" s="9" t="s">
        <v>5</v>
      </c>
      <c r="C23" s="9" t="s">
        <v>5</v>
      </c>
      <c r="D23" s="9" t="s">
        <v>5</v>
      </c>
      <c r="E23" s="9" t="s">
        <v>5</v>
      </c>
      <c r="F23" s="9" t="s">
        <v>5</v>
      </c>
      <c r="G23" s="9" t="s">
        <v>5</v>
      </c>
      <c r="H23" s="9" t="s">
        <v>5</v>
      </c>
      <c r="I23" s="9" t="s">
        <v>5</v>
      </c>
      <c r="J23" s="9" t="s">
        <v>5</v>
      </c>
      <c r="K23" s="9" t="s">
        <v>5</v>
      </c>
      <c r="L23" s="9" t="s">
        <v>5</v>
      </c>
      <c r="M23" s="9" t="s">
        <v>5</v>
      </c>
      <c r="N23" s="9" t="s">
        <v>5</v>
      </c>
      <c r="O23" s="9" t="s">
        <v>5</v>
      </c>
      <c r="P23" s="9" t="s">
        <v>5</v>
      </c>
      <c r="Q23" s="9" t="s">
        <v>5</v>
      </c>
      <c r="R23" s="9" t="s">
        <v>5</v>
      </c>
      <c r="S23" s="9" t="s">
        <v>5</v>
      </c>
      <c r="T23" s="9" t="s">
        <v>5</v>
      </c>
      <c r="U23" s="9" t="s">
        <v>5</v>
      </c>
      <c r="V23" s="9" t="s">
        <v>5</v>
      </c>
      <c r="W23" s="9" t="s">
        <v>5</v>
      </c>
      <c r="X23" s="9" t="s">
        <v>5</v>
      </c>
      <c r="Y23" s="9" t="s">
        <v>5</v>
      </c>
      <c r="Z23" s="9" t="s">
        <v>5</v>
      </c>
      <c r="AA23" s="9" t="s">
        <v>5</v>
      </c>
      <c r="AB23" s="9" t="s">
        <v>5</v>
      </c>
      <c r="AC23" s="9" t="s">
        <v>5</v>
      </c>
      <c r="AD23" s="9" t="s">
        <v>5</v>
      </c>
      <c r="AE23" s="9" t="s">
        <v>5</v>
      </c>
      <c r="AF23" s="9"/>
    </row>
    <row r="24" ht="45" customHeight="1" spans="1:32">
      <c r="A24" s="5"/>
      <c r="B24" s="9" t="s">
        <v>5</v>
      </c>
      <c r="C24" s="9" t="s">
        <v>5</v>
      </c>
      <c r="D24" s="9" t="s">
        <v>5</v>
      </c>
      <c r="E24" s="9" t="s">
        <v>5</v>
      </c>
      <c r="F24" s="9" t="s">
        <v>5</v>
      </c>
      <c r="G24" s="9" t="s">
        <v>5</v>
      </c>
      <c r="H24" s="9" t="s">
        <v>5</v>
      </c>
      <c r="I24" s="9" t="s">
        <v>5</v>
      </c>
      <c r="J24" s="9" t="s">
        <v>5</v>
      </c>
      <c r="K24" s="9" t="s">
        <v>5</v>
      </c>
      <c r="L24" s="9" t="s">
        <v>5</v>
      </c>
      <c r="M24" s="9" t="s">
        <v>5</v>
      </c>
      <c r="N24" s="9" t="s">
        <v>5</v>
      </c>
      <c r="O24" s="9" t="s">
        <v>5</v>
      </c>
      <c r="P24" s="9" t="s">
        <v>5</v>
      </c>
      <c r="Q24" s="9" t="s">
        <v>5</v>
      </c>
      <c r="R24" s="9" t="s">
        <v>5</v>
      </c>
      <c r="S24" s="9" t="s">
        <v>5</v>
      </c>
      <c r="T24" s="9" t="s">
        <v>5</v>
      </c>
      <c r="U24" s="9" t="s">
        <v>5</v>
      </c>
      <c r="V24" s="9" t="s">
        <v>5</v>
      </c>
      <c r="W24" s="9" t="s">
        <v>5</v>
      </c>
      <c r="X24" s="9" t="s">
        <v>5</v>
      </c>
      <c r="Y24" s="9" t="s">
        <v>5</v>
      </c>
      <c r="Z24" s="9" t="s">
        <v>5</v>
      </c>
      <c r="AA24" s="9" t="s">
        <v>5</v>
      </c>
      <c r="AB24" s="9" t="s">
        <v>5</v>
      </c>
      <c r="AC24" s="9" t="s">
        <v>5</v>
      </c>
      <c r="AD24" s="9" t="s">
        <v>5</v>
      </c>
      <c r="AE24" s="9" t="s">
        <v>5</v>
      </c>
      <c r="AF24" s="9"/>
    </row>
    <row r="25" ht="45" customHeight="1" spans="1:32">
      <c r="A25" s="5"/>
      <c r="B25" s="9" t="s">
        <v>5</v>
      </c>
      <c r="C25" s="9" t="s">
        <v>5</v>
      </c>
      <c r="D25" s="9" t="s">
        <v>5</v>
      </c>
      <c r="E25" s="9" t="s">
        <v>5</v>
      </c>
      <c r="F25" s="9" t="s">
        <v>5</v>
      </c>
      <c r="G25" s="9" t="s">
        <v>5</v>
      </c>
      <c r="H25" s="9" t="s">
        <v>5</v>
      </c>
      <c r="I25" s="9" t="s">
        <v>5</v>
      </c>
      <c r="J25" s="9" t="s">
        <v>5</v>
      </c>
      <c r="K25" s="9" t="s">
        <v>5</v>
      </c>
      <c r="L25" s="9" t="s">
        <v>5</v>
      </c>
      <c r="M25" s="9" t="s">
        <v>5</v>
      </c>
      <c r="N25" s="9" t="s">
        <v>5</v>
      </c>
      <c r="O25" s="9" t="s">
        <v>5</v>
      </c>
      <c r="P25" s="9" t="s">
        <v>5</v>
      </c>
      <c r="Q25" s="9" t="s">
        <v>5</v>
      </c>
      <c r="R25" s="9" t="s">
        <v>5</v>
      </c>
      <c r="S25" s="9" t="s">
        <v>5</v>
      </c>
      <c r="T25" s="9" t="s">
        <v>5</v>
      </c>
      <c r="U25" s="9" t="s">
        <v>5</v>
      </c>
      <c r="V25" s="9" t="s">
        <v>5</v>
      </c>
      <c r="W25" s="9" t="s">
        <v>5</v>
      </c>
      <c r="X25" s="9" t="s">
        <v>5</v>
      </c>
      <c r="Y25" s="9" t="s">
        <v>5</v>
      </c>
      <c r="Z25" s="9" t="s">
        <v>5</v>
      </c>
      <c r="AA25" s="9" t="s">
        <v>5</v>
      </c>
      <c r="AB25" s="9" t="s">
        <v>5</v>
      </c>
      <c r="AC25" s="9" t="s">
        <v>5</v>
      </c>
      <c r="AD25" s="9" t="s">
        <v>5</v>
      </c>
      <c r="AE25" s="9" t="s">
        <v>5</v>
      </c>
      <c r="AF25" s="9"/>
    </row>
    <row r="26" ht="45" customHeight="1" spans="1:32">
      <c r="A26" s="5"/>
      <c r="B26" s="9" t="s">
        <v>5</v>
      </c>
      <c r="C26" s="9" t="s">
        <v>5</v>
      </c>
      <c r="D26" s="9" t="s">
        <v>5</v>
      </c>
      <c r="E26" s="9" t="s">
        <v>5</v>
      </c>
      <c r="F26" s="9" t="s">
        <v>5</v>
      </c>
      <c r="G26" s="9" t="s">
        <v>5</v>
      </c>
      <c r="H26" s="9" t="s">
        <v>5</v>
      </c>
      <c r="I26" s="9" t="s">
        <v>5</v>
      </c>
      <c r="J26" s="9" t="s">
        <v>5</v>
      </c>
      <c r="K26" s="9" t="s">
        <v>5</v>
      </c>
      <c r="L26" s="9" t="s">
        <v>5</v>
      </c>
      <c r="M26" s="9" t="s">
        <v>5</v>
      </c>
      <c r="N26" s="9" t="s">
        <v>5</v>
      </c>
      <c r="O26" s="9" t="s">
        <v>5</v>
      </c>
      <c r="P26" s="9" t="s">
        <v>5</v>
      </c>
      <c r="Q26" s="9" t="s">
        <v>5</v>
      </c>
      <c r="R26" s="9" t="s">
        <v>5</v>
      </c>
      <c r="S26" s="9" t="s">
        <v>5</v>
      </c>
      <c r="T26" s="9" t="s">
        <v>5</v>
      </c>
      <c r="U26" s="9" t="s">
        <v>5</v>
      </c>
      <c r="V26" s="9" t="s">
        <v>5</v>
      </c>
      <c r="W26" s="9" t="s">
        <v>5</v>
      </c>
      <c r="X26" s="9" t="s">
        <v>5</v>
      </c>
      <c r="Y26" s="9" t="s">
        <v>5</v>
      </c>
      <c r="Z26" s="9" t="s">
        <v>5</v>
      </c>
      <c r="AA26" s="9" t="s">
        <v>5</v>
      </c>
      <c r="AB26" s="9" t="s">
        <v>5</v>
      </c>
      <c r="AC26" s="9" t="s">
        <v>5</v>
      </c>
      <c r="AD26" s="9" t="s">
        <v>5</v>
      </c>
      <c r="AE26" s="9" t="s">
        <v>5</v>
      </c>
      <c r="AF26" s="9"/>
    </row>
  </sheetData>
  <protectedRanges>
    <protectedRange sqref="B3:V3 Y3:AF3 W3:X3" name="区域1"/>
  </protectedRanges>
  <mergeCells count="3">
    <mergeCell ref="A1:AF1"/>
    <mergeCell ref="A13:AF13"/>
    <mergeCell ref="A20:AF20"/>
  </mergeCells>
  <conditionalFormatting sqref="B11:D11">
    <cfRule type="containsText" dxfId="1" priority="13" operator="between" text="丙">
      <formula>NOT(ISERROR(SEARCH("丙",B11)))</formula>
    </cfRule>
    <cfRule type="containsText" dxfId="0" priority="14" operator="between" text="乙">
      <formula>NOT(ISERROR(SEARCH("乙",B11)))</formula>
    </cfRule>
    <cfRule type="containsText" dxfId="2" priority="15" operator="between" text="甲">
      <formula>NOT(ISERROR(SEARCH("甲",B11)))</formula>
    </cfRule>
  </conditionalFormatting>
  <conditionalFormatting sqref="X18:Y18">
    <cfRule type="containsText" dxfId="1" priority="1" operator="between" text="丙">
      <formula>NOT(ISERROR(SEARCH("丙",X18)))</formula>
    </cfRule>
    <cfRule type="containsText" dxfId="0" priority="2" operator="between" text="乙">
      <formula>NOT(ISERROR(SEARCH("乙",X18)))</formula>
    </cfRule>
    <cfRule type="containsText" dxfId="2" priority="3" operator="between" text="甲">
      <formula>NOT(ISERROR(SEARCH("甲",X18)))</formula>
    </cfRule>
  </conditionalFormatting>
  <conditionalFormatting sqref="B26:D26">
    <cfRule type="containsText" dxfId="1" priority="37" operator="between" text="丙">
      <formula>NOT(ISERROR(SEARCH("丙",B26)))</formula>
    </cfRule>
    <cfRule type="containsText" dxfId="0" priority="38" operator="between" text="乙">
      <formula>NOT(ISERROR(SEARCH("乙",B26)))</formula>
    </cfRule>
    <cfRule type="containsText" dxfId="2" priority="39" operator="between" text="甲">
      <formula>NOT(ISERROR(SEARCH("甲",B26)))</formula>
    </cfRule>
  </conditionalFormatting>
  <conditionalFormatting sqref="B3:AF3 J4:J5 B6:AF6 J7:J8 B9:AF9 J10">
    <cfRule type="containsText" dxfId="2" priority="75" operator="between" text="甲">
      <formula>NOT(ISERROR(SEARCH("甲",B3)))</formula>
    </cfRule>
    <cfRule type="containsText" dxfId="0" priority="74" operator="between" text="乙">
      <formula>NOT(ISERROR(SEARCH("乙",B3)))</formula>
    </cfRule>
    <cfRule type="containsText" dxfId="1" priority="73" operator="between" text="丙">
      <formula>NOT(ISERROR(SEARCH("丙",B3)))</formula>
    </cfRule>
  </conditionalFormatting>
  <conditionalFormatting sqref="B4:D4 B7:D7">
    <cfRule type="containsText" dxfId="2" priority="12" operator="between" text="甲">
      <formula>NOT(ISERROR(SEARCH("甲",B4)))</formula>
    </cfRule>
    <cfRule type="containsText" dxfId="0" priority="11" operator="between" text="乙">
      <formula>NOT(ISERROR(SEARCH("乙",B4)))</formula>
    </cfRule>
    <cfRule type="containsText" dxfId="1" priority="10" operator="between" text="丙">
      <formula>NOT(ISERROR(SEARCH("丙",B4)))</formula>
    </cfRule>
  </conditionalFormatting>
  <conditionalFormatting sqref="E4:I4 K4:W4 Z4:AF4 E7:I7 K7:W7 Z7:AF7">
    <cfRule type="containsText" dxfId="2" priority="24" operator="between" text="甲">
      <formula>NOT(ISERROR(SEARCH("甲",E4)))</formula>
    </cfRule>
    <cfRule type="containsText" dxfId="0" priority="23" operator="between" text="乙">
      <formula>NOT(ISERROR(SEARCH("乙",E4)))</formula>
    </cfRule>
    <cfRule type="containsText" dxfId="1" priority="22" operator="between" text="丙">
      <formula>NOT(ISERROR(SEARCH("丙",E4)))</formula>
    </cfRule>
  </conditionalFormatting>
  <conditionalFormatting sqref="X4:Y4 X7:Y7">
    <cfRule type="containsText" dxfId="2" priority="21" operator="between" text="甲">
      <formula>NOT(ISERROR(SEARCH("甲",X4)))</formula>
    </cfRule>
    <cfRule type="containsText" dxfId="0" priority="20" operator="between" text="乙">
      <formula>NOT(ISERROR(SEARCH("乙",X4)))</formula>
    </cfRule>
    <cfRule type="containsText" dxfId="1" priority="19" operator="between" text="丙">
      <formula>NOT(ISERROR(SEARCH("丙",X4)))</formula>
    </cfRule>
  </conditionalFormatting>
  <conditionalFormatting sqref="X4:Y11">
    <cfRule type="containsText" dxfId="1" priority="25" operator="between" text="丙">
      <formula>NOT(ISERROR(SEARCH("丙",X4)))</formula>
    </cfRule>
    <cfRule type="containsText" dxfId="0" priority="26" operator="between" text="乙">
      <formula>NOT(ISERROR(SEARCH("乙",X4)))</formula>
    </cfRule>
    <cfRule type="containsText" dxfId="2" priority="27" operator="between" text="甲">
      <formula>NOT(ISERROR(SEARCH("甲",X4)))</formula>
    </cfRule>
  </conditionalFormatting>
  <conditionalFormatting sqref="B5:D10">
    <cfRule type="containsText" dxfId="1" priority="7" operator="between" text="丙">
      <formula>NOT(ISERROR(SEARCH("丙",B5)))</formula>
    </cfRule>
    <cfRule type="containsText" dxfId="0" priority="8" operator="between" text="乙">
      <formula>NOT(ISERROR(SEARCH("乙",B5)))</formula>
    </cfRule>
    <cfRule type="containsText" dxfId="2" priority="9" operator="between" text="甲">
      <formula>NOT(ISERROR(SEARCH("甲",B5)))</formula>
    </cfRule>
  </conditionalFormatting>
  <conditionalFormatting sqref="E5:I5 K5:W5 Z5:AF5 E6:I7 K6:W7 Z6:AF7 E8:I8 K8:W8 Z8:AF8 E9:I9 K9:W9 Z9:AF9 E10:I10 K10:W10 Z10:AF10">
    <cfRule type="containsText" dxfId="1" priority="16" operator="between" text="丙">
      <formula>NOT(ISERROR(SEARCH("丙",E5)))</formula>
    </cfRule>
    <cfRule type="containsText" dxfId="0" priority="17" operator="between" text="乙">
      <formula>NOT(ISERROR(SEARCH("乙",E5)))</formula>
    </cfRule>
    <cfRule type="containsText" dxfId="2" priority="18" operator="between" text="甲">
      <formula>NOT(ISERROR(SEARCH("甲",E5)))</formula>
    </cfRule>
  </conditionalFormatting>
  <conditionalFormatting sqref="E11:W11 Z11:AF11">
    <cfRule type="containsText" dxfId="1" priority="28" operator="between" text="丙">
      <formula>NOT(ISERROR(SEARCH("丙",E11)))</formula>
    </cfRule>
    <cfRule type="containsText" dxfId="0" priority="29" operator="between" text="乙">
      <formula>NOT(ISERROR(SEARCH("乙",E11)))</formula>
    </cfRule>
    <cfRule type="containsText" dxfId="2" priority="30" operator="between" text="甲">
      <formula>NOT(ISERROR(SEARCH("甲",E11)))</formula>
    </cfRule>
  </conditionalFormatting>
  <conditionalFormatting sqref="B15:W15 Z15:AF15 B16:W16 Z16:AF16 B17:W17 Z17:AF17">
    <cfRule type="containsText" dxfId="1" priority="70" operator="between" text="丙">
      <formula>NOT(ISERROR(SEARCH("丙",B15)))</formula>
    </cfRule>
    <cfRule type="containsText" dxfId="0" priority="71" operator="between" text="乙">
      <formula>NOT(ISERROR(SEARCH("乙",B15)))</formula>
    </cfRule>
    <cfRule type="containsText" dxfId="2" priority="72" operator="between" text="甲">
      <formula>NOT(ISERROR(SEARCH("甲",B15)))</formula>
    </cfRule>
  </conditionalFormatting>
  <conditionalFormatting sqref="X15:Y17">
    <cfRule type="containsText" dxfId="1" priority="4" operator="between" text="丙">
      <formula>NOT(ISERROR(SEARCH("丙",X15)))</formula>
    </cfRule>
    <cfRule type="containsText" dxfId="0" priority="5" operator="between" text="乙">
      <formula>NOT(ISERROR(SEARCH("乙",X15)))</formula>
    </cfRule>
    <cfRule type="containsText" dxfId="2" priority="6" operator="between" text="甲">
      <formula>NOT(ISERROR(SEARCH("甲",X15)))</formula>
    </cfRule>
  </conditionalFormatting>
  <conditionalFormatting sqref="B18:W18 Z18:AF18">
    <cfRule type="containsText" dxfId="1" priority="61" operator="between" text="丙">
      <formula>NOT(ISERROR(SEARCH("丙",B18)))</formula>
    </cfRule>
    <cfRule type="containsText" dxfId="0" priority="62" operator="between" text="乙">
      <formula>NOT(ISERROR(SEARCH("乙",B18)))</formula>
    </cfRule>
    <cfRule type="containsText" dxfId="2" priority="63" operator="between" text="甲">
      <formula>NOT(ISERROR(SEARCH("甲",B18)))</formula>
    </cfRule>
  </conditionalFormatting>
  <conditionalFormatting sqref="B22:D23">
    <cfRule type="containsText" dxfId="1" priority="34" operator="between" text="丙">
      <formula>NOT(ISERROR(SEARCH("丙",B22)))</formula>
    </cfRule>
    <cfRule type="containsText" dxfId="0" priority="35" operator="between" text="乙">
      <formula>NOT(ISERROR(SEARCH("乙",B22)))</formula>
    </cfRule>
    <cfRule type="containsText" dxfId="2" priority="36" operator="between" text="甲">
      <formula>NOT(ISERROR(SEARCH("甲",B22)))</formula>
    </cfRule>
  </conditionalFormatting>
  <conditionalFormatting sqref="E22:W22 Z22:AF22 E23:W23 Z23:AF23">
    <cfRule type="containsText" dxfId="1" priority="46" operator="between" text="丙">
      <formula>NOT(ISERROR(SEARCH("丙",E22)))</formula>
    </cfRule>
    <cfRule type="containsText" dxfId="0" priority="47" operator="between" text="乙">
      <formula>NOT(ISERROR(SEARCH("乙",E22)))</formula>
    </cfRule>
    <cfRule type="containsText" dxfId="2" priority="48" operator="between" text="甲">
      <formula>NOT(ISERROR(SEARCH("甲",E22)))</formula>
    </cfRule>
  </conditionalFormatting>
  <conditionalFormatting sqref="X22:Y26">
    <cfRule type="containsText" dxfId="1" priority="49" operator="between" text="丙">
      <formula>NOT(ISERROR(SEARCH("丙",X22)))</formula>
    </cfRule>
    <cfRule type="containsText" dxfId="0" priority="50" operator="between" text="乙">
      <formula>NOT(ISERROR(SEARCH("乙",X22)))</formula>
    </cfRule>
    <cfRule type="containsText" dxfId="2" priority="51" operator="between" text="甲">
      <formula>NOT(ISERROR(SEARCH("甲",X22)))</formula>
    </cfRule>
  </conditionalFormatting>
  <conditionalFormatting sqref="X22:Y23">
    <cfRule type="containsText" dxfId="1" priority="43" operator="between" text="丙">
      <formula>NOT(ISERROR(SEARCH("丙",X22)))</formula>
    </cfRule>
    <cfRule type="containsText" dxfId="0" priority="44" operator="between" text="乙">
      <formula>NOT(ISERROR(SEARCH("乙",X22)))</formula>
    </cfRule>
    <cfRule type="containsText" dxfId="2" priority="45" operator="between" text="甲">
      <formula>NOT(ISERROR(SEARCH("甲",X22)))</formula>
    </cfRule>
  </conditionalFormatting>
  <conditionalFormatting sqref="B24:D25">
    <cfRule type="containsText" dxfId="1" priority="31" operator="between" text="丙">
      <formula>NOT(ISERROR(SEARCH("丙",B24)))</formula>
    </cfRule>
    <cfRule type="containsText" dxfId="0" priority="32" operator="between" text="乙">
      <formula>NOT(ISERROR(SEARCH("乙",B24)))</formula>
    </cfRule>
    <cfRule type="containsText" dxfId="2" priority="33" operator="between" text="甲">
      <formula>NOT(ISERROR(SEARCH("甲",B24)))</formula>
    </cfRule>
  </conditionalFormatting>
  <conditionalFormatting sqref="E24:W24 Z24:AF24 E25:W25 Z25:AF25">
    <cfRule type="containsText" dxfId="1" priority="40" operator="between" text="丙">
      <formula>NOT(ISERROR(SEARCH("丙",E24)))</formula>
    </cfRule>
    <cfRule type="containsText" dxfId="0" priority="41" operator="between" text="乙">
      <formula>NOT(ISERROR(SEARCH("乙",E24)))</formula>
    </cfRule>
    <cfRule type="containsText" dxfId="2" priority="42" operator="between" text="甲">
      <formula>NOT(ISERROR(SEARCH("甲",E24)))</formula>
    </cfRule>
  </conditionalFormatting>
  <conditionalFormatting sqref="E26:W26 Z26:AF26">
    <cfRule type="containsText" dxfId="1" priority="52" operator="between" text="丙">
      <formula>NOT(ISERROR(SEARCH("丙",E26)))</formula>
    </cfRule>
    <cfRule type="containsText" dxfId="0" priority="53" operator="between" text="乙">
      <formula>NOT(ISERROR(SEARCH("乙",E26)))</formula>
    </cfRule>
    <cfRule type="containsText" dxfId="2" priority="54" operator="between" text="甲">
      <formula>NOT(ISERROR(SEARCH("甲",E26)))</formula>
    </cfRule>
  </conditionalFormatting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  <arrUserId title="区域2" rangeCreator="" othersAccessPermission="edit"/>
  </rangeList>
  <rangeList sheetStid="2" master="" otherUserPermission="visible">
    <arrUserId title="区域1" rangeCreator="" othersAccessPermission="edit"/>
  </rangeList>
  <rangeList sheetStid="3" master="" otherUserPermission="visible">
    <arrUserId title="区域1" rangeCreator="" othersAccessPermission="edit"/>
    <arrUserId title="区域2" rangeCreator="" othersAccessPermission="edit"/>
  </rangeList>
  <rangeList sheetStid="4" master="" otherUserPermission="visible">
    <arrUserId title="区域1" rangeCreator="" othersAccessPermission="edit"/>
    <arrUserId title="区域1_1" rangeCreator="" othersAccessPermission="edit"/>
    <arrUserId title="区域1_2" rangeCreator="" othersAccessPermission="edit"/>
  </rangeList>
  <rangeList sheetStid="5" master="" otherUserPermission="visible">
    <arrUserId title="区域1" rangeCreator="" othersAccessPermission="edit"/>
    <arrUserId title="区域2" rangeCreator="" othersAccessPermission="edit"/>
  </rangeList>
  <rangeList sheetStid="6" master="" otherUserPermission="visible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3月合成釜</vt:lpstr>
      <vt:lpstr>3月槽罐</vt:lpstr>
      <vt:lpstr>2季度合成釜</vt:lpstr>
      <vt:lpstr>2季度槽罐</vt:lpstr>
      <vt:lpstr>3季度合成釜</vt:lpstr>
      <vt:lpstr>3季度槽罐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103统计员陆春晓</cp:lastModifiedBy>
  <dcterms:created xsi:type="dcterms:W3CDTF">2023-05-12T11:15:00Z</dcterms:created>
  <dcterms:modified xsi:type="dcterms:W3CDTF">2026-09-11T00:31:49Z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979C42648BFE4E6A9EB22CE348D044DE_12</vt:lpwstr>
  </property>
  <property fmtid="{D5CDD505-2E9C-101B-9397-08002B2CF9AE}" pid="4" name="CalculationRule">
    <vt:i4>0</vt:i4>
  </property>
</Properties>
</file>