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AA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按需领取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X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按需领取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<sst xmlns="http://schemas.openxmlformats.org/spreadsheetml/2006/main" count="145" uniqueCount="89">
  <si>
    <t>车间/部门</t>
  </si>
  <si>
    <t>岗位编制</t>
  </si>
  <si>
    <t>劳保配置表</t>
  </si>
  <si>
    <t>岗位</t>
  </si>
  <si>
    <r>
      <rPr>
        <sz val="11"/>
        <color theme="1"/>
        <rFont val="宋体"/>
        <charset val="134"/>
        <scheme val="minor"/>
      </rPr>
      <t xml:space="preserve">人数
</t>
    </r>
    <r>
      <rPr>
        <sz val="10"/>
        <color theme="1"/>
        <rFont val="宋体"/>
        <charset val="134"/>
        <scheme val="minor"/>
      </rPr>
      <t>（6月）</t>
    </r>
  </si>
  <si>
    <t>防尘毒口罩</t>
  </si>
  <si>
    <t>防灰尘
口罩</t>
  </si>
  <si>
    <t>防尘口罩（600x)</t>
  </si>
  <si>
    <t>滤棉
（600x）</t>
  </si>
  <si>
    <t>全面罩
（8700）</t>
  </si>
  <si>
    <t>全面罩滤盒（8700）</t>
  </si>
  <si>
    <t>防酸碱面罩</t>
  </si>
  <si>
    <t>护目镜</t>
  </si>
  <si>
    <t>防飞溅防雾防沙
护目镜</t>
  </si>
  <si>
    <t>线胶手套（星宇手套）</t>
  </si>
  <si>
    <t>帆布手套</t>
  </si>
  <si>
    <t>牛筋乳胶手套</t>
  </si>
  <si>
    <t>防高温手套</t>
  </si>
  <si>
    <t>绝缘手套—公用</t>
  </si>
  <si>
    <t>焊机手套</t>
  </si>
  <si>
    <t>耐酸碱手套（35cm）</t>
  </si>
  <si>
    <t>耐酸碱手套（45cm）</t>
  </si>
  <si>
    <t>毛巾</t>
  </si>
  <si>
    <t>肥皂</t>
  </si>
  <si>
    <t>洗手液</t>
  </si>
  <si>
    <t>围裙</t>
  </si>
  <si>
    <t>耳塞</t>
  </si>
  <si>
    <t>分体式防尘服</t>
  </si>
  <si>
    <t>耐酸碱服</t>
  </si>
  <si>
    <t>劳保鞋</t>
  </si>
  <si>
    <t>备注</t>
  </si>
  <si>
    <t>主任</t>
  </si>
  <si>
    <t>工程师/技术员</t>
  </si>
  <si>
    <t>统计员</t>
  </si>
  <si>
    <t>班长</t>
  </si>
  <si>
    <t>纯水岗位</t>
  </si>
  <si>
    <t>碳酸锂离心机岗位</t>
  </si>
  <si>
    <t>压滤机岗位</t>
  </si>
  <si>
    <t>碳酸锂合成岗位</t>
  </si>
  <si>
    <t>硫酸钠包装岗位</t>
  </si>
  <si>
    <t>碳酸锂包装岗位</t>
  </si>
  <si>
    <t>硫酸钠离心机岗位</t>
  </si>
  <si>
    <t>MVR司泵</t>
  </si>
  <si>
    <t>司泵岗位</t>
  </si>
  <si>
    <t>装配岗位</t>
  </si>
  <si>
    <t>投料岗位</t>
  </si>
  <si>
    <t>调料岗位</t>
  </si>
  <si>
    <t>104操作员</t>
  </si>
  <si>
    <t>合计</t>
  </si>
  <si>
    <t>耐酸碱手套（短）</t>
  </si>
  <si>
    <t>耐酸碱手套（长）</t>
  </si>
  <si>
    <t>每个月</t>
  </si>
  <si>
    <t>每两个月</t>
  </si>
  <si>
    <t>每季度</t>
  </si>
  <si>
    <t>每半年</t>
  </si>
  <si>
    <t>DCS岗位</t>
  </si>
  <si>
    <t>萃取电积岗位</t>
  </si>
  <si>
    <t>每年</t>
  </si>
  <si>
    <t>卸渣岗位</t>
  </si>
  <si>
    <t>黑粉配置岗位</t>
  </si>
  <si>
    <t>浸出</t>
  </si>
  <si>
    <t>泵操作工</t>
  </si>
  <si>
    <t>废袋洗涤</t>
  </si>
  <si>
    <t>205,306岗位</t>
  </si>
  <si>
    <t>102成品</t>
  </si>
  <si>
    <t>MVR操作</t>
  </si>
  <si>
    <t>离心机岗位</t>
  </si>
  <si>
    <t>结晶岗位</t>
  </si>
  <si>
    <t>成品包装岗位</t>
  </si>
  <si>
    <t>102萃取</t>
  </si>
  <si>
    <t>萃取槽面操作工</t>
  </si>
  <si>
    <t>配酸岗位</t>
  </si>
  <si>
    <t>除油岗位</t>
  </si>
  <si>
    <t>硫酸钠离心机及司泵岗位</t>
  </si>
  <si>
    <t>设备科</t>
  </si>
  <si>
    <t>维修工</t>
  </si>
  <si>
    <t>电工</t>
  </si>
  <si>
    <t>工程师</t>
  </si>
  <si>
    <t>仓储科</t>
  </si>
  <si>
    <t>叉车工</t>
  </si>
  <si>
    <t>杂工</t>
  </si>
  <si>
    <t>仓库管理员</t>
  </si>
  <si>
    <t>采样员</t>
  </si>
  <si>
    <t>研发部</t>
  </si>
  <si>
    <t>研发</t>
  </si>
  <si>
    <t>质量</t>
  </si>
  <si>
    <t>质量ipqc</t>
  </si>
  <si>
    <t>质量体系</t>
  </si>
  <si>
    <t>化验员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</si>
</sst>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1" borderId="2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3" applyNumberFormat="0" applyFill="0" applyAlignment="0" applyProtection="0">
      <alignment vertical="center"/>
    </xf>
    <xf numFmtId="0" fontId="12" fillId="0" borderId="23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25" applyNumberFormat="0" applyAlignment="0" applyProtection="0">
      <alignment vertical="center"/>
    </xf>
    <xf numFmtId="0" fontId="15" fillId="13" borderId="26" applyNumberFormat="0" applyAlignment="0" applyProtection="0">
      <alignment vertical="center"/>
    </xf>
    <xf numFmtId="0" fontId="16" fillId="13" borderId="25" applyNumberFormat="0" applyAlignment="0" applyProtection="0">
      <alignment vertical="center"/>
    </xf>
    <xf numFmtId="0" fontId="17" fillId="14" borderId="27" applyNumberFormat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0" fillId="6" borderId="6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9" borderId="8" xfId="0" applyFont="1" applyFill="1" applyBorder="1" applyAlignment="1">
      <alignment horizontal="center" vertical="center" wrapText="1"/>
    </xf>
    <xf numFmtId="0" fontId="0" fillId="9" borderId="3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/>
    </xf>
    <xf numFmtId="0" fontId="0" fillId="9" borderId="13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 vertical="center"/>
    </xf>
    <xf numFmtId="0" fontId="0" fillId="9" borderId="15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0" fillId="9" borderId="5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C28"/>
  <sheetViews>
    <sheetView tabSelected="1" workbookViewId="0">
      <pane ySplit="4" topLeftCell="A5" activePane="bottomLeft" state="frozen"/>
      <selection/>
      <selection pane="bottomLeft" activeCell="U9" sqref="U9:U12"/>
    </sheetView>
  </sheetViews>
  <sheetFormatPr defaultColWidth="9" defaultRowHeight="13.5"/>
  <cols>
    <col min="1" max="1" width="9" style="1"/>
    <col min="2" max="2" width="19.125" style="1" customWidth="1"/>
    <col min="3" max="3" width="7.5" style="3" customWidth="1"/>
    <col min="4" max="4" width="6.625" style="3" customWidth="1"/>
    <col min="5" max="5" width="5.75" style="3" customWidth="1"/>
    <col min="6" max="7" width="7.5" style="3" customWidth="1"/>
    <col min="8" max="9" width="8.125" style="3" customWidth="1"/>
    <col min="10" max="14" width="6.5" style="3" customWidth="1"/>
    <col min="15" max="17" width="7.625" style="3" customWidth="1"/>
    <col min="18" max="18" width="5.5" style="3" customWidth="1"/>
    <col min="19" max="20" width="8.125" style="3" customWidth="1"/>
    <col min="21" max="25" width="5.5" style="3" customWidth="1"/>
    <col min="26" max="26" width="6.5" style="3" customWidth="1"/>
    <col min="27" max="27" width="6.5" style="3" hidden="1" customWidth="1"/>
    <col min="28" max="28" width="6.75" style="1" customWidth="1"/>
    <col min="29" max="16384" width="9" style="1"/>
  </cols>
  <sheetData>
    <row r="1" s="1" customFormat="1" ht="18.75" spans="1:29">
      <c r="A1" s="4"/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3" s="1" customFormat="1" ht="36" customHeight="1" spans="1:29">
      <c r="A3" s="11" t="s">
        <v>0</v>
      </c>
      <c r="B3" s="11" t="s">
        <v>1</v>
      </c>
      <c r="C3" s="21"/>
      <c r="D3" s="21"/>
      <c r="E3" s="9" t="s">
        <v>2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="1" customFormat="1" ht="67" customHeight="1" spans="1:29">
      <c r="A4" s="11"/>
      <c r="B4" s="11" t="s">
        <v>3</v>
      </c>
      <c r="C4" s="12" t="s">
        <v>4</v>
      </c>
      <c r="D4" s="60" t="s">
        <v>5</v>
      </c>
      <c r="E4" s="60" t="s">
        <v>6</v>
      </c>
      <c r="F4" s="60" t="s">
        <v>7</v>
      </c>
      <c r="G4" s="60" t="s">
        <v>8</v>
      </c>
      <c r="H4" s="61" t="s">
        <v>9</v>
      </c>
      <c r="I4" s="60" t="s">
        <v>10</v>
      </c>
      <c r="J4" s="62" t="s">
        <v>11</v>
      </c>
      <c r="K4" s="62" t="s">
        <v>12</v>
      </c>
      <c r="L4" s="60" t="s">
        <v>13</v>
      </c>
      <c r="M4" s="60" t="s">
        <v>14</v>
      </c>
      <c r="N4" s="60" t="s">
        <v>15</v>
      </c>
      <c r="O4" s="60" t="s">
        <v>16</v>
      </c>
      <c r="P4" s="63" t="s">
        <v>17</v>
      </c>
      <c r="Q4" s="64" t="s">
        <v>18</v>
      </c>
      <c r="R4" s="62" t="s">
        <v>19</v>
      </c>
      <c r="S4" s="60" t="s">
        <v>20</v>
      </c>
      <c r="T4" s="60" t="s">
        <v>21</v>
      </c>
      <c r="U4" s="62" t="s">
        <v>22</v>
      </c>
      <c r="V4" s="60" t="s">
        <v>23</v>
      </c>
      <c r="W4" s="60" t="s">
        <v>24</v>
      </c>
      <c r="X4" s="60" t="s">
        <v>25</v>
      </c>
      <c r="Y4" s="60" t="s">
        <v>26</v>
      </c>
      <c r="Z4" s="60" t="s">
        <v>27</v>
      </c>
      <c r="AA4" s="60" t="s">
        <v>28</v>
      </c>
      <c r="AB4" s="65" t="s">
        <v>29</v>
      </c>
      <c r="AC4" s="66" t="s">
        <v>30</v>
      </c>
    </row>
    <row r="5" s="1" customFormat="1" ht="20" customHeight="1" spans="1:29">
      <c r="A5" s="11">
        <v>103</v>
      </c>
      <c r="B5" s="11" t="s">
        <v>31</v>
      </c>
      <c r="C5" s="21">
        <v>1</v>
      </c>
      <c r="D5" s="12">
        <v>5</v>
      </c>
      <c r="E5" s="12"/>
      <c r="F5" s="12"/>
      <c r="G5" s="12"/>
      <c r="H5" s="12"/>
      <c r="I5" s="12"/>
      <c r="J5" s="12"/>
      <c r="K5" s="12"/>
      <c r="L5" s="12"/>
      <c r="M5" s="12">
        <v>4</v>
      </c>
      <c r="N5" s="12">
        <v>1</v>
      </c>
      <c r="O5" s="12"/>
      <c r="P5" s="12"/>
      <c r="Q5" s="12"/>
      <c r="R5" s="12"/>
      <c r="S5" s="12"/>
      <c r="T5" s="12"/>
      <c r="U5" s="12">
        <v>1</v>
      </c>
      <c r="V5" s="12">
        <v>1</v>
      </c>
      <c r="W5" s="12"/>
      <c r="X5" s="12"/>
      <c r="Y5" s="12"/>
      <c r="Z5" s="12"/>
      <c r="AA5" s="12"/>
      <c r="AB5" s="11">
        <v>1</v>
      </c>
      <c r="AC5" s="29"/>
    </row>
    <row r="6" s="1" customFormat="1" ht="20" customHeight="1" spans="1:29">
      <c r="A6" s="11"/>
      <c r="B6" s="25" t="s">
        <v>32</v>
      </c>
      <c r="C6" s="21">
        <v>1</v>
      </c>
      <c r="D6" s="12">
        <v>5</v>
      </c>
      <c r="E6" s="12"/>
      <c r="F6" s="12"/>
      <c r="G6" s="12"/>
      <c r="H6" s="12"/>
      <c r="I6" s="12"/>
      <c r="J6" s="12"/>
      <c r="K6" s="12"/>
      <c r="L6" s="12"/>
      <c r="M6" s="12">
        <v>4</v>
      </c>
      <c r="N6" s="12">
        <v>1</v>
      </c>
      <c r="O6" s="12"/>
      <c r="P6" s="12"/>
      <c r="Q6" s="12"/>
      <c r="R6" s="12"/>
      <c r="S6" s="12"/>
      <c r="T6" s="12"/>
      <c r="U6" s="12">
        <v>1</v>
      </c>
      <c r="V6" s="12">
        <v>1</v>
      </c>
      <c r="W6" s="12"/>
      <c r="X6" s="12"/>
      <c r="Y6" s="12"/>
      <c r="Z6" s="12"/>
      <c r="AA6" s="12"/>
      <c r="AB6" s="11">
        <v>1</v>
      </c>
      <c r="AC6" s="29"/>
    </row>
    <row r="7" s="1" customFormat="1" ht="20" customHeight="1" spans="1:29">
      <c r="A7" s="11"/>
      <c r="B7" s="25" t="s">
        <v>33</v>
      </c>
      <c r="C7" s="21">
        <v>1</v>
      </c>
      <c r="D7" s="12">
        <v>5</v>
      </c>
      <c r="E7" s="12"/>
      <c r="F7" s="12"/>
      <c r="G7" s="12"/>
      <c r="H7" s="12"/>
      <c r="I7" s="12"/>
      <c r="J7" s="12"/>
      <c r="K7" s="12"/>
      <c r="L7" s="12"/>
      <c r="M7" s="12">
        <v>4</v>
      </c>
      <c r="N7" s="12">
        <v>1</v>
      </c>
      <c r="O7" s="12"/>
      <c r="P7" s="12"/>
      <c r="Q7" s="12"/>
      <c r="R7" s="12"/>
      <c r="S7" s="12"/>
      <c r="T7" s="12"/>
      <c r="U7" s="12">
        <v>1</v>
      </c>
      <c r="V7" s="12">
        <v>1</v>
      </c>
      <c r="W7" s="12"/>
      <c r="X7" s="12"/>
      <c r="Y7" s="12"/>
      <c r="Z7" s="12"/>
      <c r="AA7" s="12"/>
      <c r="AB7" s="11">
        <v>1</v>
      </c>
      <c r="AC7" s="29"/>
    </row>
    <row r="8" s="1" customFormat="1" ht="20" customHeight="1" spans="1:29">
      <c r="A8" s="11"/>
      <c r="B8" s="25" t="s">
        <v>34</v>
      </c>
      <c r="C8" s="21">
        <v>3</v>
      </c>
      <c r="D8" s="12">
        <v>10</v>
      </c>
      <c r="E8" s="12"/>
      <c r="F8" s="12"/>
      <c r="G8" s="12"/>
      <c r="H8" s="12"/>
      <c r="I8" s="12"/>
      <c r="J8" s="12"/>
      <c r="K8" s="12">
        <v>5</v>
      </c>
      <c r="L8" s="12"/>
      <c r="M8" s="12">
        <v>4</v>
      </c>
      <c r="N8" s="12">
        <v>2</v>
      </c>
      <c r="O8" s="12"/>
      <c r="P8" s="12">
        <v>2</v>
      </c>
      <c r="Q8" s="12"/>
      <c r="R8" s="12"/>
      <c r="S8" s="12">
        <v>1</v>
      </c>
      <c r="T8" s="12"/>
      <c r="U8" s="12">
        <v>6</v>
      </c>
      <c r="V8" s="12">
        <v>1</v>
      </c>
      <c r="W8" s="12"/>
      <c r="X8" s="12"/>
      <c r="Y8" s="12"/>
      <c r="Z8" s="12"/>
      <c r="AA8" s="12"/>
      <c r="AB8" s="11">
        <v>1</v>
      </c>
      <c r="AC8" s="29"/>
    </row>
    <row r="9" s="1" customFormat="1" ht="20" customHeight="1" spans="1:29">
      <c r="A9" s="11"/>
      <c r="B9" s="25" t="s">
        <v>35</v>
      </c>
      <c r="C9" s="21">
        <v>12</v>
      </c>
      <c r="D9" s="67">
        <v>10</v>
      </c>
      <c r="E9" s="67"/>
      <c r="F9" s="67"/>
      <c r="G9" s="67"/>
      <c r="H9" s="67"/>
      <c r="I9" s="67"/>
      <c r="J9" s="67"/>
      <c r="K9" s="67"/>
      <c r="L9" s="67"/>
      <c r="M9" s="67">
        <v>6</v>
      </c>
      <c r="N9" s="67">
        <v>3</v>
      </c>
      <c r="O9" s="67"/>
      <c r="P9" s="67"/>
      <c r="Q9" s="67"/>
      <c r="R9" s="67"/>
      <c r="S9" s="67"/>
      <c r="T9" s="67"/>
      <c r="U9" s="12">
        <v>1</v>
      </c>
      <c r="V9" s="12">
        <v>1</v>
      </c>
      <c r="W9" s="67"/>
      <c r="X9" s="67"/>
      <c r="Y9" s="67"/>
      <c r="Z9" s="67"/>
      <c r="AA9" s="67"/>
      <c r="AB9" s="11">
        <v>1</v>
      </c>
      <c r="AC9" s="67"/>
    </row>
    <row r="10" s="1" customFormat="1" ht="20" customHeight="1" spans="1:29">
      <c r="A10" s="11"/>
      <c r="B10" s="25" t="s">
        <v>36</v>
      </c>
      <c r="C10" s="21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12"/>
      <c r="V10" s="12"/>
      <c r="W10" s="67"/>
      <c r="X10" s="67"/>
      <c r="Y10" s="67"/>
      <c r="Z10" s="67"/>
      <c r="AA10" s="67"/>
      <c r="AB10" s="11"/>
      <c r="AC10" s="67"/>
    </row>
    <row r="11" s="1" customFormat="1" ht="20" customHeight="1" spans="1:29">
      <c r="A11" s="11"/>
      <c r="B11" s="25" t="s">
        <v>37</v>
      </c>
      <c r="C11" s="21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12"/>
      <c r="V11" s="12"/>
      <c r="W11" s="67"/>
      <c r="X11" s="67"/>
      <c r="Y11" s="67"/>
      <c r="Z11" s="67"/>
      <c r="AA11" s="67"/>
      <c r="AB11" s="11"/>
      <c r="AC11" s="67"/>
    </row>
    <row r="12" s="1" customFormat="1" ht="20" customHeight="1" spans="1:29">
      <c r="A12" s="11"/>
      <c r="B12" s="25" t="s">
        <v>38</v>
      </c>
      <c r="C12" s="21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12"/>
      <c r="V12" s="12"/>
      <c r="W12" s="67"/>
      <c r="X12" s="67"/>
      <c r="Y12" s="67"/>
      <c r="Z12" s="67"/>
      <c r="AA12" s="67"/>
      <c r="AB12" s="11"/>
      <c r="AC12" s="67"/>
    </row>
    <row r="13" s="1" customFormat="1" ht="20" customHeight="1" spans="1:29">
      <c r="A13" s="11"/>
      <c r="B13" s="25" t="s">
        <v>39</v>
      </c>
      <c r="C13" s="21">
        <v>9</v>
      </c>
      <c r="D13" s="12">
        <v>20</v>
      </c>
      <c r="E13" s="12"/>
      <c r="F13" s="12"/>
      <c r="G13" s="12"/>
      <c r="H13" s="12"/>
      <c r="I13" s="12"/>
      <c r="J13" s="12"/>
      <c r="K13" s="12"/>
      <c r="L13" s="12"/>
      <c r="M13" s="12">
        <v>8</v>
      </c>
      <c r="N13" s="12"/>
      <c r="O13" s="12"/>
      <c r="P13" s="12"/>
      <c r="Q13" s="12"/>
      <c r="R13" s="12"/>
      <c r="S13" s="12"/>
      <c r="T13" s="12"/>
      <c r="U13" s="12">
        <v>1</v>
      </c>
      <c r="V13" s="12">
        <v>1</v>
      </c>
      <c r="W13" s="12"/>
      <c r="X13" s="12">
        <v>1</v>
      </c>
      <c r="Y13" s="12">
        <v>5</v>
      </c>
      <c r="Z13" s="12"/>
      <c r="AA13" s="12"/>
      <c r="AB13" s="11">
        <v>1</v>
      </c>
      <c r="AC13" s="29"/>
    </row>
    <row r="14" s="1" customFormat="1" ht="20" customHeight="1" spans="1:29">
      <c r="A14" s="11"/>
      <c r="B14" s="25" t="s">
        <v>40</v>
      </c>
      <c r="C14" s="21">
        <v>3</v>
      </c>
      <c r="D14" s="12">
        <v>20</v>
      </c>
      <c r="E14" s="12"/>
      <c r="F14" s="12"/>
      <c r="G14" s="12"/>
      <c r="H14" s="12"/>
      <c r="I14" s="12"/>
      <c r="J14" s="12"/>
      <c r="K14" s="12"/>
      <c r="L14" s="12"/>
      <c r="M14" s="12">
        <v>4</v>
      </c>
      <c r="N14" s="12">
        <v>1</v>
      </c>
      <c r="O14" s="12"/>
      <c r="P14" s="12"/>
      <c r="Q14" s="12"/>
      <c r="R14" s="12"/>
      <c r="S14" s="12"/>
      <c r="T14" s="12"/>
      <c r="U14" s="12">
        <v>1</v>
      </c>
      <c r="V14" s="12">
        <v>1</v>
      </c>
      <c r="W14" s="12"/>
      <c r="X14" s="12">
        <v>1</v>
      </c>
      <c r="Y14" s="12">
        <v>5</v>
      </c>
      <c r="Z14" s="12"/>
      <c r="AA14" s="12"/>
      <c r="AB14" s="11">
        <v>1</v>
      </c>
      <c r="AC14" s="29"/>
    </row>
    <row r="15" s="1" customFormat="1" ht="20" customHeight="1" spans="1:29">
      <c r="A15" s="11"/>
      <c r="B15" s="25" t="s">
        <v>41</v>
      </c>
      <c r="C15" s="21">
        <v>3</v>
      </c>
      <c r="D15" s="12">
        <v>20</v>
      </c>
      <c r="E15" s="12"/>
      <c r="F15" s="12"/>
      <c r="G15" s="12"/>
      <c r="H15" s="12"/>
      <c r="I15" s="12"/>
      <c r="J15" s="12"/>
      <c r="K15" s="12"/>
      <c r="L15" s="12"/>
      <c r="M15" s="12">
        <v>4</v>
      </c>
      <c r="N15" s="12">
        <v>2</v>
      </c>
      <c r="O15" s="12"/>
      <c r="P15" s="12"/>
      <c r="Q15" s="12"/>
      <c r="R15" s="12"/>
      <c r="S15" s="12">
        <v>2</v>
      </c>
      <c r="T15" s="12"/>
      <c r="U15" s="12">
        <v>1</v>
      </c>
      <c r="V15" s="12">
        <v>1</v>
      </c>
      <c r="W15" s="12"/>
      <c r="X15" s="12">
        <v>1</v>
      </c>
      <c r="Y15" s="12">
        <v>5</v>
      </c>
      <c r="Z15" s="12"/>
      <c r="AA15" s="12"/>
      <c r="AB15" s="11">
        <v>1</v>
      </c>
      <c r="AC15" s="29"/>
    </row>
    <row r="16" s="1" customFormat="1" ht="20" customHeight="1" spans="1:29">
      <c r="A16" s="11"/>
      <c r="B16" s="25" t="s">
        <v>42</v>
      </c>
      <c r="C16" s="21">
        <v>3</v>
      </c>
      <c r="D16" s="12">
        <v>10</v>
      </c>
      <c r="E16" s="12"/>
      <c r="F16" s="12"/>
      <c r="G16" s="12"/>
      <c r="H16" s="12"/>
      <c r="I16" s="12"/>
      <c r="J16" s="12"/>
      <c r="K16" s="12"/>
      <c r="L16" s="12"/>
      <c r="M16" s="12">
        <v>4</v>
      </c>
      <c r="N16" s="12">
        <v>4</v>
      </c>
      <c r="O16" s="12"/>
      <c r="P16" s="12"/>
      <c r="Q16" s="12"/>
      <c r="R16" s="12"/>
      <c r="S16" s="12">
        <v>2</v>
      </c>
      <c r="T16" s="12"/>
      <c r="U16" s="12">
        <v>1</v>
      </c>
      <c r="V16" s="12">
        <v>1</v>
      </c>
      <c r="W16" s="12"/>
      <c r="X16" s="12">
        <v>1</v>
      </c>
      <c r="Y16" s="12">
        <v>5</v>
      </c>
      <c r="Z16" s="12"/>
      <c r="AA16" s="12"/>
      <c r="AB16" s="11">
        <v>1</v>
      </c>
      <c r="AC16" s="29"/>
    </row>
    <row r="17" s="1" customFormat="1" ht="20" customHeight="1" spans="1:29">
      <c r="A17" s="11"/>
      <c r="B17" s="25" t="s">
        <v>43</v>
      </c>
      <c r="C17" s="21">
        <v>3</v>
      </c>
      <c r="D17" s="12">
        <v>20</v>
      </c>
      <c r="E17" s="12"/>
      <c r="F17" s="12"/>
      <c r="G17" s="12"/>
      <c r="H17" s="12"/>
      <c r="I17" s="12"/>
      <c r="J17" s="12"/>
      <c r="K17" s="12"/>
      <c r="L17" s="12"/>
      <c r="M17" s="12">
        <v>4</v>
      </c>
      <c r="N17" s="12">
        <v>4</v>
      </c>
      <c r="O17" s="12"/>
      <c r="P17" s="12"/>
      <c r="Q17" s="12"/>
      <c r="R17" s="12"/>
      <c r="S17" s="12">
        <v>1</v>
      </c>
      <c r="T17" s="12"/>
      <c r="U17" s="12">
        <v>1</v>
      </c>
      <c r="V17" s="12">
        <v>1</v>
      </c>
      <c r="W17" s="12"/>
      <c r="X17" s="12">
        <v>1</v>
      </c>
      <c r="Y17" s="12"/>
      <c r="Z17" s="12"/>
      <c r="AA17" s="12"/>
      <c r="AB17" s="11">
        <v>1</v>
      </c>
      <c r="AC17" s="29"/>
    </row>
    <row r="18" s="1" customFormat="1" ht="20" customHeight="1" spans="1:29">
      <c r="A18" s="11"/>
      <c r="B18" s="25" t="s">
        <v>44</v>
      </c>
      <c r="C18" s="21">
        <v>3</v>
      </c>
      <c r="D18" s="12">
        <v>20</v>
      </c>
      <c r="E18" s="12"/>
      <c r="F18" s="12"/>
      <c r="G18" s="12"/>
      <c r="H18" s="12"/>
      <c r="I18" s="12"/>
      <c r="J18" s="12"/>
      <c r="K18" s="12"/>
      <c r="L18" s="12"/>
      <c r="M18" s="12">
        <v>4</v>
      </c>
      <c r="N18" s="12">
        <v>1</v>
      </c>
      <c r="O18" s="12"/>
      <c r="P18" s="12"/>
      <c r="Q18" s="12"/>
      <c r="R18" s="12"/>
      <c r="S18" s="12">
        <v>2</v>
      </c>
      <c r="T18" s="12"/>
      <c r="U18" s="12">
        <v>1</v>
      </c>
      <c r="V18" s="12">
        <v>1</v>
      </c>
      <c r="W18" s="12"/>
      <c r="X18" s="12">
        <v>1</v>
      </c>
      <c r="Y18" s="12"/>
      <c r="Z18" s="12"/>
      <c r="AA18" s="12"/>
      <c r="AB18" s="11">
        <v>1</v>
      </c>
      <c r="AC18" s="29"/>
    </row>
    <row r="19" s="1" customFormat="1" ht="20" customHeight="1" spans="1:29">
      <c r="A19" s="11"/>
      <c r="B19" s="25" t="s">
        <v>45</v>
      </c>
      <c r="C19" s="21">
        <v>3</v>
      </c>
      <c r="D19" s="12">
        <v>20</v>
      </c>
      <c r="E19" s="12"/>
      <c r="F19" s="12">
        <v>1</v>
      </c>
      <c r="G19" s="12">
        <v>1</v>
      </c>
      <c r="H19" s="12"/>
      <c r="I19" s="12"/>
      <c r="J19" s="12"/>
      <c r="K19" s="12"/>
      <c r="L19" s="12"/>
      <c r="M19" s="12">
        <v>4</v>
      </c>
      <c r="N19" s="12"/>
      <c r="O19" s="12"/>
      <c r="P19" s="12"/>
      <c r="Q19" s="12"/>
      <c r="R19" s="12"/>
      <c r="S19" s="12">
        <v>4</v>
      </c>
      <c r="T19" s="12"/>
      <c r="U19" s="12">
        <v>1</v>
      </c>
      <c r="V19" s="12">
        <v>1</v>
      </c>
      <c r="W19" s="12"/>
      <c r="X19" s="12">
        <v>4</v>
      </c>
      <c r="Y19" s="12"/>
      <c r="Z19" s="12"/>
      <c r="AA19" s="12"/>
      <c r="AB19" s="11">
        <v>1</v>
      </c>
      <c r="AC19" s="29"/>
    </row>
    <row r="20" s="1" customFormat="1" ht="20" customHeight="1" spans="1:29">
      <c r="A20" s="11"/>
      <c r="B20" s="25" t="s">
        <v>46</v>
      </c>
      <c r="C20" s="21">
        <v>3</v>
      </c>
      <c r="D20" s="12">
        <v>10</v>
      </c>
      <c r="E20" s="12"/>
      <c r="F20" s="12"/>
      <c r="G20" s="12"/>
      <c r="H20" s="12"/>
      <c r="I20" s="12"/>
      <c r="J20" s="12"/>
      <c r="K20" s="12"/>
      <c r="L20" s="12"/>
      <c r="M20" s="12">
        <v>4</v>
      </c>
      <c r="N20" s="12">
        <v>1</v>
      </c>
      <c r="O20" s="12"/>
      <c r="P20" s="12"/>
      <c r="Q20" s="12"/>
      <c r="R20" s="12"/>
      <c r="S20" s="12">
        <v>2</v>
      </c>
      <c r="T20" s="12"/>
      <c r="U20" s="12">
        <v>1</v>
      </c>
      <c r="V20" s="12">
        <v>1</v>
      </c>
      <c r="W20" s="12"/>
      <c r="X20" s="12">
        <v>1</v>
      </c>
      <c r="Y20" s="12"/>
      <c r="Z20" s="12"/>
      <c r="AA20" s="12"/>
      <c r="AB20" s="11">
        <v>1</v>
      </c>
      <c r="AC20" s="29"/>
    </row>
    <row r="21" s="1" customFormat="1" ht="20" customHeight="1" spans="1:29">
      <c r="A21" s="11">
        <v>104</v>
      </c>
      <c r="B21" s="25" t="s">
        <v>47</v>
      </c>
      <c r="C21" s="21">
        <v>3</v>
      </c>
      <c r="D21" s="12">
        <v>10</v>
      </c>
      <c r="E21" s="12"/>
      <c r="F21" s="12"/>
      <c r="G21" s="12"/>
      <c r="H21" s="12"/>
      <c r="I21" s="12"/>
      <c r="J21" s="12"/>
      <c r="K21" s="12"/>
      <c r="L21" s="12"/>
      <c r="M21" s="12">
        <v>6</v>
      </c>
      <c r="N21" s="12">
        <v>1</v>
      </c>
      <c r="O21" s="12"/>
      <c r="P21" s="12"/>
      <c r="Q21" s="12"/>
      <c r="R21" s="12"/>
      <c r="S21" s="12">
        <v>2</v>
      </c>
      <c r="T21" s="12"/>
      <c r="U21" s="12">
        <v>1</v>
      </c>
      <c r="V21" s="12">
        <v>1</v>
      </c>
      <c r="W21" s="12"/>
      <c r="X21" s="12"/>
      <c r="Y21" s="12"/>
      <c r="Z21" s="12"/>
      <c r="AA21" s="12"/>
      <c r="AB21" s="11">
        <v>1</v>
      </c>
      <c r="AC21" s="29"/>
    </row>
    <row r="22" s="1" customFormat="1" ht="20" customHeight="1" spans="1:29">
      <c r="A22" s="11" t="s">
        <v>48</v>
      </c>
      <c r="B22" s="11"/>
      <c r="C22" s="29">
        <f>SUM(C5:C21)</f>
        <v>51</v>
      </c>
      <c r="D22" s="68" cm="1">
        <f t="array" ref="D22">SUMPRODUCT($C$2:$C$21,D2:D21)</f>
        <v>735</v>
      </c>
      <c r="E22" s="68" cm="1">
        <f t="array" ref="E22">SUMPRODUCT($C$2:$C$21,E2:E21)</f>
        <v>0</v>
      </c>
      <c r="F22" s="68" cm="1">
        <f t="array" ref="F22">SUMPRODUCT($C$2:$C$21,F2:F21)</f>
        <v>3</v>
      </c>
      <c r="G22" s="68" cm="1">
        <f t="array" ref="G22">SUMPRODUCT($C$2:$C$21,G2:G21)</f>
        <v>3</v>
      </c>
      <c r="H22" s="68" cm="1">
        <f t="array" ref="H22">SUMPRODUCT($C$2:$C$21,H2:H21)</f>
        <v>0</v>
      </c>
      <c r="I22" s="68" cm="1">
        <f t="array" ref="I22">SUMPRODUCT($C$2:$C$21,I2:I21)</f>
        <v>0</v>
      </c>
      <c r="J22" s="68" cm="1">
        <f t="array" ref="J22">SUMPRODUCT($C$2:$C$21,J2:J21)</f>
        <v>0</v>
      </c>
      <c r="K22" s="68" cm="1">
        <f t="array" ref="K22">SUMPRODUCT($C$2:$C$21,K2:K21)</f>
        <v>15</v>
      </c>
      <c r="L22" s="68" cm="1">
        <f t="array" ref="L22">SUMPRODUCT($C$2:$C$21,L2:L21)</f>
        <v>0</v>
      </c>
      <c r="M22" s="68" cm="1">
        <f t="array" ref="M22">SUMPRODUCT($C$2:$C$21,M2:M21)</f>
        <v>270</v>
      </c>
      <c r="N22" s="68" cm="1">
        <f t="array" ref="N22">SUMPRODUCT($C$2:$C$21,N2:N21)</f>
        <v>87</v>
      </c>
      <c r="O22" s="68" cm="1">
        <f t="array" ref="O22">SUMPRODUCT($C$2:$C$21,O2:O21)</f>
        <v>0</v>
      </c>
      <c r="P22" s="68" cm="1">
        <f t="array" ref="P22">SUMPRODUCT($C$2:$C$21,P2:P21)</f>
        <v>6</v>
      </c>
      <c r="Q22" s="68" cm="1">
        <f t="array" ref="Q22">SUMPRODUCT($C$2:$C$21,Q2:Q21)</f>
        <v>0</v>
      </c>
      <c r="R22" s="68" cm="1">
        <f t="array" ref="R22">SUMPRODUCT($C$2:$C$21,R2:R21)</f>
        <v>0</v>
      </c>
      <c r="S22" s="68" cm="1">
        <f t="array" ref="S22">SUMPRODUCT($C$2:$C$21,S2:S21)</f>
        <v>48</v>
      </c>
      <c r="T22" s="68" cm="1">
        <f t="array" ref="T22">SUMPRODUCT($C$2:$C$21,T2:T21)</f>
        <v>0</v>
      </c>
      <c r="U22" s="68" cm="1">
        <f t="array" ref="U22">SUMPRODUCT($C$2:$C$21,U2:U21)</f>
        <v>66</v>
      </c>
      <c r="V22" s="68" cm="1">
        <f t="array" ref="V22">SUMPRODUCT($C$2:$C$21,V2:V21)</f>
        <v>51</v>
      </c>
      <c r="W22" s="68" cm="1">
        <f t="array" ref="W22">SUMPRODUCT($C$2:$C$21,W2:W21)</f>
        <v>0</v>
      </c>
      <c r="X22" s="68" cm="1">
        <f t="array" ref="X22">SUMPRODUCT($C$2:$C$21,X2:X21)</f>
        <v>39</v>
      </c>
      <c r="Y22" s="68" cm="1">
        <f t="array" ref="Y22">SUMPRODUCT($C$2:$C$21,Y2:Y21)</f>
        <v>90</v>
      </c>
      <c r="Z22" s="68" cm="1">
        <f t="array" ref="Z22">SUMPRODUCT($C$2:$C$21,Z2:Z21)</f>
        <v>0</v>
      </c>
      <c r="AA22" s="68" cm="1">
        <f t="array" ref="AA22">SUMPRODUCT($C$2:$C$21,AA2:AA21)</f>
        <v>0</v>
      </c>
      <c r="AB22" s="68" cm="1">
        <f t="array" ref="AB22">SUMPRODUCT($C$2:$C$21,AB2:AB21)</f>
        <v>51</v>
      </c>
      <c r="AC22" s="29"/>
    </row>
    <row r="23" s="1" customFormat="1" spans="1:29">
      <c r="A23" s="59"/>
      <c r="B23" s="59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="1" customFormat="1" spans="1:29">
      <c r="A24" s="59"/>
      <c r="B24" s="59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="1" customFormat="1" spans="1:29">
      <c r="A25" s="59"/>
      <c r="B25" s="59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="1" customFormat="1" spans="1:29">
      <c r="A26" s="59"/>
      <c r="B26" s="59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="1" customFormat="1" spans="1:29">
      <c r="A27" s="59"/>
      <c r="B27" s="59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="1" customFormat="1" spans="1:29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</sheetData>
  <mergeCells count="33">
    <mergeCell ref="A1:AA1"/>
    <mergeCell ref="B3:C3"/>
    <mergeCell ref="E3:AC3"/>
    <mergeCell ref="A22:B22"/>
    <mergeCell ref="A3:A4"/>
    <mergeCell ref="A5:A20"/>
    <mergeCell ref="C9:C12"/>
    <mergeCell ref="D9:D12"/>
    <mergeCell ref="E9:E12"/>
    <mergeCell ref="F9:F12"/>
    <mergeCell ref="G9:G12"/>
    <mergeCell ref="H9:H12"/>
    <mergeCell ref="I9:I12"/>
    <mergeCell ref="J9:J12"/>
    <mergeCell ref="K9:K12"/>
    <mergeCell ref="L9:L12"/>
    <mergeCell ref="M9:M12"/>
    <mergeCell ref="N9:N12"/>
    <mergeCell ref="O9:O12"/>
    <mergeCell ref="P9:P12"/>
    <mergeCell ref="Q9:Q12"/>
    <mergeCell ref="R9:R12"/>
    <mergeCell ref="S9:S12"/>
    <mergeCell ref="T9:T12"/>
    <mergeCell ref="U9:U12"/>
    <mergeCell ref="V9:V12"/>
    <mergeCell ref="W9:W12"/>
    <mergeCell ref="X9:X12"/>
    <mergeCell ref="Y9:Y12"/>
    <mergeCell ref="Z9:Z12"/>
    <mergeCell ref="AA9:AA12"/>
    <mergeCell ref="AB9:AB12"/>
    <mergeCell ref="AC9:AC12"/>
  </mergeCells>
  <pageMargins left="0.0784722222222222" right="0.75" top="0.275" bottom="0.236111111111111" header="0.118055555555556" footer="0.0784722222222222"/>
  <pageSetup paperSize="9" scale="65" fitToHeight="0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67"/>
  <sheetViews>
    <sheetView zoomScale="85" zoomScaleNormal="85" workbookViewId="0">
      <selection activeCell="A61" sqref="A61:B61"/>
    </sheetView>
  </sheetViews>
  <sheetFormatPr defaultColWidth="9" defaultRowHeight="13.5"/>
  <cols>
    <col min="1" max="1" width="9" style="1"/>
    <col min="2" max="2" width="22.5" style="1" customWidth="1"/>
    <col min="3" max="3" width="7.5" style="3" customWidth="1"/>
    <col min="4" max="4" width="6.625" style="3" customWidth="1"/>
    <col min="5" max="5" width="9.63333333333333" style="3" customWidth="1"/>
    <col min="6" max="7" width="6.5" style="3" customWidth="1"/>
    <col min="8" max="8" width="9" style="3" customWidth="1"/>
    <col min="9" max="9" width="4.875" style="3" customWidth="1"/>
    <col min="10" max="10" width="8.125" style="3" customWidth="1"/>
    <col min="11" max="11" width="6.5" style="3" customWidth="1"/>
    <col min="12" max="12" width="5.75" style="3" customWidth="1"/>
    <col min="13" max="13" width="7.625" style="3" customWidth="1"/>
    <col min="14" max="14" width="9.25" style="3" customWidth="1"/>
    <col min="15" max="15" width="8.75" style="3" customWidth="1"/>
    <col min="16" max="16" width="8.875" style="3" customWidth="1"/>
    <col min="17" max="17" width="8.5" style="3" customWidth="1"/>
    <col min="18" max="24" width="6.5" style="3" customWidth="1"/>
    <col min="25" max="16384" width="9" style="1"/>
  </cols>
  <sheetData>
    <row r="1" s="1" customFormat="1" ht="18.75" spans="1:43">
      <c r="A1" s="4"/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4.25"/>
    <row r="3" s="1" customFormat="1" ht="36" customHeight="1" spans="1:43">
      <c r="A3" s="6" t="s">
        <v>0</v>
      </c>
      <c r="B3" s="7" t="s">
        <v>1</v>
      </c>
      <c r="C3" s="8"/>
      <c r="D3" s="8"/>
      <c r="E3" s="9" t="s">
        <v>2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="1" customFormat="1" ht="67" customHeight="1" spans="1:43">
      <c r="A4" s="10"/>
      <c r="B4" s="11" t="s">
        <v>3</v>
      </c>
      <c r="C4" s="12" t="s">
        <v>4</v>
      </c>
      <c r="D4" s="13" t="s">
        <v>5</v>
      </c>
      <c r="E4" s="14" t="s">
        <v>6</v>
      </c>
      <c r="F4" s="14" t="s">
        <v>14</v>
      </c>
      <c r="G4" s="15" t="s">
        <v>11</v>
      </c>
      <c r="H4" s="15" t="s">
        <v>12</v>
      </c>
      <c r="I4" s="14" t="s">
        <v>13</v>
      </c>
      <c r="J4" s="14" t="s">
        <v>15</v>
      </c>
      <c r="K4" s="16" t="s">
        <v>18</v>
      </c>
      <c r="L4" s="17" t="s">
        <v>16</v>
      </c>
      <c r="M4" s="15" t="s">
        <v>19</v>
      </c>
      <c r="N4" s="14" t="s">
        <v>49</v>
      </c>
      <c r="O4" s="14" t="s">
        <v>50</v>
      </c>
      <c r="P4" s="14" t="s">
        <v>7</v>
      </c>
      <c r="Q4" s="18" t="s">
        <v>9</v>
      </c>
      <c r="R4" s="14" t="s">
        <v>10</v>
      </c>
      <c r="S4" s="15" t="s">
        <v>22</v>
      </c>
      <c r="T4" s="14" t="s">
        <v>23</v>
      </c>
      <c r="U4" s="15" t="s">
        <v>24</v>
      </c>
      <c r="V4" s="14" t="s">
        <v>25</v>
      </c>
      <c r="W4" s="14" t="s">
        <v>26</v>
      </c>
      <c r="X4" s="14" t="s">
        <v>28</v>
      </c>
      <c r="Y4" s="19" t="s">
        <v>29</v>
      </c>
      <c r="Z4" s="20" t="s">
        <v>30</v>
      </c>
    </row>
    <row r="5" s="1" customFormat="1" ht="20" customHeight="1" spans="1:43">
      <c r="A5" s="10">
        <v>101</v>
      </c>
      <c r="B5" s="11" t="s">
        <v>31</v>
      </c>
      <c r="C5" s="21">
        <v>0</v>
      </c>
      <c r="D5" s="12">
        <v>3</v>
      </c>
      <c r="E5" s="12"/>
      <c r="F5" s="12"/>
      <c r="G5" s="12"/>
      <c r="H5" s="12"/>
      <c r="I5" s="12"/>
      <c r="J5" s="22">
        <v>1</v>
      </c>
      <c r="K5" s="22"/>
      <c r="L5" s="22"/>
      <c r="M5" s="22"/>
      <c r="N5" s="12"/>
      <c r="O5" s="12"/>
      <c r="P5" s="12"/>
      <c r="Q5" s="12"/>
      <c r="R5" s="12"/>
      <c r="S5" s="12">
        <v>1</v>
      </c>
      <c r="T5" s="12">
        <v>1</v>
      </c>
      <c r="U5" s="12"/>
      <c r="V5" s="12"/>
      <c r="W5" s="12"/>
      <c r="X5" s="22"/>
      <c r="Y5" s="23">
        <v>1</v>
      </c>
      <c r="Z5" s="11"/>
      <c r="AA5" s="24"/>
      <c r="AB5" s="3" t="s">
        <v>51</v>
      </c>
    </row>
    <row r="6" s="2" customFormat="1" ht="20" customHeight="1" spans="1:43">
      <c r="A6" s="10"/>
      <c r="B6" s="25" t="s">
        <v>32</v>
      </c>
      <c r="C6" s="21">
        <v>2</v>
      </c>
      <c r="D6" s="12">
        <v>3</v>
      </c>
      <c r="E6" s="12"/>
      <c r="F6" s="12"/>
      <c r="G6" s="12"/>
      <c r="H6" s="12"/>
      <c r="I6" s="12"/>
      <c r="J6" s="22">
        <v>1</v>
      </c>
      <c r="K6" s="22"/>
      <c r="L6" s="22"/>
      <c r="M6" s="22"/>
      <c r="N6" s="12"/>
      <c r="O6" s="12"/>
      <c r="P6" s="12"/>
      <c r="Q6" s="12"/>
      <c r="R6" s="12"/>
      <c r="S6" s="12">
        <v>1</v>
      </c>
      <c r="T6" s="12">
        <v>1</v>
      </c>
      <c r="U6" s="12"/>
      <c r="V6" s="12"/>
      <c r="W6" s="12"/>
      <c r="X6" s="22"/>
      <c r="Y6" s="23">
        <v>1</v>
      </c>
      <c r="Z6" s="11"/>
      <c r="AA6" s="26"/>
      <c r="AB6" s="1" t="s">
        <v>52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="2" customFormat="1" ht="20" customHeight="1" spans="1:43">
      <c r="A7" s="10"/>
      <c r="B7" s="25" t="s">
        <v>33</v>
      </c>
      <c r="C7" s="21">
        <v>1</v>
      </c>
      <c r="D7" s="12">
        <v>3</v>
      </c>
      <c r="E7" s="12"/>
      <c r="F7" s="12"/>
      <c r="G7" s="12"/>
      <c r="H7" s="12"/>
      <c r="I7" s="12"/>
      <c r="J7" s="22">
        <v>1</v>
      </c>
      <c r="K7" s="22"/>
      <c r="L7" s="22"/>
      <c r="M7" s="22"/>
      <c r="N7" s="12"/>
      <c r="O7" s="12"/>
      <c r="P7" s="12"/>
      <c r="Q7" s="12"/>
      <c r="R7" s="12"/>
      <c r="S7" s="12">
        <v>1</v>
      </c>
      <c r="T7" s="12">
        <v>1</v>
      </c>
      <c r="U7" s="12"/>
      <c r="V7" s="12"/>
      <c r="W7" s="12"/>
      <c r="X7" s="22"/>
      <c r="Y7" s="23">
        <v>1</v>
      </c>
      <c r="Z7" s="11"/>
      <c r="AA7" s="27"/>
      <c r="AB7" s="1" t="s">
        <v>53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="2" customFormat="1" ht="20" customHeight="1" spans="1:43">
      <c r="A8" s="10"/>
      <c r="B8" s="25" t="s">
        <v>34</v>
      </c>
      <c r="C8" s="21">
        <v>3</v>
      </c>
      <c r="D8" s="12">
        <v>5</v>
      </c>
      <c r="E8" s="12"/>
      <c r="F8" s="12">
        <v>4</v>
      </c>
      <c r="G8" s="12"/>
      <c r="H8" s="12"/>
      <c r="I8" s="12"/>
      <c r="J8" s="22">
        <v>4</v>
      </c>
      <c r="K8" s="22"/>
      <c r="L8" s="22"/>
      <c r="M8" s="22"/>
      <c r="N8" s="12">
        <v>1</v>
      </c>
      <c r="O8" s="12"/>
      <c r="P8" s="12"/>
      <c r="Q8" s="12"/>
      <c r="R8" s="12"/>
      <c r="S8" s="12">
        <v>1</v>
      </c>
      <c r="T8" s="12">
        <v>1</v>
      </c>
      <c r="U8" s="12"/>
      <c r="V8" s="12"/>
      <c r="W8" s="12"/>
      <c r="X8" s="22"/>
      <c r="Y8" s="28">
        <v>1</v>
      </c>
      <c r="Z8" s="29"/>
      <c r="AA8" s="30"/>
      <c r="AB8" s="1" t="s">
        <v>54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="2" customFormat="1" ht="20" customHeight="1" spans="1:43">
      <c r="A9" s="10"/>
      <c r="B9" s="25" t="s">
        <v>55</v>
      </c>
      <c r="C9" s="1">
        <v>1</v>
      </c>
      <c r="D9" s="12">
        <v>3</v>
      </c>
      <c r="E9" s="12"/>
      <c r="F9" s="12"/>
      <c r="G9" s="12"/>
      <c r="H9" s="12"/>
      <c r="I9" s="12"/>
      <c r="J9" s="22">
        <v>1</v>
      </c>
      <c r="K9" s="22"/>
      <c r="L9" s="22"/>
      <c r="M9" s="22"/>
      <c r="N9" s="12"/>
      <c r="O9" s="12"/>
      <c r="P9" s="12"/>
      <c r="Q9" s="12"/>
      <c r="R9" s="12"/>
      <c r="S9" s="12">
        <v>1</v>
      </c>
      <c r="T9" s="12">
        <v>1</v>
      </c>
      <c r="U9" s="12"/>
      <c r="V9" s="12"/>
      <c r="W9" s="12"/>
      <c r="X9" s="22"/>
      <c r="Y9" s="28">
        <v>1</v>
      </c>
      <c r="Z9" s="29"/>
      <c r="AA9" s="30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="1" customFormat="1" ht="20" customHeight="1" spans="1:43">
      <c r="A10" s="10"/>
      <c r="B10" s="25" t="s">
        <v>56</v>
      </c>
      <c r="C10" s="21">
        <v>6</v>
      </c>
      <c r="D10" s="12">
        <v>10</v>
      </c>
      <c r="E10" s="12"/>
      <c r="F10" s="12">
        <v>4</v>
      </c>
      <c r="G10" s="12"/>
      <c r="H10" s="12">
        <v>1</v>
      </c>
      <c r="I10" s="12"/>
      <c r="J10" s="22">
        <v>4</v>
      </c>
      <c r="K10" s="22"/>
      <c r="L10" s="22"/>
      <c r="M10" s="22"/>
      <c r="N10" s="12">
        <v>2</v>
      </c>
      <c r="O10" s="12"/>
      <c r="P10" s="12"/>
      <c r="Q10" s="12"/>
      <c r="R10" s="12"/>
      <c r="S10" s="12">
        <v>1</v>
      </c>
      <c r="T10" s="12">
        <v>1</v>
      </c>
      <c r="U10" s="12"/>
      <c r="V10" s="12"/>
      <c r="W10" s="12"/>
      <c r="X10" s="22"/>
      <c r="Y10" s="28">
        <v>1</v>
      </c>
      <c r="Z10" s="29"/>
      <c r="AA10" s="31"/>
      <c r="AB10" s="1" t="s">
        <v>57</v>
      </c>
    </row>
    <row r="11" s="1" customFormat="1" ht="20" customHeight="1" spans="1:43">
      <c r="A11" s="10"/>
      <c r="B11" s="25" t="s">
        <v>37</v>
      </c>
      <c r="C11" s="21">
        <v>15</v>
      </c>
      <c r="D11" s="12">
        <v>20</v>
      </c>
      <c r="E11" s="12"/>
      <c r="F11" s="12">
        <v>4</v>
      </c>
      <c r="G11" s="12"/>
      <c r="H11" s="12"/>
      <c r="I11" s="12"/>
      <c r="J11" s="22">
        <v>5</v>
      </c>
      <c r="K11" s="22"/>
      <c r="L11" s="22"/>
      <c r="M11" s="22"/>
      <c r="N11" s="12">
        <v>2</v>
      </c>
      <c r="O11" s="12"/>
      <c r="P11" s="12"/>
      <c r="Q11" s="12"/>
      <c r="R11" s="12"/>
      <c r="S11" s="12">
        <v>1</v>
      </c>
      <c r="T11" s="12">
        <v>1</v>
      </c>
      <c r="U11" s="12"/>
      <c r="V11" s="12"/>
      <c r="W11" s="12"/>
      <c r="X11" s="22"/>
      <c r="Y11" s="32">
        <v>1</v>
      </c>
      <c r="Z11" s="29"/>
    </row>
    <row r="12" s="1" customFormat="1" ht="20" customHeight="1" spans="1:43">
      <c r="A12" s="10"/>
      <c r="B12" s="25" t="s">
        <v>58</v>
      </c>
      <c r="C12" s="21">
        <v>3</v>
      </c>
      <c r="D12" s="12">
        <v>20</v>
      </c>
      <c r="E12" s="12"/>
      <c r="F12" s="12">
        <v>4</v>
      </c>
      <c r="G12" s="12"/>
      <c r="H12" s="12"/>
      <c r="I12" s="12"/>
      <c r="J12" s="22">
        <v>5</v>
      </c>
      <c r="K12" s="22"/>
      <c r="L12" s="22"/>
      <c r="M12" s="22"/>
      <c r="N12" s="12">
        <v>1</v>
      </c>
      <c r="O12" s="12"/>
      <c r="P12" s="12"/>
      <c r="Q12" s="12"/>
      <c r="R12" s="12"/>
      <c r="S12" s="12">
        <v>1</v>
      </c>
      <c r="T12" s="12">
        <v>1</v>
      </c>
      <c r="U12" s="12"/>
      <c r="V12" s="12"/>
      <c r="W12" s="12"/>
      <c r="X12" s="22"/>
      <c r="Y12" s="28">
        <v>1</v>
      </c>
      <c r="Z12" s="29"/>
    </row>
    <row r="13" s="1" customFormat="1" ht="20" customHeight="1" spans="1:43">
      <c r="A13" s="10"/>
      <c r="B13" s="25" t="s">
        <v>59</v>
      </c>
      <c r="C13" s="21">
        <v>4</v>
      </c>
      <c r="D13" s="12">
        <v>30</v>
      </c>
      <c r="E13" s="12"/>
      <c r="F13" s="12">
        <v>2</v>
      </c>
      <c r="G13" s="12"/>
      <c r="H13" s="12"/>
      <c r="I13" s="12"/>
      <c r="J13" s="22">
        <v>3</v>
      </c>
      <c r="K13" s="22"/>
      <c r="L13" s="22"/>
      <c r="M13" s="22"/>
      <c r="N13" s="12"/>
      <c r="O13" s="12">
        <v>2</v>
      </c>
      <c r="P13" s="12"/>
      <c r="Q13" s="12">
        <v>1</v>
      </c>
      <c r="R13" s="12">
        <v>3</v>
      </c>
      <c r="S13" s="12">
        <v>1</v>
      </c>
      <c r="T13" s="12">
        <v>1</v>
      </c>
      <c r="U13" s="12"/>
      <c r="V13" s="12">
        <v>2</v>
      </c>
      <c r="W13" s="12"/>
      <c r="X13" s="22"/>
      <c r="Y13" s="28">
        <v>1</v>
      </c>
      <c r="Z13" s="29"/>
    </row>
    <row r="14" s="1" customFormat="1" ht="20" customHeight="1" spans="1:43">
      <c r="A14" s="10"/>
      <c r="B14" s="25" t="s">
        <v>60</v>
      </c>
      <c r="C14" s="21">
        <v>12</v>
      </c>
      <c r="D14" s="12">
        <v>20</v>
      </c>
      <c r="E14" s="12"/>
      <c r="F14" s="12">
        <v>2</v>
      </c>
      <c r="G14" s="12">
        <v>1</v>
      </c>
      <c r="H14" s="12">
        <v>1</v>
      </c>
      <c r="I14" s="12"/>
      <c r="J14" s="22">
        <v>5</v>
      </c>
      <c r="K14" s="22"/>
      <c r="L14" s="22"/>
      <c r="M14" s="22"/>
      <c r="N14" s="12">
        <v>2</v>
      </c>
      <c r="O14" s="12"/>
      <c r="P14" s="12"/>
      <c r="Q14" s="12"/>
      <c r="R14" s="12"/>
      <c r="S14" s="12">
        <v>1</v>
      </c>
      <c r="T14" s="12">
        <v>1</v>
      </c>
      <c r="U14" s="12"/>
      <c r="V14" s="12"/>
      <c r="W14" s="12"/>
      <c r="X14" s="22"/>
      <c r="Y14" s="32">
        <v>1</v>
      </c>
      <c r="Z14" s="29"/>
    </row>
    <row r="15" s="1" customFormat="1" ht="20" customHeight="1" spans="1:43">
      <c r="A15" s="10"/>
      <c r="B15" s="25" t="s">
        <v>61</v>
      </c>
      <c r="C15" s="21">
        <v>6</v>
      </c>
      <c r="D15" s="12">
        <v>20</v>
      </c>
      <c r="E15" s="12"/>
      <c r="F15" s="12">
        <v>2</v>
      </c>
      <c r="G15" s="12"/>
      <c r="H15" s="12"/>
      <c r="I15" s="12"/>
      <c r="J15" s="22">
        <v>5</v>
      </c>
      <c r="K15" s="22"/>
      <c r="L15" s="22"/>
      <c r="M15" s="33"/>
      <c r="N15" s="12">
        <v>1</v>
      </c>
      <c r="O15" s="12"/>
      <c r="P15" s="12"/>
      <c r="Q15" s="12"/>
      <c r="R15" s="12"/>
      <c r="S15" s="12">
        <v>1</v>
      </c>
      <c r="T15" s="12">
        <v>1</v>
      </c>
      <c r="U15" s="12"/>
      <c r="V15" s="12"/>
      <c r="W15" s="12"/>
      <c r="X15" s="22"/>
      <c r="Y15" s="32">
        <v>1</v>
      </c>
      <c r="Z15" s="29"/>
    </row>
    <row r="16" s="1" customFormat="1" ht="20" customHeight="1" spans="1:43">
      <c r="A16" s="10"/>
      <c r="B16" s="25" t="s">
        <v>62</v>
      </c>
      <c r="C16" s="21"/>
      <c r="D16" s="12">
        <v>30</v>
      </c>
      <c r="E16" s="12"/>
      <c r="F16" s="12">
        <v>4</v>
      </c>
      <c r="G16" s="12"/>
      <c r="H16" s="12"/>
      <c r="I16" s="12"/>
      <c r="J16" s="22">
        <v>2</v>
      </c>
      <c r="K16" s="22"/>
      <c r="L16" s="22"/>
      <c r="M16" s="22"/>
      <c r="N16" s="12">
        <v>1</v>
      </c>
      <c r="O16" s="12">
        <v>2</v>
      </c>
      <c r="P16" s="12"/>
      <c r="Q16" s="12"/>
      <c r="R16" s="12"/>
      <c r="S16" s="12">
        <v>1</v>
      </c>
      <c r="T16" s="12">
        <v>1</v>
      </c>
      <c r="U16" s="12"/>
      <c r="V16" s="12"/>
      <c r="W16" s="12"/>
      <c r="X16" s="22"/>
      <c r="Y16" s="28">
        <v>1</v>
      </c>
      <c r="Z16" s="29"/>
    </row>
    <row r="17" s="1" customFormat="1" ht="20" customHeight="1" spans="1:26">
      <c r="A17" s="10"/>
      <c r="B17" s="25" t="s">
        <v>63</v>
      </c>
      <c r="C17" s="21">
        <v>1</v>
      </c>
      <c r="D17" s="12">
        <v>5</v>
      </c>
      <c r="E17" s="12"/>
      <c r="F17" s="12">
        <v>4</v>
      </c>
      <c r="G17" s="12">
        <v>1</v>
      </c>
      <c r="H17" s="12"/>
      <c r="I17" s="12"/>
      <c r="J17" s="22">
        <v>2</v>
      </c>
      <c r="K17" s="22"/>
      <c r="L17" s="22"/>
      <c r="M17" s="22"/>
      <c r="N17" s="12">
        <v>3</v>
      </c>
      <c r="O17" s="12">
        <v>2</v>
      </c>
      <c r="P17" s="12"/>
      <c r="Q17" s="12"/>
      <c r="R17" s="12"/>
      <c r="S17" s="12">
        <v>1</v>
      </c>
      <c r="T17" s="12">
        <v>1</v>
      </c>
      <c r="U17" s="12"/>
      <c r="V17" s="12"/>
      <c r="W17" s="34"/>
      <c r="X17" s="22"/>
      <c r="Y17" s="28">
        <v>1</v>
      </c>
      <c r="Z17" s="29"/>
    </row>
    <row r="18" s="1" customFormat="1" ht="20" customHeight="1" spans="1:26">
      <c r="A18" s="35" t="s">
        <v>64</v>
      </c>
      <c r="B18" s="11" t="s">
        <v>31</v>
      </c>
      <c r="C18" s="21">
        <v>1</v>
      </c>
      <c r="D18" s="12">
        <v>3</v>
      </c>
      <c r="E18" s="12"/>
      <c r="F18" s="12"/>
      <c r="G18" s="12"/>
      <c r="H18" s="12"/>
      <c r="I18" s="12"/>
      <c r="J18" s="22"/>
      <c r="K18" s="22"/>
      <c r="L18" s="22"/>
      <c r="M18" s="2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22"/>
      <c r="Y18" s="28">
        <v>1</v>
      </c>
      <c r="Z18" s="11"/>
    </row>
    <row r="19" s="1" customFormat="1" ht="20" customHeight="1" spans="1:26">
      <c r="A19" s="36"/>
      <c r="B19" s="25" t="s">
        <v>32</v>
      </c>
      <c r="C19" s="21">
        <v>2</v>
      </c>
      <c r="D19" s="12">
        <v>3</v>
      </c>
      <c r="E19" s="12"/>
      <c r="F19" s="12"/>
      <c r="G19" s="12"/>
      <c r="H19" s="12"/>
      <c r="I19" s="12"/>
      <c r="J19" s="22"/>
      <c r="K19" s="22"/>
      <c r="L19" s="22"/>
      <c r="M19" s="2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22"/>
      <c r="Y19" s="28">
        <v>1</v>
      </c>
      <c r="Z19" s="11"/>
    </row>
    <row r="20" s="1" customFormat="1" ht="20" customHeight="1" spans="1:26">
      <c r="A20" s="36"/>
      <c r="B20" s="25" t="s">
        <v>33</v>
      </c>
      <c r="C20" s="21">
        <v>1</v>
      </c>
      <c r="D20" s="12">
        <v>3</v>
      </c>
      <c r="E20" s="12"/>
      <c r="F20" s="12"/>
      <c r="G20" s="12"/>
      <c r="H20" s="12"/>
      <c r="I20" s="12"/>
      <c r="J20" s="22"/>
      <c r="K20" s="22"/>
      <c r="L20" s="22"/>
      <c r="M20" s="2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22"/>
      <c r="Y20" s="28">
        <v>1</v>
      </c>
      <c r="Z20" s="11"/>
    </row>
    <row r="21" s="1" customFormat="1" ht="20" customHeight="1" spans="1:26">
      <c r="A21" s="36"/>
      <c r="B21" s="11" t="s">
        <v>34</v>
      </c>
      <c r="C21" s="21">
        <v>2</v>
      </c>
      <c r="D21" s="12"/>
      <c r="E21" s="12">
        <v>5</v>
      </c>
      <c r="F21" s="12">
        <v>4</v>
      </c>
      <c r="G21" s="12"/>
      <c r="H21" s="12"/>
      <c r="I21" s="12"/>
      <c r="J21" s="22"/>
      <c r="K21" s="22"/>
      <c r="L21" s="22"/>
      <c r="M21" s="22"/>
      <c r="N21" s="12">
        <v>1</v>
      </c>
      <c r="O21" s="12"/>
      <c r="P21" s="12"/>
      <c r="Q21" s="12"/>
      <c r="R21" s="12"/>
      <c r="S21" s="34">
        <v>1</v>
      </c>
      <c r="T21" s="34">
        <v>1</v>
      </c>
      <c r="U21" s="12"/>
      <c r="V21" s="12"/>
      <c r="W21" s="12"/>
      <c r="X21" s="22"/>
      <c r="Y21" s="28">
        <v>1</v>
      </c>
      <c r="Z21" s="29"/>
    </row>
    <row r="22" s="1" customFormat="1" ht="20" customHeight="1" spans="1:26">
      <c r="A22" s="36"/>
      <c r="B22" s="11" t="s">
        <v>65</v>
      </c>
      <c r="C22" s="21">
        <v>10</v>
      </c>
      <c r="D22" s="12"/>
      <c r="E22" s="12">
        <v>5</v>
      </c>
      <c r="F22" s="12">
        <v>4</v>
      </c>
      <c r="G22" s="12"/>
      <c r="H22" s="12"/>
      <c r="I22" s="12"/>
      <c r="J22" s="22"/>
      <c r="K22" s="22"/>
      <c r="L22" s="22"/>
      <c r="M22" s="22"/>
      <c r="N22" s="12">
        <v>1</v>
      </c>
      <c r="O22" s="12"/>
      <c r="P22" s="12"/>
      <c r="Q22" s="12"/>
      <c r="R22" s="12"/>
      <c r="S22" s="34">
        <v>1</v>
      </c>
      <c r="T22" s="34">
        <v>1</v>
      </c>
      <c r="U22" s="12"/>
      <c r="V22" s="12"/>
      <c r="W22" s="12"/>
      <c r="X22" s="22"/>
      <c r="Y22" s="28">
        <v>1</v>
      </c>
      <c r="Z22" s="29"/>
    </row>
    <row r="23" s="1" customFormat="1" ht="20" customHeight="1" spans="1:26">
      <c r="A23" s="36"/>
      <c r="B23" s="11" t="s">
        <v>66</v>
      </c>
      <c r="C23" s="21">
        <v>3</v>
      </c>
      <c r="D23" s="12"/>
      <c r="E23" s="12">
        <v>5</v>
      </c>
      <c r="F23" s="12">
        <v>4</v>
      </c>
      <c r="G23" s="12"/>
      <c r="H23" s="12"/>
      <c r="I23" s="12"/>
      <c r="J23" s="22">
        <v>1</v>
      </c>
      <c r="K23" s="22"/>
      <c r="L23" s="22"/>
      <c r="M23" s="22"/>
      <c r="N23" s="12">
        <v>1</v>
      </c>
      <c r="O23" s="12"/>
      <c r="P23" s="12"/>
      <c r="Q23" s="12"/>
      <c r="R23" s="12"/>
      <c r="S23" s="34">
        <v>1</v>
      </c>
      <c r="T23" s="34">
        <v>1</v>
      </c>
      <c r="U23" s="12"/>
      <c r="V23" s="12"/>
      <c r="W23" s="12">
        <v>5</v>
      </c>
      <c r="X23" s="22"/>
      <c r="Y23" s="28">
        <v>1</v>
      </c>
      <c r="Z23" s="29"/>
    </row>
    <row r="24" s="1" customFormat="1" ht="20" customHeight="1" spans="1:26">
      <c r="A24" s="36"/>
      <c r="B24" s="11" t="s">
        <v>67</v>
      </c>
      <c r="C24" s="1">
        <v>3</v>
      </c>
      <c r="D24" s="12"/>
      <c r="E24" s="12">
        <v>10</v>
      </c>
      <c r="F24" s="12">
        <v>2</v>
      </c>
      <c r="G24" s="12"/>
      <c r="H24" s="12"/>
      <c r="I24" s="12"/>
      <c r="J24" s="22">
        <v>1</v>
      </c>
      <c r="K24" s="22"/>
      <c r="L24" s="22"/>
      <c r="M24" s="22"/>
      <c r="N24" s="12">
        <v>1</v>
      </c>
      <c r="O24" s="12"/>
      <c r="P24" s="12"/>
      <c r="Q24" s="12"/>
      <c r="R24" s="12"/>
      <c r="S24" s="34">
        <v>1</v>
      </c>
      <c r="T24" s="34">
        <v>1</v>
      </c>
      <c r="U24" s="12"/>
      <c r="V24" s="12"/>
      <c r="W24" s="12"/>
      <c r="X24" s="22"/>
      <c r="Y24" s="28">
        <v>1</v>
      </c>
      <c r="Z24" s="29"/>
    </row>
    <row r="25" s="1" customFormat="1" ht="20" customHeight="1" spans="1:26">
      <c r="A25" s="37"/>
      <c r="B25" s="11" t="s">
        <v>68</v>
      </c>
      <c r="C25" s="21">
        <v>16</v>
      </c>
      <c r="D25" s="12"/>
      <c r="E25" s="12">
        <v>20</v>
      </c>
      <c r="F25" s="12">
        <v>4</v>
      </c>
      <c r="G25" s="12"/>
      <c r="H25" s="12"/>
      <c r="I25" s="12"/>
      <c r="J25" s="22">
        <v>1</v>
      </c>
      <c r="K25" s="22"/>
      <c r="L25" s="22"/>
      <c r="M25" s="22"/>
      <c r="N25" s="12"/>
      <c r="O25" s="12"/>
      <c r="P25" s="12"/>
      <c r="Q25" s="12"/>
      <c r="R25" s="12"/>
      <c r="S25" s="34">
        <v>1</v>
      </c>
      <c r="T25" s="34">
        <v>1</v>
      </c>
      <c r="U25" s="12"/>
      <c r="V25" s="12"/>
      <c r="W25" s="12">
        <v>5</v>
      </c>
      <c r="X25" s="22"/>
      <c r="Y25" s="28">
        <v>1</v>
      </c>
      <c r="Z25" s="29"/>
    </row>
    <row r="26" s="1" customFormat="1" ht="20" customHeight="1" spans="1:26">
      <c r="A26" s="35" t="s">
        <v>69</v>
      </c>
      <c r="B26" s="11" t="s">
        <v>31</v>
      </c>
      <c r="C26" s="21">
        <v>1</v>
      </c>
      <c r="D26" s="12">
        <v>3</v>
      </c>
      <c r="E26" s="12"/>
      <c r="F26" s="12">
        <v>2</v>
      </c>
      <c r="G26" s="12"/>
      <c r="H26" s="12">
        <v>1</v>
      </c>
      <c r="I26" s="12"/>
      <c r="J26" s="22"/>
      <c r="K26" s="22"/>
      <c r="L26" s="22"/>
      <c r="M26" s="2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22"/>
      <c r="Y26" s="28">
        <v>1</v>
      </c>
      <c r="Z26" s="29"/>
    </row>
    <row r="27" s="1" customFormat="1" ht="20" customHeight="1" spans="1:26">
      <c r="A27" s="36"/>
      <c r="B27" s="25" t="s">
        <v>32</v>
      </c>
      <c r="C27" s="21">
        <v>1</v>
      </c>
      <c r="D27" s="12">
        <v>5</v>
      </c>
      <c r="E27" s="12"/>
      <c r="F27" s="12">
        <v>2</v>
      </c>
      <c r="G27" s="12"/>
      <c r="H27" s="12">
        <v>1</v>
      </c>
      <c r="I27" s="12"/>
      <c r="J27" s="22"/>
      <c r="K27" s="22"/>
      <c r="L27" s="22"/>
      <c r="M27" s="22"/>
      <c r="N27" s="12">
        <v>2</v>
      </c>
      <c r="O27" s="12"/>
      <c r="P27" s="12"/>
      <c r="Q27" s="12"/>
      <c r="R27" s="12"/>
      <c r="S27" s="12"/>
      <c r="T27" s="12"/>
      <c r="U27" s="12"/>
      <c r="V27" s="12"/>
      <c r="W27" s="12"/>
      <c r="X27" s="22"/>
      <c r="Y27" s="28">
        <v>1</v>
      </c>
      <c r="Z27" s="29"/>
    </row>
    <row r="28" s="1" customFormat="1" ht="20" customHeight="1" spans="1:26">
      <c r="A28" s="36"/>
      <c r="B28" s="11" t="s">
        <v>34</v>
      </c>
      <c r="C28" s="21">
        <v>2</v>
      </c>
      <c r="D28" s="12">
        <v>8</v>
      </c>
      <c r="E28" s="12"/>
      <c r="F28" s="12">
        <v>5</v>
      </c>
      <c r="G28" s="12"/>
      <c r="H28" s="12">
        <v>1</v>
      </c>
      <c r="I28" s="12"/>
      <c r="J28" s="12"/>
      <c r="K28" s="22"/>
      <c r="L28" s="22"/>
      <c r="M28" s="22"/>
      <c r="N28" s="12">
        <v>3</v>
      </c>
      <c r="O28" s="12"/>
      <c r="P28" s="12"/>
      <c r="Q28" s="12"/>
      <c r="R28" s="12"/>
      <c r="S28" s="34">
        <v>1</v>
      </c>
      <c r="T28" s="12">
        <v>1</v>
      </c>
      <c r="U28" s="12"/>
      <c r="V28" s="12"/>
      <c r="W28" s="12"/>
      <c r="X28" s="22"/>
      <c r="Y28" s="28">
        <v>1</v>
      </c>
      <c r="Z28" s="29"/>
    </row>
    <row r="29" s="1" customFormat="1" ht="20" customHeight="1" spans="1:26">
      <c r="A29" s="36"/>
      <c r="B29" s="11" t="s">
        <v>70</v>
      </c>
      <c r="C29" s="21">
        <v>9</v>
      </c>
      <c r="D29" s="12">
        <v>8</v>
      </c>
      <c r="E29" s="12"/>
      <c r="F29" s="12">
        <v>5</v>
      </c>
      <c r="G29" s="12"/>
      <c r="H29" s="12">
        <v>1</v>
      </c>
      <c r="I29" s="12"/>
      <c r="J29" s="12"/>
      <c r="K29" s="22"/>
      <c r="L29" s="22">
        <v>2</v>
      </c>
      <c r="M29" s="22"/>
      <c r="N29" s="12">
        <v>3</v>
      </c>
      <c r="O29" s="12"/>
      <c r="P29" s="12"/>
      <c r="Q29" s="12"/>
      <c r="R29" s="12"/>
      <c r="S29" s="34">
        <v>1</v>
      </c>
      <c r="T29" s="12">
        <v>1</v>
      </c>
      <c r="U29" s="12"/>
      <c r="V29" s="12"/>
      <c r="W29" s="12"/>
      <c r="X29" s="22"/>
      <c r="Y29" s="28">
        <v>1</v>
      </c>
      <c r="Z29" s="29"/>
    </row>
    <row r="30" s="1" customFormat="1" ht="20" customHeight="1" spans="1:26">
      <c r="A30" s="36"/>
      <c r="B30" s="11" t="s">
        <v>71</v>
      </c>
      <c r="C30" s="21">
        <v>3</v>
      </c>
      <c r="D30" s="12">
        <v>8</v>
      </c>
      <c r="E30" s="12"/>
      <c r="F30" s="12">
        <v>5</v>
      </c>
      <c r="G30" s="12">
        <v>1</v>
      </c>
      <c r="H30" s="12">
        <v>1</v>
      </c>
      <c r="I30" s="12"/>
      <c r="J30" s="12"/>
      <c r="K30" s="22"/>
      <c r="L30" s="22">
        <v>2</v>
      </c>
      <c r="M30" s="22"/>
      <c r="N30" s="12">
        <v>3</v>
      </c>
      <c r="O30" s="12"/>
      <c r="P30" s="12"/>
      <c r="Q30" s="12"/>
      <c r="R30" s="12"/>
      <c r="S30" s="34">
        <v>1</v>
      </c>
      <c r="T30" s="12">
        <v>1</v>
      </c>
      <c r="U30" s="12"/>
      <c r="V30" s="12">
        <v>1</v>
      </c>
      <c r="W30" s="12"/>
      <c r="X30" s="22"/>
      <c r="Y30" s="28">
        <v>1</v>
      </c>
      <c r="Z30" s="29"/>
    </row>
    <row r="31" s="1" customFormat="1" ht="20" customHeight="1" spans="1:26">
      <c r="A31" s="37"/>
      <c r="B31" s="11" t="s">
        <v>72</v>
      </c>
      <c r="C31" s="21">
        <v>3</v>
      </c>
      <c r="D31" s="12">
        <v>8</v>
      </c>
      <c r="E31" s="12"/>
      <c r="F31" s="12">
        <v>5</v>
      </c>
      <c r="G31" s="12"/>
      <c r="H31" s="12">
        <v>1</v>
      </c>
      <c r="I31" s="12"/>
      <c r="J31" s="12"/>
      <c r="K31" s="22"/>
      <c r="L31" s="22"/>
      <c r="M31" s="22"/>
      <c r="N31" s="12">
        <v>2</v>
      </c>
      <c r="O31" s="12"/>
      <c r="P31" s="12"/>
      <c r="Q31" s="12"/>
      <c r="R31" s="12"/>
      <c r="S31" s="34">
        <v>1</v>
      </c>
      <c r="T31" s="12">
        <v>1</v>
      </c>
      <c r="U31" s="12"/>
      <c r="V31" s="12"/>
      <c r="W31" s="12"/>
      <c r="X31" s="22"/>
      <c r="Y31" s="28">
        <v>1</v>
      </c>
      <c r="Z31" s="29"/>
    </row>
    <row r="32" s="1" customFormat="1" ht="20" customHeight="1" spans="1:26">
      <c r="A32" s="10">
        <v>103</v>
      </c>
      <c r="B32" s="11" t="s">
        <v>31</v>
      </c>
      <c r="C32" s="21">
        <v>1</v>
      </c>
      <c r="D32" s="12">
        <v>5</v>
      </c>
      <c r="E32" s="12"/>
      <c r="F32" s="12">
        <v>4</v>
      </c>
      <c r="G32" s="12"/>
      <c r="H32" s="12">
        <v>15</v>
      </c>
      <c r="I32" s="12"/>
      <c r="J32" s="22">
        <v>1</v>
      </c>
      <c r="K32" s="22"/>
      <c r="L32" s="22"/>
      <c r="M32" s="22"/>
      <c r="N32" s="12"/>
      <c r="O32" s="12"/>
      <c r="P32" s="12"/>
      <c r="Q32" s="12"/>
      <c r="R32" s="12"/>
      <c r="S32" s="34">
        <v>6</v>
      </c>
      <c r="T32" s="12">
        <v>1</v>
      </c>
      <c r="U32" s="12"/>
      <c r="V32" s="12"/>
      <c r="W32" s="12"/>
      <c r="X32" s="22"/>
      <c r="Y32" s="23">
        <v>1</v>
      </c>
      <c r="Z32" s="29"/>
    </row>
    <row r="33" s="1" customFormat="1" ht="20" customHeight="1" spans="1:26">
      <c r="A33" s="10"/>
      <c r="B33" s="25" t="s">
        <v>32</v>
      </c>
      <c r="C33" s="21">
        <v>1</v>
      </c>
      <c r="D33" s="12">
        <v>5</v>
      </c>
      <c r="E33" s="12"/>
      <c r="F33" s="12">
        <v>4</v>
      </c>
      <c r="G33" s="12"/>
      <c r="H33" s="12"/>
      <c r="I33" s="12"/>
      <c r="J33" s="22">
        <v>1</v>
      </c>
      <c r="K33" s="22"/>
      <c r="L33" s="22"/>
      <c r="M33" s="22"/>
      <c r="N33" s="12"/>
      <c r="O33" s="12"/>
      <c r="P33" s="12"/>
      <c r="Q33" s="12"/>
      <c r="R33" s="12"/>
      <c r="S33" s="34">
        <v>1</v>
      </c>
      <c r="T33" s="12">
        <v>1</v>
      </c>
      <c r="U33" s="12"/>
      <c r="V33" s="12"/>
      <c r="W33" s="12"/>
      <c r="X33" s="22"/>
      <c r="Y33" s="23">
        <v>1</v>
      </c>
      <c r="Z33" s="29"/>
    </row>
    <row r="34" s="1" customFormat="1" ht="20" customHeight="1" spans="1:26">
      <c r="A34" s="10"/>
      <c r="B34" s="25" t="s">
        <v>33</v>
      </c>
      <c r="C34" s="21">
        <v>1</v>
      </c>
      <c r="D34" s="12">
        <v>5</v>
      </c>
      <c r="E34" s="12"/>
      <c r="F34" s="12">
        <v>4</v>
      </c>
      <c r="G34" s="12"/>
      <c r="H34" s="12"/>
      <c r="I34" s="12"/>
      <c r="J34" s="22">
        <v>1</v>
      </c>
      <c r="K34" s="22"/>
      <c r="L34" s="22"/>
      <c r="M34" s="22"/>
      <c r="N34" s="12"/>
      <c r="O34" s="12"/>
      <c r="P34" s="12"/>
      <c r="Q34" s="12"/>
      <c r="R34" s="12"/>
      <c r="S34" s="34">
        <v>1</v>
      </c>
      <c r="T34" s="12">
        <v>1</v>
      </c>
      <c r="U34" s="12"/>
      <c r="V34" s="12"/>
      <c r="W34" s="12"/>
      <c r="X34" s="22"/>
      <c r="Y34" s="23">
        <v>1</v>
      </c>
      <c r="Z34" s="29"/>
    </row>
    <row r="35" s="1" customFormat="1" ht="20" customHeight="1" spans="1:26">
      <c r="A35" s="10"/>
      <c r="B35" s="25" t="s">
        <v>34</v>
      </c>
      <c r="C35" s="21">
        <v>3</v>
      </c>
      <c r="D35" s="12">
        <v>5</v>
      </c>
      <c r="E35" s="12"/>
      <c r="F35" s="12">
        <v>4</v>
      </c>
      <c r="G35" s="12"/>
      <c r="H35" s="12"/>
      <c r="I35" s="12"/>
      <c r="J35" s="22">
        <v>2</v>
      </c>
      <c r="K35" s="22"/>
      <c r="L35" s="22"/>
      <c r="M35" s="22"/>
      <c r="N35" s="12">
        <v>1</v>
      </c>
      <c r="O35" s="12"/>
      <c r="P35" s="12"/>
      <c r="Q35" s="12"/>
      <c r="R35" s="12"/>
      <c r="S35" s="34">
        <v>1</v>
      </c>
      <c r="T35" s="12">
        <v>1</v>
      </c>
      <c r="U35" s="12"/>
      <c r="V35" s="12"/>
      <c r="W35" s="12"/>
      <c r="X35" s="22"/>
      <c r="Y35" s="23">
        <v>1</v>
      </c>
      <c r="Z35" s="29"/>
    </row>
    <row r="36" s="1" customFormat="1" ht="20" customHeight="1" spans="1:26">
      <c r="A36" s="10"/>
      <c r="B36" s="25" t="s">
        <v>35</v>
      </c>
      <c r="C36" s="38">
        <v>12</v>
      </c>
      <c r="D36" s="39">
        <v>10</v>
      </c>
      <c r="E36" s="39"/>
      <c r="F36" s="39">
        <v>4</v>
      </c>
      <c r="G36" s="39"/>
      <c r="H36" s="39"/>
      <c r="I36" s="39"/>
      <c r="J36" s="39">
        <v>1</v>
      </c>
      <c r="K36" s="39"/>
      <c r="L36" s="39"/>
      <c r="M36" s="39"/>
      <c r="N36" s="39">
        <v>1</v>
      </c>
      <c r="O36" s="39"/>
      <c r="P36" s="39"/>
      <c r="Q36" s="39"/>
      <c r="R36" s="39"/>
      <c r="S36" s="40">
        <v>1</v>
      </c>
      <c r="T36" s="41">
        <v>1</v>
      </c>
      <c r="U36" s="39"/>
      <c r="V36" s="39"/>
      <c r="W36" s="39"/>
      <c r="X36" s="39"/>
      <c r="Y36" s="42">
        <v>1</v>
      </c>
      <c r="Z36" s="29"/>
    </row>
    <row r="37" s="1" customFormat="1" ht="20" customHeight="1" spans="1:26">
      <c r="A37" s="10"/>
      <c r="B37" s="25" t="s">
        <v>36</v>
      </c>
      <c r="C37" s="43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5"/>
      <c r="T37" s="46"/>
      <c r="U37" s="44"/>
      <c r="V37" s="44"/>
      <c r="W37" s="44"/>
      <c r="X37" s="44"/>
      <c r="Y37" s="47"/>
      <c r="Z37" s="29"/>
    </row>
    <row r="38" s="1" customFormat="1" ht="20" customHeight="1" spans="1:26">
      <c r="A38" s="10"/>
      <c r="B38" s="25" t="s">
        <v>37</v>
      </c>
      <c r="C38" s="43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5"/>
      <c r="T38" s="46"/>
      <c r="U38" s="44"/>
      <c r="V38" s="44"/>
      <c r="W38" s="44"/>
      <c r="X38" s="44"/>
      <c r="Y38" s="47"/>
      <c r="Z38" s="29"/>
    </row>
    <row r="39" s="1" customFormat="1" ht="20" customHeight="1" spans="1:26">
      <c r="A39" s="10"/>
      <c r="B39" s="25" t="s">
        <v>38</v>
      </c>
      <c r="C39" s="48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50"/>
      <c r="T39" s="51"/>
      <c r="U39" s="49"/>
      <c r="V39" s="49"/>
      <c r="W39" s="49"/>
      <c r="X39" s="49"/>
      <c r="Y39" s="52"/>
      <c r="Z39" s="29"/>
    </row>
    <row r="40" s="1" customFormat="1" ht="20" customHeight="1" spans="1:26">
      <c r="A40" s="10"/>
      <c r="B40" s="25" t="s">
        <v>39</v>
      </c>
      <c r="C40" s="21">
        <v>9</v>
      </c>
      <c r="D40" s="12">
        <v>20</v>
      </c>
      <c r="E40" s="12"/>
      <c r="F40" s="12">
        <v>4</v>
      </c>
      <c r="G40" s="12"/>
      <c r="H40" s="12"/>
      <c r="I40" s="12"/>
      <c r="J40" s="22"/>
      <c r="K40" s="22"/>
      <c r="L40" s="22"/>
      <c r="M40" s="22"/>
      <c r="N40" s="12"/>
      <c r="O40" s="12"/>
      <c r="P40" s="12"/>
      <c r="Q40" s="12"/>
      <c r="R40" s="12"/>
      <c r="S40" s="40">
        <v>1</v>
      </c>
      <c r="T40" s="12">
        <v>1</v>
      </c>
      <c r="U40" s="12"/>
      <c r="V40" s="12">
        <v>1</v>
      </c>
      <c r="W40" s="12">
        <v>5</v>
      </c>
      <c r="X40" s="22"/>
      <c r="Y40" s="23">
        <v>1</v>
      </c>
      <c r="Z40" s="29"/>
    </row>
    <row r="41" s="1" customFormat="1" ht="20" customHeight="1" spans="1:26">
      <c r="A41" s="10"/>
      <c r="B41" s="25" t="s">
        <v>40</v>
      </c>
      <c r="C41" s="21">
        <v>3</v>
      </c>
      <c r="D41" s="12">
        <v>20</v>
      </c>
      <c r="E41" s="41"/>
      <c r="F41" s="41">
        <v>4</v>
      </c>
      <c r="G41" s="41"/>
      <c r="H41" s="41"/>
      <c r="I41" s="41"/>
      <c r="J41" s="53">
        <v>1</v>
      </c>
      <c r="K41" s="53"/>
      <c r="L41" s="53"/>
      <c r="M41" s="53"/>
      <c r="N41" s="41"/>
      <c r="O41" s="41"/>
      <c r="P41" s="41"/>
      <c r="Q41" s="41"/>
      <c r="R41" s="41"/>
      <c r="S41" s="45"/>
      <c r="T41" s="12">
        <v>1</v>
      </c>
      <c r="U41" s="41"/>
      <c r="V41" s="12">
        <v>1</v>
      </c>
      <c r="W41" s="12">
        <v>5</v>
      </c>
      <c r="X41" s="53"/>
      <c r="Y41" s="23">
        <v>1</v>
      </c>
      <c r="Z41" s="29"/>
    </row>
    <row r="42" s="1" customFormat="1" ht="20" customHeight="1" spans="1:26">
      <c r="A42" s="10"/>
      <c r="B42" s="25" t="s">
        <v>73</v>
      </c>
      <c r="C42" s="21">
        <v>3</v>
      </c>
      <c r="D42" s="12">
        <v>15</v>
      </c>
      <c r="E42" s="12"/>
      <c r="F42" s="12">
        <v>4</v>
      </c>
      <c r="G42" s="12"/>
      <c r="H42" s="12"/>
      <c r="I42" s="12"/>
      <c r="J42" s="22">
        <v>2</v>
      </c>
      <c r="K42" s="22"/>
      <c r="L42" s="22"/>
      <c r="M42" s="22"/>
      <c r="N42" s="12">
        <v>2</v>
      </c>
      <c r="O42" s="12"/>
      <c r="P42" s="12"/>
      <c r="Q42" s="12"/>
      <c r="R42" s="12"/>
      <c r="S42" s="45"/>
      <c r="T42" s="12">
        <v>1</v>
      </c>
      <c r="U42" s="12"/>
      <c r="V42" s="12">
        <v>1</v>
      </c>
      <c r="W42" s="12">
        <v>5</v>
      </c>
      <c r="X42" s="22"/>
      <c r="Y42" s="23">
        <v>1</v>
      </c>
      <c r="Z42" s="29"/>
    </row>
    <row r="43" s="1" customFormat="1" ht="20" customHeight="1" spans="1:26">
      <c r="A43" s="10"/>
      <c r="B43" s="25" t="s">
        <v>42</v>
      </c>
      <c r="C43" s="21">
        <v>3</v>
      </c>
      <c r="D43" s="12">
        <v>10</v>
      </c>
      <c r="E43" s="12"/>
      <c r="F43" s="12">
        <v>4</v>
      </c>
      <c r="G43" s="12"/>
      <c r="H43" s="12"/>
      <c r="I43" s="12"/>
      <c r="J43" s="22">
        <v>2</v>
      </c>
      <c r="K43" s="22"/>
      <c r="L43" s="22"/>
      <c r="M43" s="22"/>
      <c r="N43" s="12">
        <v>2</v>
      </c>
      <c r="O43" s="12"/>
      <c r="P43" s="12"/>
      <c r="Q43" s="12"/>
      <c r="R43" s="12"/>
      <c r="S43" s="50"/>
      <c r="T43" s="12">
        <v>1</v>
      </c>
      <c r="U43" s="12"/>
      <c r="V43" s="12">
        <v>1</v>
      </c>
      <c r="W43" s="12">
        <v>5</v>
      </c>
      <c r="X43" s="22"/>
      <c r="Y43" s="23">
        <v>1</v>
      </c>
      <c r="Z43" s="29"/>
    </row>
    <row r="44" s="1" customFormat="1" ht="20" customHeight="1" spans="1:26">
      <c r="A44" s="10"/>
      <c r="B44" s="25" t="s">
        <v>43</v>
      </c>
      <c r="C44" s="21">
        <v>3</v>
      </c>
      <c r="D44" s="12">
        <v>20</v>
      </c>
      <c r="E44" s="12"/>
      <c r="F44" s="12">
        <v>4</v>
      </c>
      <c r="G44" s="12"/>
      <c r="H44" s="12"/>
      <c r="I44" s="12"/>
      <c r="J44" s="22">
        <v>2</v>
      </c>
      <c r="K44" s="22"/>
      <c r="L44" s="22"/>
      <c r="M44" s="22"/>
      <c r="N44" s="12">
        <v>1</v>
      </c>
      <c r="O44" s="12"/>
      <c r="P44" s="12"/>
      <c r="Q44" s="12"/>
      <c r="R44" s="12"/>
      <c r="S44" s="12">
        <v>1</v>
      </c>
      <c r="T44" s="12">
        <v>1</v>
      </c>
      <c r="U44" s="12"/>
      <c r="V44" s="12"/>
      <c r="W44" s="12"/>
      <c r="X44" s="22"/>
      <c r="Y44" s="23">
        <v>1</v>
      </c>
      <c r="Z44" s="29"/>
    </row>
    <row r="45" s="1" customFormat="1" ht="20" customHeight="1" spans="1:26">
      <c r="A45" s="10"/>
      <c r="B45" s="25" t="s">
        <v>44</v>
      </c>
      <c r="C45" s="21">
        <v>3</v>
      </c>
      <c r="D45" s="12">
        <v>20</v>
      </c>
      <c r="E45" s="12"/>
      <c r="F45" s="12">
        <v>4</v>
      </c>
      <c r="G45" s="12"/>
      <c r="H45" s="12"/>
      <c r="I45" s="12"/>
      <c r="J45" s="22">
        <v>1</v>
      </c>
      <c r="K45" s="22"/>
      <c r="L45" s="22"/>
      <c r="M45" s="22"/>
      <c r="N45" s="12">
        <v>2</v>
      </c>
      <c r="O45" s="12"/>
      <c r="P45" s="12"/>
      <c r="Q45" s="12"/>
      <c r="R45" s="12"/>
      <c r="S45" s="12">
        <v>1</v>
      </c>
      <c r="T45" s="12">
        <v>1</v>
      </c>
      <c r="U45" s="12"/>
      <c r="V45" s="12">
        <v>1</v>
      </c>
      <c r="W45" s="12"/>
      <c r="X45" s="22"/>
      <c r="Y45" s="23">
        <v>1</v>
      </c>
      <c r="Z45" s="29"/>
    </row>
    <row r="46" s="1" customFormat="1" ht="20" customHeight="1" spans="1:26">
      <c r="A46" s="10"/>
      <c r="B46" s="25" t="s">
        <v>45</v>
      </c>
      <c r="C46" s="21">
        <v>3</v>
      </c>
      <c r="D46" s="12">
        <v>20</v>
      </c>
      <c r="E46" s="12"/>
      <c r="F46" s="12">
        <v>4</v>
      </c>
      <c r="G46" s="12"/>
      <c r="H46" s="12"/>
      <c r="I46" s="12"/>
      <c r="J46" s="22"/>
      <c r="K46" s="22"/>
      <c r="L46" s="22"/>
      <c r="M46" s="22"/>
      <c r="N46" s="12">
        <v>4</v>
      </c>
      <c r="O46" s="12"/>
      <c r="P46" s="12">
        <v>1</v>
      </c>
      <c r="Q46" s="12"/>
      <c r="R46" s="12"/>
      <c r="S46" s="12">
        <v>1</v>
      </c>
      <c r="T46" s="12">
        <v>1</v>
      </c>
      <c r="U46" s="12"/>
      <c r="V46" s="12">
        <v>4</v>
      </c>
      <c r="W46" s="12"/>
      <c r="X46" s="22"/>
      <c r="Y46" s="23">
        <v>1</v>
      </c>
      <c r="Z46" s="29"/>
    </row>
    <row r="47" s="1" customFormat="1" ht="20" customHeight="1" spans="1:26">
      <c r="A47" s="10"/>
      <c r="B47" s="25" t="s">
        <v>46</v>
      </c>
      <c r="C47" s="21">
        <v>3</v>
      </c>
      <c r="D47" s="12">
        <v>5</v>
      </c>
      <c r="E47" s="12"/>
      <c r="F47" s="12">
        <v>4</v>
      </c>
      <c r="G47" s="12"/>
      <c r="H47" s="12"/>
      <c r="I47" s="12"/>
      <c r="J47" s="22">
        <v>1</v>
      </c>
      <c r="K47" s="22"/>
      <c r="L47" s="22"/>
      <c r="M47" s="22"/>
      <c r="N47" s="12">
        <v>2</v>
      </c>
      <c r="O47" s="12"/>
      <c r="P47" s="12"/>
      <c r="Q47" s="12"/>
      <c r="R47" s="12"/>
      <c r="S47" s="12">
        <v>1</v>
      </c>
      <c r="T47" s="12">
        <v>1</v>
      </c>
      <c r="U47" s="12"/>
      <c r="V47" s="12"/>
      <c r="W47" s="12"/>
      <c r="X47" s="22"/>
      <c r="Y47" s="23">
        <v>1</v>
      </c>
      <c r="Z47" s="29"/>
    </row>
    <row r="48" s="1" customFormat="1" ht="20" customHeight="1" spans="1:26">
      <c r="A48" s="10">
        <v>104</v>
      </c>
      <c r="B48" s="25" t="s">
        <v>47</v>
      </c>
      <c r="C48" s="21">
        <v>3</v>
      </c>
      <c r="D48" s="12">
        <v>10</v>
      </c>
      <c r="E48" s="12"/>
      <c r="F48" s="12">
        <v>4</v>
      </c>
      <c r="G48" s="12"/>
      <c r="H48" s="12"/>
      <c r="I48" s="12"/>
      <c r="J48" s="22">
        <v>1</v>
      </c>
      <c r="K48" s="22"/>
      <c r="L48" s="22"/>
      <c r="M48" s="22"/>
      <c r="N48" s="12">
        <v>2</v>
      </c>
      <c r="O48" s="12"/>
      <c r="P48" s="12"/>
      <c r="Q48" s="12"/>
      <c r="R48" s="12"/>
      <c r="S48" s="12">
        <v>1</v>
      </c>
      <c r="T48" s="12">
        <v>1</v>
      </c>
      <c r="U48" s="12"/>
      <c r="V48" s="12"/>
      <c r="W48" s="12"/>
      <c r="X48" s="22"/>
      <c r="Y48" s="23">
        <v>1</v>
      </c>
      <c r="Z48" s="29"/>
    </row>
    <row r="49" s="1" customFormat="1" ht="20" customHeight="1" spans="1:26">
      <c r="A49" s="54" t="s">
        <v>74</v>
      </c>
      <c r="B49" s="25" t="s">
        <v>34</v>
      </c>
      <c r="C49" s="21">
        <v>1</v>
      </c>
      <c r="D49" s="12">
        <v>5</v>
      </c>
      <c r="E49" s="22"/>
      <c r="F49" s="22"/>
      <c r="G49" s="12"/>
      <c r="H49" s="12"/>
      <c r="I49" s="12"/>
      <c r="J49" s="22">
        <v>2</v>
      </c>
      <c r="K49" s="22"/>
      <c r="L49" s="22"/>
      <c r="M49" s="22"/>
      <c r="N49" s="12">
        <v>1</v>
      </c>
      <c r="O49" s="12"/>
      <c r="P49" s="12"/>
      <c r="Q49" s="12"/>
      <c r="R49" s="12"/>
      <c r="S49" s="12">
        <v>1</v>
      </c>
      <c r="T49" s="12">
        <v>1</v>
      </c>
      <c r="U49" s="12"/>
      <c r="V49" s="12"/>
      <c r="W49" s="12"/>
      <c r="X49" s="22"/>
      <c r="Y49" s="28">
        <v>2</v>
      </c>
      <c r="Z49" s="29"/>
    </row>
    <row r="50" s="1" customFormat="1" ht="20" customHeight="1" spans="1:26">
      <c r="A50" s="20"/>
      <c r="B50" s="11" t="s">
        <v>75</v>
      </c>
      <c r="C50" s="21">
        <v>10</v>
      </c>
      <c r="D50" s="12"/>
      <c r="E50" s="22">
        <v>15</v>
      </c>
      <c r="F50" s="22"/>
      <c r="G50" s="12">
        <v>1</v>
      </c>
      <c r="H50" s="12"/>
      <c r="I50" s="12">
        <v>1</v>
      </c>
      <c r="J50" s="22">
        <v>5</v>
      </c>
      <c r="K50" s="22"/>
      <c r="L50" s="22"/>
      <c r="M50" s="12">
        <v>1</v>
      </c>
      <c r="N50" s="12"/>
      <c r="O50" s="12"/>
      <c r="P50" s="12"/>
      <c r="Q50" s="12"/>
      <c r="R50" s="12"/>
      <c r="S50" s="12">
        <v>1</v>
      </c>
      <c r="T50" s="12">
        <v>1</v>
      </c>
      <c r="U50" s="12"/>
      <c r="V50" s="12"/>
      <c r="W50" s="12"/>
      <c r="X50" s="22"/>
      <c r="Y50" s="28">
        <v>2</v>
      </c>
      <c r="Z50" s="29"/>
    </row>
    <row r="51" s="1" customFormat="1" ht="20" customHeight="1" spans="1:26">
      <c r="A51" s="20"/>
      <c r="B51" s="11" t="s">
        <v>76</v>
      </c>
      <c r="C51" s="21">
        <v>8</v>
      </c>
      <c r="D51" s="12"/>
      <c r="E51" s="22">
        <v>15</v>
      </c>
      <c r="F51" s="22"/>
      <c r="G51" s="12"/>
      <c r="H51" s="12"/>
      <c r="I51" s="12">
        <v>1</v>
      </c>
      <c r="J51" s="22">
        <v>5</v>
      </c>
      <c r="K51" s="22">
        <v>1</v>
      </c>
      <c r="L51" s="22"/>
      <c r="M51" s="22"/>
      <c r="N51" s="12"/>
      <c r="O51" s="12"/>
      <c r="P51" s="12"/>
      <c r="Q51" s="12"/>
      <c r="R51" s="12"/>
      <c r="S51" s="12">
        <v>1</v>
      </c>
      <c r="T51" s="12">
        <v>1</v>
      </c>
      <c r="U51" s="12"/>
      <c r="V51" s="12"/>
      <c r="W51" s="12"/>
      <c r="X51" s="22">
        <v>1</v>
      </c>
      <c r="Y51" s="28">
        <v>2</v>
      </c>
      <c r="Z51" s="29"/>
    </row>
    <row r="52" s="1" customFormat="1" ht="20" customHeight="1" spans="1:26">
      <c r="A52" s="55"/>
      <c r="B52" s="11" t="s">
        <v>77</v>
      </c>
      <c r="C52" s="21">
        <v>6</v>
      </c>
      <c r="D52" s="12">
        <v>10</v>
      </c>
      <c r="E52" s="22">
        <v>5</v>
      </c>
      <c r="F52" s="22">
        <v>4</v>
      </c>
      <c r="G52" s="12"/>
      <c r="H52" s="12"/>
      <c r="I52" s="12"/>
      <c r="J52" s="22">
        <v>2</v>
      </c>
      <c r="K52" s="22"/>
      <c r="L52" s="22"/>
      <c r="M52" s="22"/>
      <c r="N52" s="12"/>
      <c r="O52" s="12"/>
      <c r="P52" s="12"/>
      <c r="Q52" s="12"/>
      <c r="R52" s="12"/>
      <c r="S52" s="12">
        <v>1</v>
      </c>
      <c r="T52" s="12">
        <v>1</v>
      </c>
      <c r="U52" s="12"/>
      <c r="V52" s="12"/>
      <c r="W52" s="12"/>
      <c r="X52" s="22"/>
      <c r="Y52" s="28">
        <v>2</v>
      </c>
      <c r="Z52" s="29"/>
    </row>
    <row r="53" s="1" customFormat="1" ht="20" customHeight="1" spans="1:26">
      <c r="A53" s="35" t="s">
        <v>78</v>
      </c>
      <c r="B53" s="11" t="s">
        <v>79</v>
      </c>
      <c r="C53" s="21">
        <v>7</v>
      </c>
      <c r="D53" s="12"/>
      <c r="E53" s="12">
        <v>60</v>
      </c>
      <c r="F53" s="12"/>
      <c r="G53" s="12"/>
      <c r="H53" s="12"/>
      <c r="I53" s="12"/>
      <c r="J53" s="22">
        <v>10</v>
      </c>
      <c r="K53" s="22"/>
      <c r="L53" s="22"/>
      <c r="M53" s="22"/>
      <c r="N53" s="12"/>
      <c r="O53" s="12"/>
      <c r="P53" s="12"/>
      <c r="Q53" s="12"/>
      <c r="R53" s="12"/>
      <c r="S53" s="12">
        <v>1</v>
      </c>
      <c r="T53" s="12">
        <v>1</v>
      </c>
      <c r="U53" s="12"/>
      <c r="V53" s="12"/>
      <c r="W53" s="12"/>
      <c r="X53" s="22"/>
      <c r="Y53" s="28">
        <v>1</v>
      </c>
      <c r="Z53" s="29"/>
    </row>
    <row r="54" s="1" customFormat="1" ht="20" customHeight="1" spans="1:26">
      <c r="A54" s="36"/>
      <c r="B54" s="11" t="s">
        <v>80</v>
      </c>
      <c r="C54" s="21">
        <v>1</v>
      </c>
      <c r="D54" s="12"/>
      <c r="E54" s="12">
        <v>60</v>
      </c>
      <c r="F54" s="12"/>
      <c r="G54" s="12"/>
      <c r="H54" s="12"/>
      <c r="I54" s="12"/>
      <c r="J54" s="22">
        <v>10</v>
      </c>
      <c r="K54" s="22"/>
      <c r="L54" s="22"/>
      <c r="M54" s="22"/>
      <c r="N54" s="12"/>
      <c r="O54" s="12"/>
      <c r="P54" s="12"/>
      <c r="Q54" s="12"/>
      <c r="R54" s="12"/>
      <c r="S54" s="12">
        <v>1</v>
      </c>
      <c r="T54" s="12">
        <v>1</v>
      </c>
      <c r="U54" s="12"/>
      <c r="V54" s="12"/>
      <c r="W54" s="12"/>
      <c r="X54" s="22"/>
      <c r="Y54" s="28">
        <v>1</v>
      </c>
      <c r="Z54" s="29"/>
    </row>
    <row r="55" s="1" customFormat="1" ht="20" customHeight="1" spans="1:26">
      <c r="A55" s="36"/>
      <c r="B55" s="11" t="s">
        <v>81</v>
      </c>
      <c r="C55" s="21">
        <v>6</v>
      </c>
      <c r="D55" s="12"/>
      <c r="E55" s="12">
        <v>10</v>
      </c>
      <c r="F55" s="12"/>
      <c r="G55" s="12"/>
      <c r="H55" s="12"/>
      <c r="I55" s="12"/>
      <c r="J55" s="22"/>
      <c r="K55" s="22"/>
      <c r="L55" s="22"/>
      <c r="M55" s="22"/>
      <c r="N55" s="12"/>
      <c r="O55" s="12"/>
      <c r="P55" s="12"/>
      <c r="Q55" s="12"/>
      <c r="R55" s="12"/>
      <c r="S55" s="12">
        <v>1</v>
      </c>
      <c r="T55" s="12">
        <v>1</v>
      </c>
      <c r="U55" s="12"/>
      <c r="V55" s="12"/>
      <c r="W55" s="12"/>
      <c r="X55" s="22"/>
      <c r="Y55" s="28">
        <v>1</v>
      </c>
      <c r="Z55" s="29"/>
    </row>
    <row r="56" s="1" customFormat="1" ht="20" customHeight="1" spans="1:26">
      <c r="A56" s="36"/>
      <c r="B56" s="11" t="s">
        <v>82</v>
      </c>
      <c r="C56" s="21">
        <v>5</v>
      </c>
      <c r="D56" s="12"/>
      <c r="E56" s="12">
        <v>20</v>
      </c>
      <c r="F56" s="12">
        <v>10</v>
      </c>
      <c r="G56" s="12"/>
      <c r="H56" s="12"/>
      <c r="I56" s="12"/>
      <c r="J56" s="22"/>
      <c r="K56" s="22"/>
      <c r="L56" s="22">
        <v>1</v>
      </c>
      <c r="M56" s="22"/>
      <c r="N56" s="12"/>
      <c r="O56" s="12"/>
      <c r="P56" s="12">
        <v>1</v>
      </c>
      <c r="Q56" s="12"/>
      <c r="R56" s="12"/>
      <c r="S56" s="12">
        <v>1</v>
      </c>
      <c r="T56" s="12">
        <v>1</v>
      </c>
      <c r="U56" s="12"/>
      <c r="V56" s="12"/>
      <c r="W56" s="12"/>
      <c r="X56" s="22"/>
      <c r="Y56" s="28">
        <v>1</v>
      </c>
      <c r="Z56" s="29"/>
    </row>
    <row r="57" s="1" customFormat="1" ht="20" customHeight="1" spans="1:26">
      <c r="A57" s="21" t="s">
        <v>83</v>
      </c>
      <c r="B57" s="11" t="s">
        <v>84</v>
      </c>
      <c r="C57" s="21">
        <v>7</v>
      </c>
      <c r="D57" s="12">
        <v>5</v>
      </c>
      <c r="E57" s="12"/>
      <c r="F57" s="12"/>
      <c r="G57" s="12"/>
      <c r="H57" s="12"/>
      <c r="I57" s="12"/>
      <c r="J57" s="22"/>
      <c r="K57" s="22"/>
      <c r="L57" s="22">
        <v>1</v>
      </c>
      <c r="M57" s="22"/>
      <c r="N57" s="12"/>
      <c r="O57" s="12"/>
      <c r="P57" s="12"/>
      <c r="Q57" s="12"/>
      <c r="R57" s="12"/>
      <c r="S57" s="12">
        <v>1</v>
      </c>
      <c r="T57" s="12">
        <v>1</v>
      </c>
      <c r="U57" s="12"/>
      <c r="V57" s="12"/>
      <c r="W57" s="12"/>
      <c r="X57" s="22"/>
      <c r="Y57" s="28">
        <v>1</v>
      </c>
      <c r="Z57" s="29"/>
    </row>
    <row r="58" s="1" customFormat="1" ht="20" customHeight="1" spans="1:26">
      <c r="A58" s="43" t="s">
        <v>85</v>
      </c>
      <c r="B58" s="11" t="s">
        <v>86</v>
      </c>
      <c r="C58" s="21">
        <v>8</v>
      </c>
      <c r="D58" s="12">
        <v>10</v>
      </c>
      <c r="E58" s="12"/>
      <c r="F58" s="12"/>
      <c r="G58" s="12"/>
      <c r="H58" s="12">
        <v>1</v>
      </c>
      <c r="I58" s="12"/>
      <c r="J58" s="22"/>
      <c r="K58" s="22"/>
      <c r="L58" s="22"/>
      <c r="M58" s="22"/>
      <c r="N58" s="12">
        <v>1</v>
      </c>
      <c r="O58" s="12"/>
      <c r="P58" s="12">
        <v>1</v>
      </c>
      <c r="Q58" s="12"/>
      <c r="R58" s="12"/>
      <c r="S58" s="12">
        <v>1</v>
      </c>
      <c r="T58" s="12">
        <v>1</v>
      </c>
      <c r="U58" s="12"/>
      <c r="V58" s="12"/>
      <c r="W58" s="12"/>
      <c r="X58" s="22"/>
      <c r="Y58" s="28">
        <v>1</v>
      </c>
      <c r="Z58" s="29"/>
    </row>
    <row r="59" s="1" customFormat="1" ht="20" customHeight="1" spans="1:26">
      <c r="A59" s="43"/>
      <c r="B59" s="11" t="s">
        <v>87</v>
      </c>
      <c r="C59" s="21">
        <v>4</v>
      </c>
      <c r="D59" s="12">
        <v>2</v>
      </c>
      <c r="E59" s="12"/>
      <c r="F59" s="12"/>
      <c r="G59" s="12"/>
      <c r="H59" s="12"/>
      <c r="I59" s="12"/>
      <c r="J59" s="22"/>
      <c r="K59" s="22"/>
      <c r="L59" s="22"/>
      <c r="M59" s="22"/>
      <c r="N59" s="12"/>
      <c r="O59" s="12"/>
      <c r="P59" s="12"/>
      <c r="Q59" s="12"/>
      <c r="R59" s="12"/>
      <c r="S59" s="12">
        <v>1</v>
      </c>
      <c r="T59" s="12">
        <v>1</v>
      </c>
      <c r="U59" s="12"/>
      <c r="V59" s="12"/>
      <c r="W59" s="12"/>
      <c r="X59" s="22"/>
      <c r="Y59" s="28">
        <v>1</v>
      </c>
      <c r="Z59" s="29"/>
    </row>
    <row r="60" s="1" customFormat="1" ht="20" customHeight="1" spans="1:26">
      <c r="A60" s="48"/>
      <c r="B60" s="11" t="s">
        <v>88</v>
      </c>
      <c r="C60" s="21">
        <v>25</v>
      </c>
      <c r="D60" s="12"/>
      <c r="E60" s="12"/>
      <c r="F60" s="12"/>
      <c r="G60" s="12"/>
      <c r="H60" s="12"/>
      <c r="I60" s="12"/>
      <c r="J60" s="22"/>
      <c r="K60" s="22"/>
      <c r="L60" s="22">
        <v>1</v>
      </c>
      <c r="M60" s="22"/>
      <c r="N60" s="12"/>
      <c r="O60" s="12"/>
      <c r="P60" s="12"/>
      <c r="Q60" s="12"/>
      <c r="R60" s="12"/>
      <c r="S60" s="12">
        <v>1</v>
      </c>
      <c r="T60" s="12">
        <v>1</v>
      </c>
      <c r="U60" s="12"/>
      <c r="V60" s="12"/>
      <c r="W60" s="12"/>
      <c r="X60" s="22"/>
      <c r="Y60" s="28">
        <v>1</v>
      </c>
      <c r="Z60" s="29"/>
    </row>
    <row r="61" s="1" customFormat="1" ht="20" customHeight="1" spans="1:26">
      <c r="A61" s="56" t="s">
        <v>48</v>
      </c>
      <c r="B61" s="57"/>
      <c r="C61" s="29"/>
      <c r="D61" s="58" cm="1">
        <f t="array" ref="D61">SUMPRODUCT(C5:C60*D5:D60)</f>
        <v>1966</v>
      </c>
      <c r="E61" s="58" cm="1">
        <f t="array" ref="E61">SUMPRODUCT(C5:C60*E5:E60)</f>
        <v>1365</v>
      </c>
      <c r="F61" s="58" cm="1">
        <f t="array" ref="F61">SUMPRODUCT(C5:C60*F5:F60)</f>
        <v>653</v>
      </c>
      <c r="G61" s="58" cm="1">
        <f t="array" ref="G61">SUMPRODUCT(C5:C60*G5:G60)</f>
        <v>26</v>
      </c>
      <c r="H61" s="58" cm="1">
        <f t="array" ref="H61">SUMPRODUCT(C5:C60*H5:H60)</f>
        <v>60</v>
      </c>
      <c r="I61" s="58" cm="1">
        <f t="array" ref="I61">SUMPRODUCT(C5:C60*I5:I60)</f>
        <v>18</v>
      </c>
      <c r="J61" s="58" cm="1">
        <f t="array" ref="J61">SUMPRODUCT(C5:C60*J5:J60)</f>
        <v>491</v>
      </c>
      <c r="K61" s="58" cm="1">
        <f t="array" ref="K61">SUMPRODUCT(C5:C60*K5:K60)</f>
        <v>8</v>
      </c>
      <c r="L61" s="58" cm="1">
        <f t="array" ref="L61">SUMPRODUCT(C5:C60*L5:L60)</f>
        <v>61</v>
      </c>
      <c r="M61" s="58" cm="1">
        <f t="array" ref="M61">SUMPRODUCT(C5:C60*M5:M60)</f>
        <v>10</v>
      </c>
      <c r="N61" s="58" cm="1">
        <f t="array" ref="N61">SUMPRODUCT(C5:C60*N5:N60)</f>
        <v>218</v>
      </c>
      <c r="O61" s="58" cm="1">
        <f t="array" ref="O61">SUMPRODUCT(C5:C60*O5:O60)</f>
        <v>10</v>
      </c>
      <c r="P61" s="58" cm="1">
        <f t="array" ref="P61">SUMPRODUCT(C5:C60*P5:P60)</f>
        <v>16</v>
      </c>
      <c r="Q61" s="58" cm="1">
        <f t="array" ref="Q61">SUMPRODUCT(C5:C60*Q5:Q60)</f>
        <v>4</v>
      </c>
      <c r="R61" s="58" cm="1">
        <f t="array" ref="R61">SUMPRODUCT(C5:C60*R5:R60)</f>
        <v>12</v>
      </c>
      <c r="S61" s="58" cm="1">
        <f t="array" ref="S61">SUMPRODUCT(C5:C60*S5:S60)</f>
        <v>240</v>
      </c>
      <c r="T61" s="58" cm="1">
        <f t="array" ref="T61">SUMPRODUCT(C5:C60*T5:T60)</f>
        <v>244</v>
      </c>
      <c r="U61" s="58" cm="1">
        <f t="array" ref="U61">SUMPRODUCT(C5:C60*U5:U60)</f>
        <v>0</v>
      </c>
      <c r="V61" s="58" cm="1">
        <f t="array" ref="V61">SUMPRODUCT(C5:C60*V5:V60)</f>
        <v>44</v>
      </c>
      <c r="W61" s="58" cm="1">
        <f t="array" ref="W61">SUMPRODUCT(C5:C60*W5:W60)</f>
        <v>185</v>
      </c>
      <c r="X61" s="58" cm="1">
        <f t="array" ref="X61">SUMPRODUCT(C5:C60*X5:X60)</f>
        <v>8</v>
      </c>
      <c r="Y61" s="58" cm="1">
        <f t="array" ref="Y61">SUMPRODUCT(C5:C60*Y5:Y60)</f>
        <v>275</v>
      </c>
      <c r="Z61" s="29"/>
    </row>
    <row r="62" s="1" customFormat="1" spans="1:26">
      <c r="A62" s="59"/>
      <c r="B62" s="59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="1" customFormat="1" spans="1:26">
      <c r="A63" s="59"/>
      <c r="B63" s="59"/>
      <c r="C63" s="3"/>
      <c r="D63" s="3"/>
      <c r="F63" s="3"/>
      <c r="G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="1" customFormat="1" spans="1:26">
      <c r="A64" s="59"/>
      <c r="B64" s="59"/>
      <c r="C64" s="3"/>
      <c r="D64" s="3"/>
      <c r="F64" s="3"/>
      <c r="G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="1" customFormat="1" spans="1:24">
      <c r="A65" s="59"/>
      <c r="B65" s="59"/>
      <c r="C65" s="3"/>
      <c r="D65" s="3"/>
      <c r="F65" s="3"/>
      <c r="G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="1" customFormat="1" spans="1:24">
      <c r="A66" s="59"/>
      <c r="B66" s="59"/>
      <c r="C66" s="3"/>
      <c r="D66" s="3"/>
      <c r="F66" s="3"/>
      <c r="G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="1" customFormat="1" spans="1:24"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</sheetData>
  <mergeCells count="36">
    <mergeCell ref="A1:X1"/>
    <mergeCell ref="B3:C3"/>
    <mergeCell ref="E3:Z3"/>
    <mergeCell ref="A61:B61"/>
    <mergeCell ref="A3:A4"/>
    <mergeCell ref="A5:A17"/>
    <mergeCell ref="A18:A25"/>
    <mergeCell ref="A26:A31"/>
    <mergeCell ref="A32:A47"/>
    <mergeCell ref="A49:A52"/>
    <mergeCell ref="A53:A56"/>
    <mergeCell ref="A58:A60"/>
    <mergeCell ref="C36:C39"/>
    <mergeCell ref="D36:D39"/>
    <mergeCell ref="E36:E39"/>
    <mergeCell ref="F36:F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S40:S43"/>
    <mergeCell ref="T36:T39"/>
    <mergeCell ref="U36:U39"/>
    <mergeCell ref="V36:V39"/>
    <mergeCell ref="W36:W39"/>
    <mergeCell ref="X36:X39"/>
    <mergeCell ref="Y36:Y39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103统计员陆春晓</cp:lastModifiedBy>
  <dcterms:created xsi:type="dcterms:W3CDTF">2026-06-18T06:04:00Z</dcterms:created>
  <dcterms:modified xsi:type="dcterms:W3CDTF">2026-09-12T00:04:31Z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2BE4E9E6D0264EB5853951139F87FD36_13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