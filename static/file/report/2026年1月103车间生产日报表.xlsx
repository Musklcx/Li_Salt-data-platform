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睿勤统计员\1_生产报表\2026\1月\"/>
    </mc:Choice>
  </mc:AlternateContent>
  <bookViews>
    <workbookView windowWidth="28800" windowHeight="12375" firstSheet="17" activeTab="35"/>
  </bookViews>
  <sheets>
    <sheet name="12.26" sheetId="2" r:id="rId1"/>
    <sheet name="12.27" sheetId="3" r:id="rId2"/>
    <sheet name="12.28" sheetId="4" r:id="rId3"/>
    <sheet name="12.29" sheetId="5" r:id="rId4"/>
    <sheet name="12.30" sheetId="6" r:id="rId5"/>
    <sheet name="12.31" sheetId="7" r:id="rId6"/>
    <sheet name="1.1" sheetId="8" r:id="rId7"/>
    <sheet name="1.2" sheetId="9" r:id="rId8"/>
    <sheet name="1.3" sheetId="10" r:id="rId9"/>
    <sheet name="1.4" sheetId="11" r:id="rId10"/>
    <sheet name="1.5" sheetId="12" r:id="rId11"/>
    <sheet name="1.6" sheetId="13" r:id="rId12"/>
    <sheet name="1.7" sheetId="14" r:id="rId13"/>
    <sheet name="1.8" sheetId="15" r:id="rId14"/>
    <sheet name="1.9" sheetId="16" r:id="rId15"/>
    <sheet name="1.10" sheetId="17" r:id="rId16"/>
    <sheet name="1.11" sheetId="18" r:id="rId17"/>
    <sheet name="1.12" sheetId="19" r:id="rId18"/>
    <sheet name="1.13" sheetId="20" r:id="rId19"/>
    <sheet name="1.14" sheetId="21" r:id="rId20"/>
    <sheet name="1.15" sheetId="22" r:id="rId21"/>
    <sheet name="1.16" sheetId="23" r:id="rId22"/>
    <sheet name="1.17" sheetId="24" r:id="rId23"/>
    <sheet name="1.18" sheetId="25" r:id="rId24"/>
    <sheet name="1.19" sheetId="26" r:id="rId25"/>
    <sheet name="1.20" sheetId="27" r:id="rId26"/>
    <sheet name="1.21" sheetId="28" r:id="rId27"/>
    <sheet name="1.22" sheetId="29" r:id="rId28"/>
    <sheet name="1.23" sheetId="30" r:id="rId29"/>
    <sheet name="1.24" sheetId="31" r:id="rId30"/>
    <sheet name="1.25" sheetId="32" r:id="rId31"/>
    <sheet name="1.26" sheetId="33" r:id="rId32"/>
    <sheet name="1.27" sheetId="34" r:id="rId33"/>
    <sheet name="1.28" sheetId="35" r:id="rId34"/>
    <sheet name="1.29" sheetId="36" r:id="rId35"/>
    <sheet name="1.30" sheetId="37" r:id="rId36"/>
    <sheet name="1.31" sheetId="38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comments3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9"/>
            <rFont val="宋体"/>
            <charset val="134"/>
          </rPr>
          <t xml:space="preserve">达成生产计划每天
需完成的碳酸锂产量
</t>
        </r>
      </text>
    </comment>
    <comment ref="E9" authorId="1">
      <text>
        <r>
          <rPr>
            <sz val="9"/>
            <rFont val="宋体"/>
            <charset val="134"/>
          </rPr>
          <t>外卖吨数累计</t>
        </r>
      </text>
    </comment>
    <comment ref="G9" authorId="1">
      <text>
        <r>
          <rPr>
            <sz val="9"/>
            <rFont val="宋体"/>
            <charset val="134"/>
          </rPr>
          <t>外卖硫酸锂锂金属累计</t>
        </r>
      </text>
    </comment>
    <comment ref="K9" authorId="0">
      <text>
        <r>
          <rPr>
            <sz val="9"/>
            <rFont val="宋体"/>
            <charset val="134"/>
          </rPr>
          <t xml:space="preserve">外卖硫酸锂含量
</t>
        </r>
      </text>
    </comment>
    <comment ref="L9" authorId="0">
      <text>
        <r>
          <rPr>
            <sz val="9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消耗</t>
        </r>
      </text>
    </comment>
    <comment ref="J1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接锂金属量</t>
        </r>
      </text>
    </comment>
    <comment ref="K15" authorId="1">
      <text>
        <r>
          <rPr>
            <b/>
            <sz val="9"/>
            <rFont val="宋体"/>
            <charset val="134"/>
          </rPr>
          <t>金属锂合计</t>
        </r>
      </text>
    </comment>
    <comment ref="I1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I19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碳酸锂消耗</t>
        </r>
      </text>
    </comment>
    <comment ref="G21" authorId="1">
      <text>
        <r>
          <rPr>
            <sz val="9"/>
            <rFont val="宋体"/>
            <charset val="134"/>
          </rPr>
          <t>锂渣回投</t>
        </r>
      </text>
    </comment>
    <comment ref="H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运行时间</t>
        </r>
      </text>
    </comment>
    <comment ref="I2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小时蒸发量</t>
        </r>
      </text>
    </comment>
    <comment ref="I2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蒸发器进料量</t>
        </r>
      </text>
    </comment>
  </commentList>
</comments>
</file>

<file path=xl/sharedStrings.xml><?xml version="1.0" encoding="utf-8"?>
<sst xmlns="http://schemas.openxmlformats.org/spreadsheetml/2006/main" count="3910" uniqueCount="194">
  <si>
    <t>103车间12月26日生产情况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</si>
  <si>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</si>
  <si>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</si>
  <si>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</si>
  <si>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</si>
  <si>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</si>
  <si>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</si>
  <si>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</si>
  <si>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</si>
  <si>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</si>
  <si>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</si>
  <si>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</si>
  <si>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</si>
  <si>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</si>
  <si>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</si>
  <si>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</si>
  <si>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其中有上月结存入库</t>
  </si>
  <si>
    <t>硫酸钠（干料）</t>
  </si>
  <si>
    <t>硫酸钠（湿料）</t>
  </si>
  <si>
    <t>硫酸钠杂质料</t>
  </si>
  <si>
    <t>硫酸钠落地料</t>
  </si>
  <si>
    <t>外售硫酸锂</t>
  </si>
  <si>
    <t>车间剩余硫酸锂量（车）</t>
  </si>
  <si>
    <t>液碱</t>
  </si>
  <si>
    <t>硫酸</t>
  </si>
  <si>
    <t>合成前液</t>
  </si>
  <si>
    <t>m³</t>
  </si>
  <si>
    <t>接102气浮除油后液</t>
  </si>
  <si>
    <t>硫化钠</t>
  </si>
  <si>
    <t>累计接料锂金属量</t>
  </si>
  <si>
    <t>碳酸钠</t>
  </si>
  <si>
    <t>偏铝酸钠</t>
  </si>
  <si>
    <t>除氟剂</t>
  </si>
  <si>
    <t>活性炭</t>
  </si>
  <si>
    <t>活性炭渣</t>
  </si>
  <si>
    <t>包</t>
  </si>
  <si>
    <t>锂渣</t>
  </si>
  <si>
    <t>冷凝水</t>
  </si>
  <si>
    <t>蒸发前液进料累计量</t>
  </si>
  <si>
    <t>二效氯离子量</t>
  </si>
  <si>
    <t>g/L</t>
  </si>
  <si>
    <t>需协调事项</t>
  </si>
  <si>
    <t>1、203尾气液位计结晶，需更换为雷达液位计；
2、现有铰刀盘根更换为轴密封；
3、振动筛进出口软连接易坏，更换铰刀可以避免软连接坏，可以省电，请设备尽快安排；</t>
  </si>
  <si>
    <t>维修事宜</t>
  </si>
  <si>
    <t>1、沸腾床预热器蒸汽回水管漏水,安装水罐；
2、除COD A、B釜母液进料管道需重做，待生产停止后更换；
3、换热器漏水严重，漏水管更换；</t>
  </si>
  <si>
    <t>计划情况</t>
  </si>
  <si>
    <t>1、蒸发正常开机，关注碳酸锂颜色；
2、清理卫生；
3、外协施工时注意安全监护；
4、关注外排水PH、镍指标。</t>
  </si>
  <si>
    <t>104车间12月26日生产情况</t>
  </si>
  <si>
    <t>序号</t>
  </si>
  <si>
    <t>内容</t>
  </si>
  <si>
    <t>接102废液</t>
  </si>
  <si>
    <t>接102返镁液</t>
  </si>
  <si>
    <t>接生活废水</t>
  </si>
  <si>
    <t>接磷酸锂母液</t>
  </si>
  <si>
    <t>使用氧化钙</t>
  </si>
  <si>
    <t>使用自来水</t>
  </si>
  <si>
    <t>外排水</t>
  </si>
  <si>
    <t>废钴水处理量</t>
  </si>
  <si>
    <t>雨水池处理量</t>
  </si>
  <si>
    <t>除COD池处理量</t>
  </si>
  <si>
    <t>钴渣产出</t>
  </si>
  <si>
    <t>1、下雨应急水池关闭，外排打开；
2、104正常处理废水；</t>
  </si>
  <si>
    <t>补充</t>
  </si>
  <si>
    <t xml:space="preserve"> </t>
  </si>
  <si>
    <t>103车间12月27日生产情况</t>
  </si>
  <si>
    <t>1、沸腾床预热器蒸汽回水管漏水,安装水罐；
2、除COD A、B釜母液进料管道需重做，待生产停止后更换；
3、换热器漏水严重，漏水管更换；
4、机封水备用泵管道连接。</t>
  </si>
  <si>
    <t>1、蒸发正常开机，关注碳酸锂颜色；
2、清理卫生；
3、外协施工时注意安全监护；
4、关注外排水PH、镍指标；
5、碳酸锂包装安装真空上料机。</t>
  </si>
  <si>
    <t>104车间12月27日生产情况</t>
  </si>
  <si>
    <t>103车间12月28日生产情况</t>
  </si>
  <si>
    <t>1、203尾气液位计结晶，需更换为雷达液位计；
2、现有铰刀盘根更换为轴密封；
3、沸腾床出口铰刀到货后尽快更换；                    
4、沸腾床预热器蒸汽回水管漏水,安装水罐；
5、除COD A、B釜母液进料管道需重做，待生产停止后更换；
6、换热器漏水严重，漏水管更换；</t>
  </si>
  <si>
    <t>1、硫酸罐进口管道气动阀门更换；
2、真空泵排气口噪音大；
3、冲洗沸腾床软管更换。</t>
  </si>
  <si>
    <t>104车间12月28日生产情况</t>
  </si>
  <si>
    <t>103车间12月29日生产情况</t>
  </si>
  <si>
    <t>1、203尾气液位计结晶，需更换为雷达液位计；
2、现有铰刀盘根更换为轴密封；
3、沸腾床出口铰刀到货后尽快更换；                    
4、沸腾床预热器蒸汽回水管漏水,安装水罐；
5、除COD A、B釜母液进料管道需重做，待生产停止后更换；
6、换热器漏水严重，漏水管更换；
7、真空泵排气口噪音大，联系单已下；</t>
  </si>
  <si>
    <t>104车间12月29日生产情况</t>
  </si>
  <si>
    <t>103车间12月30日生产情况</t>
  </si>
  <si>
    <t>1、203尾气液位计结晶，需更换为雷达液位计；
2、现有铰刀盘根更换为轴密封；
3、沸腾床出口铰刀到货后尽快更换；                    
4、沸腾床预热器蒸汽回水管漏水,安装水罐；
5、除COD A、B釜母液进料管道需重做，待生产停止后更换；
6、换热器漏水严重，漏水管更换；
7、真空泵排气口噪音大，联系单已下；
8、压滤机不锈钢堵头尺码不对需更换。</t>
  </si>
  <si>
    <t>1、机封水泵、沉锂泵、母液泵、2#风机冷凝水泵机封漏需更换；
2、碳酸锂罗茨风机排气口需要外接；
3、除氟B泵出口软连接管道漏料需更换。</t>
  </si>
  <si>
    <t>1、蒸发下午停机退料元明粉出净管道排空，关注碳酸锂颜色；
2、下午停蒸汽停车做好管道防冻工作后清罐；
2、清理卫生；
3、外协施工时注意安全监护；
4、关注外排水PH、镍指标。</t>
  </si>
  <si>
    <t>104车间12月30日生产情况</t>
  </si>
  <si>
    <t>103车间12月31日生产情况</t>
  </si>
  <si>
    <t>104车间12月31日生产情况</t>
  </si>
  <si>
    <t>103车间1月1日生产情况</t>
  </si>
  <si>
    <t>停蒸汽</t>
  </si>
  <si>
    <t>104车间1月1日生产情况</t>
  </si>
  <si>
    <t>103车间1月2日生产情况</t>
  </si>
  <si>
    <t>1、203尾气液位计结晶，需更换为雷达液位计；
2、现有铰刀盘根更换为轴密封；
3、沸腾床出口铰刀到货后尽快更换；                    
4、沸腾床预热器蒸汽回水管漏水,安装水罐；
5、换热器漏水严重，漏水管更换；
6、真空泵排气口噪音大，联系单已下；
7、压滤机不锈钢堵头尺码不对需更换。</t>
  </si>
  <si>
    <t>104车间1月2日生产情况</t>
  </si>
  <si>
    <t>103车间1月3日生产情况</t>
  </si>
  <si>
    <t>1、203尾气液位计结晶，需更换为雷达液位计；
2、现有铰刀盘根更换为轴密封；
3、沸腾床出口铰刀到货后尽快更换；                    
4、沸腾床预热器漏气,安装水罐；
5、真空泵排气口噪音大，联系单已下；
6、压滤机不锈钢堵头尺码不对需更换。</t>
  </si>
  <si>
    <t>1、合成釜尾气管道加固；
2、元明粉离心机下铰刀做盖板；
3、冲洗铰刀水管做三通。</t>
  </si>
  <si>
    <t>104车间1月3日生产情况</t>
  </si>
  <si>
    <t>103车间1月4日生产情况</t>
  </si>
  <si>
    <t>1、换热器漏风量太大，需平一下。</t>
  </si>
  <si>
    <t>1、蒸发正常开机，关注碳酸锂颜色；
2、清理卫生；
3、清罐清理出来的碳酸锂剩余1袋回投；
4、外协施工时注意安全监护；
5、关注外排水PH、镍指标；
6、关注元明粉离心机出料情况，近期易压沸腾床。</t>
  </si>
  <si>
    <t>104车间1月4日生产情况</t>
  </si>
  <si>
    <t>103车间1月5日生产情况</t>
  </si>
  <si>
    <t>1、沉锂泵去除杂管路包保温，需尽快安排；
2、震动筷震动小压床；
3、硫酸锂已有4车需尽快外卖。</t>
  </si>
  <si>
    <t>1、蒸发正常开机，关注碳酸锂颜色；
2、清理卫生；
3、外协施工时注意安全监护；
4、关注外排水PH、镍指标；
5、关注元明粉离心机出料情况，近期易压沸腾床。</t>
  </si>
  <si>
    <t>104车间1月5日生产情况</t>
  </si>
  <si>
    <t>钴渣21袋</t>
  </si>
  <si>
    <t>1、下雨应急水池关闭，外排打开；
2、104正常处理废水；
3、钴渣21袋需尽快送101回投。</t>
  </si>
  <si>
    <t>103车间1月6日生产情况</t>
  </si>
  <si>
    <t>氯根含量高，退硫酸锂</t>
  </si>
  <si>
    <t>1、沉锂泵去除杂管路包保温，需尽快安排；
2、硫酸锂剩余4车需尽快外卖；</t>
  </si>
  <si>
    <t xml:space="preserve">1、蒸发正常开机；
2、清理卫生；
3、外协施工时注意安全监护；
4、关注外排水PH、镍指标；
</t>
  </si>
  <si>
    <t>104车间1月6日生产情况</t>
  </si>
  <si>
    <t>1、下雨应急水池关闭，外排打开；
2、104正常处理废水；
3、钴渣需尽快送101回投。</t>
  </si>
  <si>
    <t>103车间1月7日生产情况</t>
  </si>
  <si>
    <t>104车间1月7日生产情况</t>
  </si>
  <si>
    <t>1、下雨应急水池关闭，外排打开；
2、104正常处理废水；
3、钴渣需尽快送101回投；
4、除COD池泵接到去絮凝一体机。</t>
  </si>
  <si>
    <t>103车间1月8日生产情况</t>
  </si>
  <si>
    <t>1、沉锂泵去除杂管路包保温，需尽快安排；
2、母液泵机封漏料需维修；
3、二次浆洗B液位计不准，建议移动一下位置；
4、沸腾床底部多处漏水需检测维修。</t>
  </si>
  <si>
    <t>104车间1月8日生产情况</t>
  </si>
  <si>
    <t>1、下雨应急水池关闭，外排打开；
2、104正常处理废水；
3、钴渣需尽快送101回投；</t>
  </si>
  <si>
    <t>103车间1月9日生产情况</t>
  </si>
  <si>
    <t>1、沉锂泵去除杂管路包保温，需尽快安排；
2、引风机出口软连接坏需要更换。</t>
  </si>
  <si>
    <t>104车间1月9日生产情况</t>
  </si>
  <si>
    <t>103车间1月10日生产情况</t>
  </si>
  <si>
    <t>104车间1月10日生产情况</t>
  </si>
  <si>
    <t>103车间1月11日生产情况</t>
  </si>
  <si>
    <t xml:space="preserve">1、沉锂泵去除杂管路包保温，需尽快安排；
</t>
  </si>
  <si>
    <t xml:space="preserve">1、蒸发正常开机，关注蒸发量；
2、清理卫生；
3、外协施工时注意安全监护；
4、关注外排水PH、镍指标；
</t>
  </si>
  <si>
    <t>104车间1月11日生产情况</t>
  </si>
  <si>
    <t>103车间1月12日生产情况</t>
  </si>
  <si>
    <t>1、沉锂泵去除杂管路包保温，需尽快安排；</t>
  </si>
  <si>
    <t>104车间1月12日生产情况</t>
  </si>
  <si>
    <t>103车间1月13日生产情况</t>
  </si>
  <si>
    <t>1、沉锂泵去除杂管路包保温，需尽快安排；
2、碳酸锂离心机绞龙偷停。</t>
  </si>
  <si>
    <t>104车间1月13日生产情况</t>
  </si>
  <si>
    <t>103车间1月14日生产情况</t>
  </si>
  <si>
    <t>1、203尾气液位计结晶，需更换为雷达液位计；
2、现有铰刀盘根更换为轴密封；
3、沸腾床出口铰刀到货后尽快更换；                    
4、沸腾床预热器漏气,安装水罐；
5、真空泵排气口噪音大，厂家已来查看采取临时措施；
6、压滤机不锈钢堵头尺码不对需更换；
7、沉锂泵去除杂管路包保温，需尽快安排。</t>
  </si>
  <si>
    <t>1、碳酸锂离心机绞龙总偷停，频次很高急需维修。</t>
  </si>
  <si>
    <t xml:space="preserve">1、蒸发正常开机，关注蒸发量，预估退一车外卖硫酸锂；
2、清洗二级除油B压滤机、渣浆化槽及进出管道；
3、清理卫生；
4、外协施工时注意安全监护；
5、关注外排水PH、镍指标；
</t>
  </si>
  <si>
    <t>104车间1月14日生产情况</t>
  </si>
  <si>
    <t>103车间1月15日生产情况</t>
  </si>
  <si>
    <t>1、工程师、技术员尽快到岗；
2、因工人都是附近村民，造成一家有事车间多人请假，给车间工作带来诸多不利。</t>
  </si>
  <si>
    <t>1、二级除油B渣浆槽搅拌电机噪音较大；
2、MVR压缩机进口汽水分离、出口泵与液位连锁需重新设定。</t>
  </si>
  <si>
    <t xml:space="preserve">1、蒸发正常开机，关注蒸发量；
2、清理卫生；
3、外协施工时注意安全监护；
4、关注外排水PH、镍指标；
5、清洗二级除油B压滤机及管道，清理干净后更换滤布，过滤一次洗液去配置碳酸钠。
</t>
  </si>
  <si>
    <t>104车间1月15日生产情况</t>
  </si>
  <si>
    <t>103车间1月16日生产情况</t>
  </si>
  <si>
    <t xml:space="preserve">1、蒸发正常开机，关注蒸发量；
2、清理卫生；
3、外协施工时注意安全监护；
4、关注外排水PH、镍指标。
</t>
  </si>
  <si>
    <t>104车间1月16日生产情况</t>
  </si>
  <si>
    <t>103车间1月17日生产情况</t>
  </si>
  <si>
    <t>104车间1月17日生产情况</t>
  </si>
  <si>
    <t>103车间1月18日生产情况</t>
  </si>
  <si>
    <t>1、203尾气引风机进口软连接坏需更换；
2、103车间东边楼梯照明灯损坏需更换；
3、沉锂泵机封漏需更换。</t>
  </si>
  <si>
    <t>104车间1月18日生产情况</t>
  </si>
  <si>
    <t>103车间1月19日生产情况</t>
  </si>
  <si>
    <t>1、不凝气去104水管冻住；</t>
  </si>
  <si>
    <t xml:space="preserve">1、蒸发正在开机中；
2、清理卫生；
3、外协施工时注意安全监护；
4、关注外排水PH、镍指标。
</t>
  </si>
  <si>
    <t>104车间1月19日生产情况</t>
  </si>
  <si>
    <t>103车间1月20日生产情况</t>
  </si>
  <si>
    <t>1、真空上料机厂家20号来解决噪音大问题，现未解决；</t>
  </si>
  <si>
    <t>1、元明粉2#离心机总跳闸；
2、元明粉包装机墩袋后挂钩不升起；
3、磷酸锂压滤机保压后过几分钟后自动泄压。</t>
  </si>
  <si>
    <t>104车间1月20日生产情况</t>
  </si>
  <si>
    <t>103车间1月21日生产情况</t>
  </si>
  <si>
    <t xml:space="preserve">1、元明粉引风机跳闸，风量不够；
</t>
  </si>
  <si>
    <t>104车间1月21日生产情况</t>
  </si>
  <si>
    <t>103车间1月22日生产情况</t>
  </si>
  <si>
    <t xml:space="preserve">1、沸腾床进料需加布料器，要不易堵床；
2、真空上料机厂家已到现场，但噪音大问题仍未解决；
3、盘干机加热盘和沸腾床预热器漏需尽快修复，现天气温度低达不到烘干温度。
</t>
  </si>
  <si>
    <t xml:space="preserve">1、除氟压滤机B卸渣松不开需维修；
2、管廊上新安装的管道不稳需固定。
</t>
  </si>
  <si>
    <t xml:space="preserve">1、蒸发正常开机，关注蒸发量；
2、清理卫生；
3、外协施工时注意安全监护；
4、关注外排水PH、镍指标；
5、雨水池今天处理完毕。
</t>
  </si>
  <si>
    <t>104车间1月22日生产情况</t>
  </si>
  <si>
    <t>103车间1月23日生产情况</t>
  </si>
  <si>
    <t xml:space="preserve">1、沸腾床进料需加布料器，要不易堵床；
2、真空上料机厂家未解决噪音大问题，考虑挪位置到室外；
3、盘干机加热盘和沸腾床预热器漏需尽快修复，现天气温度低达不到烘干温度；
4、元明粉包装区域做围堰开排水口排到MVR区域，并做好防腐；
</t>
  </si>
  <si>
    <t xml:space="preserve">1、一级除油釜B（V10302B）减速机声响大需检查；
</t>
  </si>
  <si>
    <t>104车间1月23日生产情况</t>
  </si>
  <si>
    <t>103车间1月24日生产情况</t>
  </si>
  <si>
    <t>104车间1月24日生产情况</t>
  </si>
  <si>
    <t>103车间1月25日生产情况</t>
  </si>
  <si>
    <t>/</t>
  </si>
  <si>
    <t>锂渣全部回投</t>
  </si>
  <si>
    <t xml:space="preserve">
</t>
  </si>
  <si>
    <t xml:space="preserve">1、盘干机蒸汽管线改造，用三个短接把疏水阀换下来，冷却水改为蒸汽加热；
2、除氟回投锂渣需做投料口
</t>
  </si>
  <si>
    <t>104车间1月25日生产情况</t>
  </si>
  <si>
    <t>已处理完</t>
  </si>
  <si>
    <t>103车间1月26日生产情况</t>
  </si>
  <si>
    <t xml:space="preserve">1、盘干机蒸汽管线改造，用三个短接把疏水阀换下来，冷却水改为蒸汽加热，今天管道对口；
2、碳酸钠配置压滤管道漏需维修；
</t>
  </si>
  <si>
    <t>104车间1月26日生产情况</t>
  </si>
  <si>
    <t>103车间1月27日生产情况</t>
  </si>
  <si>
    <t>104车间1月27日生产情况</t>
  </si>
  <si>
    <t>103车间1月28日生产情况</t>
  </si>
  <si>
    <t xml:space="preserve">1、蒸发前液走完后MVR停机，准备清理蒸发前液储槽；
2、安排人员清理104清理雨水池渣及岗位卫生；
3、外协施工时注意安全监护；
4、关注外排水PH、镍指标。
</t>
  </si>
  <si>
    <t>104车间1月28日生产情况</t>
  </si>
  <si>
    <t>103车间1月29日生产情况</t>
  </si>
  <si>
    <t xml:space="preserve">1、除重、除氟、蒸发预调料已倒空，进行泵对口；
2、安排人员处理9米层及车间卫生，更换滤布；
3、外协施工时注意安全监护；
4、关注外排水PH、镍指标。
</t>
  </si>
  <si>
    <t>104车间1月29日生产情况</t>
  </si>
  <si>
    <t>103车间1月30日生产情况</t>
  </si>
  <si>
    <t xml:space="preserve">1、蒸发预调新压滤机加油、接电调试；
2、清理卫生；
3、外协施工时注意安全监护；
4、关注外排水PH、镍指标。
</t>
  </si>
  <si>
    <t>104车间1月30日生产情况</t>
  </si>
  <si>
    <t>103车间1月31日生产情况</t>
  </si>
  <si>
    <t xml:space="preserve">1、蒸发开机中，关注运行情况；
2、清理卫生；
3、外协施工时注意安全监护；
4、关注外排水PH、镍指标。
</t>
  </si>
  <si>
    <t>104车间1月31日生产情况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</si>
</sst>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comments" Target="../comments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comments" Target="../comments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comments" Target="../comments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comments" Target="../comments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comments" Target="../comments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7" workbookViewId="0">
      <selection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6.5</v>
      </c>
      <c r="E3" s="11">
        <f t="shared" ref="E3:E8" si="0">C3+D3</f>
        <v>13</v>
      </c>
      <c r="F3" s="11" t="s">
        <v>14</v>
      </c>
      <c r="G3" s="11">
        <f>13</f>
        <v>13</v>
      </c>
      <c r="H3" s="11">
        <v>303</v>
      </c>
      <c r="I3" s="11">
        <f>H3-G3</f>
        <v>290</v>
      </c>
      <c r="J3" s="11"/>
      <c r="K3" s="11"/>
      <c r="L3" s="11"/>
      <c r="M3" s="12">
        <f>I3/30</f>
        <v>9.66666666666667</v>
      </c>
    </row>
    <row r="4" s="1" customFormat="1" ht="56" customHeight="1" spans="1:13">
      <c r="A4" s="13">
        <v>2</v>
      </c>
      <c r="B4" s="9" t="s">
        <v>15</v>
      </c>
      <c r="C4" s="12">
        <v>20</v>
      </c>
      <c r="D4" s="12"/>
      <c r="E4" s="11">
        <f t="shared" si="0"/>
        <v>20</v>
      </c>
      <c r="F4" s="11" t="s">
        <v>14</v>
      </c>
      <c r="G4" s="11">
        <f>20</f>
        <v>20</v>
      </c>
      <c r="H4" s="14"/>
      <c r="I4" s="14"/>
      <c r="J4" s="11" t="s">
        <v>16</v>
      </c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77</v>
      </c>
      <c r="D5" s="12">
        <v>83</v>
      </c>
      <c r="E5" s="11">
        <f t="shared" si="0"/>
        <v>160</v>
      </c>
      <c r="F5" s="11" t="s">
        <v>14</v>
      </c>
      <c r="G5" s="11">
        <f>160</f>
        <v>160</v>
      </c>
      <c r="H5" s="14">
        <v>4120</v>
      </c>
      <c r="I5" s="14">
        <f>H5-G5-G7-G6</f>
        <v>3957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1</v>
      </c>
      <c r="D7" s="12">
        <v>2</v>
      </c>
      <c r="E7" s="11">
        <f t="shared" si="0"/>
        <v>3</v>
      </c>
      <c r="F7" s="11" t="s">
        <v>14</v>
      </c>
      <c r="G7" s="11">
        <f>3</f>
        <v>3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0</f>
        <v>0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v>0</v>
      </c>
      <c r="F9" s="14" t="s">
        <v>14</v>
      </c>
      <c r="G9" s="14">
        <f>0</f>
        <v>0</v>
      </c>
      <c r="H9" s="14">
        <v>5.6</v>
      </c>
      <c r="I9" s="14">
        <f>H9-G9</f>
        <v>5.6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4.644</v>
      </c>
      <c r="D11" s="11">
        <v>1.917</v>
      </c>
      <c r="E11" s="11">
        <f>C11+D11</f>
        <v>6.561</v>
      </c>
      <c r="F11" s="11" t="s">
        <v>14</v>
      </c>
      <c r="G11" s="11">
        <f>6.561</f>
        <v>6.561</v>
      </c>
      <c r="H11" s="11"/>
      <c r="I11" s="11">
        <f>G11/(G3*0.1865)</f>
        <v>2.70612497422149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9.9728</v>
      </c>
      <c r="D12" s="11">
        <v>0</v>
      </c>
      <c r="E12" s="11">
        <f t="shared" ref="E12:E20" si="1">D12+C12</f>
        <v>9.9728</v>
      </c>
      <c r="F12" s="11" t="s">
        <v>14</v>
      </c>
      <c r="G12" s="11">
        <f>9.9728</f>
        <v>9.9728</v>
      </c>
      <c r="H12" s="11"/>
      <c r="I12" s="11">
        <f>G12/(G3*0.1865)</f>
        <v>4.11334295731079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217</v>
      </c>
      <c r="D13" s="12">
        <v>196</v>
      </c>
      <c r="E13" s="11">
        <f t="shared" si="1"/>
        <v>413</v>
      </c>
      <c r="F13" s="11" t="s">
        <v>26</v>
      </c>
      <c r="G13" s="11">
        <f>413</f>
        <v>413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409.75</v>
      </c>
      <c r="D14" s="12">
        <v>466.49</v>
      </c>
      <c r="E14" s="11">
        <f t="shared" si="1"/>
        <v>876.24</v>
      </c>
      <c r="F14" s="11" t="s">
        <v>26</v>
      </c>
      <c r="G14" s="11">
        <f>876.24</f>
        <v>876.24</v>
      </c>
      <c r="H14" s="11"/>
      <c r="I14" s="11"/>
      <c r="J14" s="11">
        <f>(C14*K14+L14*D14)/1000</f>
        <v>2.6926424</v>
      </c>
      <c r="K14" s="11">
        <v>2.86</v>
      </c>
      <c r="L14" s="11">
        <v>3.26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</f>
        <v>2.6926424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16</v>
      </c>
      <c r="E16" s="11">
        <f t="shared" si="1"/>
        <v>32</v>
      </c>
      <c r="F16" s="11" t="s">
        <v>14</v>
      </c>
      <c r="G16" s="11">
        <f>32</f>
        <v>32</v>
      </c>
      <c r="H16" s="11"/>
      <c r="I16" s="11">
        <f>G16/(G3*0.1865)</f>
        <v>13.1985976489998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</f>
        <v>0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</f>
        <v>2</v>
      </c>
      <c r="H18" s="28"/>
      <c r="I18" s="28">
        <f>G18/(G3*0.1865)</f>
        <v>0.824912353062487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</f>
        <v>1.8</v>
      </c>
      <c r="H19" s="28"/>
      <c r="I19" s="28">
        <f>G19/(G3*0.1865)</f>
        <v>0.742421117756238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3</v>
      </c>
      <c r="E20" s="11">
        <f t="shared" si="1"/>
        <v>5</v>
      </c>
      <c r="F20" s="11" t="s">
        <v>35</v>
      </c>
      <c r="G20" s="11">
        <f>5</f>
        <v>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ref="E21:E23" si="2">D21+C21</f>
        <v>0</v>
      </c>
      <c r="F21" s="11" t="s">
        <v>35</v>
      </c>
      <c r="G21" s="11">
        <f>0</f>
        <v>0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600</v>
      </c>
      <c r="D22" s="29">
        <v>623</v>
      </c>
      <c r="E22" s="11">
        <f t="shared" si="2"/>
        <v>1223</v>
      </c>
      <c r="F22" s="11" t="s">
        <v>26</v>
      </c>
      <c r="G22" s="11">
        <f>1223</f>
        <v>1223</v>
      </c>
      <c r="H22" s="11">
        <v>24</v>
      </c>
      <c r="I22" s="28">
        <f>E22/H22</f>
        <v>50.9583333333333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730</v>
      </c>
      <c r="D23" s="29">
        <v>788</v>
      </c>
      <c r="E23" s="11">
        <f t="shared" si="2"/>
        <v>1518</v>
      </c>
      <c r="F23" s="11" t="s">
        <v>26</v>
      </c>
      <c r="G23" s="11">
        <f>1518</f>
        <v>1518</v>
      </c>
      <c r="H23" s="28"/>
      <c r="I23" s="28">
        <f>E23/H22</f>
        <v>63.25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27.01</v>
      </c>
      <c r="D24" s="29">
        <v>28.2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42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44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46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47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3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12.44</v>
      </c>
      <c r="D32" s="12">
        <v>3.49</v>
      </c>
      <c r="E32" s="11">
        <f t="shared" si="3"/>
        <v>15.93</v>
      </c>
      <c r="F32" s="11" t="s">
        <v>26</v>
      </c>
      <c r="G32" s="11">
        <f>15.93</f>
        <v>15.93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2</v>
      </c>
      <c r="E33" s="11">
        <f t="shared" si="3"/>
        <v>4</v>
      </c>
      <c r="F33" s="11" t="s">
        <v>26</v>
      </c>
      <c r="G33" s="11">
        <f>4</f>
        <v>4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3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10.746</v>
      </c>
      <c r="D35" s="11">
        <v>0</v>
      </c>
      <c r="E35" s="11">
        <f t="shared" si="3"/>
        <v>10.746</v>
      </c>
      <c r="F35" s="11" t="s">
        <v>14</v>
      </c>
      <c r="G35" s="12">
        <f>10.746</f>
        <v>10.746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3"/>
        <v>0</v>
      </c>
      <c r="F36" s="11" t="s">
        <v>14</v>
      </c>
      <c r="G36" s="11">
        <f>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24</v>
      </c>
      <c r="D37" s="12">
        <v>65</v>
      </c>
      <c r="E37" s="11">
        <f t="shared" si="3"/>
        <v>89</v>
      </c>
      <c r="F37" s="11" t="s">
        <v>26</v>
      </c>
      <c r="G37" s="11">
        <f>89</f>
        <v>89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475</v>
      </c>
      <c r="D38" s="12">
        <v>515</v>
      </c>
      <c r="E38" s="11">
        <f t="shared" si="3"/>
        <v>990</v>
      </c>
      <c r="F38" s="11" t="s">
        <v>26</v>
      </c>
      <c r="G38" s="11">
        <f>990</f>
        <v>990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3"/>
        <v>0</v>
      </c>
      <c r="F39" s="11" t="s">
        <v>26</v>
      </c>
      <c r="G39" s="11">
        <f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>0</f>
        <v>0</v>
      </c>
      <c r="H40" s="28"/>
      <c r="I40" s="29">
        <f>750*0.99</f>
        <v>742.5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>0</f>
        <v>0</v>
      </c>
      <c r="H41" s="28"/>
      <c r="I41" s="29">
        <f>86.86*1.43</f>
        <v>124.2098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0</v>
      </c>
      <c r="E42" s="11">
        <f>D42+C42</f>
        <v>1</v>
      </c>
      <c r="F42" s="11" t="s">
        <v>35</v>
      </c>
      <c r="G42" s="11">
        <f>1</f>
        <v>1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ignoredErrors>
    <ignoredError sqref="G3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B26" workbookViewId="0">
      <selection activeCell="K15" sqref="K1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64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5.5</v>
      </c>
      <c r="E3" s="11">
        <f t="shared" ref="E3:E8" si="0">C3+D3</f>
        <v>12</v>
      </c>
      <c r="F3" s="11" t="s">
        <v>14</v>
      </c>
      <c r="G3" s="11">
        <f>13+12</f>
        <v>25</v>
      </c>
      <c r="H3" s="11">
        <v>303</v>
      </c>
      <c r="I3" s="11">
        <f>H3-G3</f>
        <v>278</v>
      </c>
      <c r="J3" s="11"/>
      <c r="K3" s="11"/>
      <c r="L3" s="11"/>
      <c r="M3" s="12">
        <f>I3/29</f>
        <v>9.58620689655172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</f>
        <v>34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101</v>
      </c>
      <c r="D5" s="12">
        <v>78</v>
      </c>
      <c r="E5" s="11">
        <f t="shared" si="0"/>
        <v>179</v>
      </c>
      <c r="F5" s="11" t="s">
        <v>14</v>
      </c>
      <c r="G5" s="11">
        <f>160+179</f>
        <v>339</v>
      </c>
      <c r="H5" s="14">
        <v>4120</v>
      </c>
      <c r="I5" s="14">
        <f>H5-G5-G7-G6</f>
        <v>3773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 t="shared" ref="G6:G9" si="1"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3</v>
      </c>
      <c r="D7" s="12">
        <v>2</v>
      </c>
      <c r="E7" s="11">
        <f t="shared" si="0"/>
        <v>5</v>
      </c>
      <c r="F7" s="11" t="s">
        <v>14</v>
      </c>
      <c r="G7" s="11">
        <f>3+5</f>
        <v>8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1</f>
        <v>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v>0</v>
      </c>
      <c r="F9" s="14" t="s">
        <v>14</v>
      </c>
      <c r="G9" s="14">
        <f t="shared" si="1"/>
        <v>0</v>
      </c>
      <c r="H9" s="14">
        <v>5.6</v>
      </c>
      <c r="I9" s="14">
        <f>H9-G9</f>
        <v>5.6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1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f>1.35*3.35</f>
        <v>4.5225</v>
      </c>
      <c r="D11" s="11">
        <f>1.35*1.75</f>
        <v>2.3625</v>
      </c>
      <c r="E11" s="11">
        <f>C11+D11</f>
        <v>6.885</v>
      </c>
      <c r="F11" s="11" t="s">
        <v>14</v>
      </c>
      <c r="G11" s="11">
        <f>6.561+6.885</f>
        <v>13.446</v>
      </c>
      <c r="H11" s="11"/>
      <c r="I11" s="11">
        <f>G11/(G3*0.1865)</f>
        <v>2.88386058981233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f>1.84*6.57</f>
        <v>12.0888</v>
      </c>
      <c r="D12" s="11">
        <v>0</v>
      </c>
      <c r="E12" s="11">
        <f t="shared" ref="E12:E23" si="2">D12+C12</f>
        <v>12.0888</v>
      </c>
      <c r="F12" s="11" t="s">
        <v>14</v>
      </c>
      <c r="G12" s="11">
        <f>9.9728+12.0888</f>
        <v>22.0616</v>
      </c>
      <c r="H12" s="11"/>
      <c r="I12" s="11">
        <f>G12/(G3*0.1865)</f>
        <v>4.73171045576408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184</v>
      </c>
      <c r="D13" s="12">
        <v>233</v>
      </c>
      <c r="E13" s="11">
        <f t="shared" si="2"/>
        <v>417</v>
      </c>
      <c r="F13" s="11" t="s">
        <v>26</v>
      </c>
      <c r="G13" s="11">
        <f>413+417</f>
        <v>830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511.39</v>
      </c>
      <c r="D14" s="12">
        <v>555.03</v>
      </c>
      <c r="E14" s="11">
        <f t="shared" si="2"/>
        <v>1066.42</v>
      </c>
      <c r="F14" s="11" t="s">
        <v>26</v>
      </c>
      <c r="G14" s="11">
        <f>876.24+1066.42</f>
        <v>1942.66</v>
      </c>
      <c r="H14" s="11"/>
      <c r="I14" s="11"/>
      <c r="J14" s="11">
        <f>(C14*K14+L14*D14)/1000</f>
        <v>3.3403901</v>
      </c>
      <c r="K14" s="11">
        <v>3.2</v>
      </c>
      <c r="L14" s="11">
        <v>3.07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2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</f>
        <v>6.0330325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12</v>
      </c>
      <c r="D16" s="12">
        <v>16</v>
      </c>
      <c r="E16" s="11">
        <f t="shared" si="2"/>
        <v>28</v>
      </c>
      <c r="F16" s="11" t="s">
        <v>14</v>
      </c>
      <c r="G16" s="11">
        <f>32+28</f>
        <v>60</v>
      </c>
      <c r="H16" s="11"/>
      <c r="I16" s="11">
        <f>G16/(G3*0.1865)</f>
        <v>12.8686327077748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0.15</v>
      </c>
      <c r="D17" s="29">
        <v>0</v>
      </c>
      <c r="E17" s="11">
        <f t="shared" si="2"/>
        <v>0.15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2"/>
        <v>2</v>
      </c>
      <c r="F18" s="11" t="s">
        <v>14</v>
      </c>
      <c r="G18" s="11">
        <f>2+2</f>
        <v>4</v>
      </c>
      <c r="H18" s="28"/>
      <c r="I18" s="28">
        <f>G18/(G3*0.1865)</f>
        <v>0.857908847184987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2"/>
        <v>1.8</v>
      </c>
      <c r="F19" s="11" t="s">
        <v>14</v>
      </c>
      <c r="G19" s="11">
        <f>1.8+1.8</f>
        <v>3.6</v>
      </c>
      <c r="H19" s="28"/>
      <c r="I19" s="28">
        <f>G19/(G3*0.1865)</f>
        <v>0.772117962466488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2</v>
      </c>
      <c r="E20" s="11">
        <f t="shared" si="2"/>
        <v>5</v>
      </c>
      <c r="F20" s="11" t="s">
        <v>35</v>
      </c>
      <c r="G20" s="11">
        <f>5+5</f>
        <v>10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1</v>
      </c>
      <c r="E21" s="11">
        <f t="shared" si="2"/>
        <v>1</v>
      </c>
      <c r="F21" s="11" t="s">
        <v>35</v>
      </c>
      <c r="G21" s="11">
        <f>1</f>
        <v>1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636</v>
      </c>
      <c r="D22" s="29">
        <v>598</v>
      </c>
      <c r="E22" s="11">
        <f t="shared" si="2"/>
        <v>1234</v>
      </c>
      <c r="F22" s="11" t="s">
        <v>26</v>
      </c>
      <c r="G22" s="11">
        <f>1223</f>
        <v>1223</v>
      </c>
      <c r="H22" s="11">
        <v>24</v>
      </c>
      <c r="I22" s="28">
        <f>E22/H22</f>
        <v>51.4166666666667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809</v>
      </c>
      <c r="D23" s="29">
        <v>773</v>
      </c>
      <c r="E23" s="11">
        <f t="shared" si="2"/>
        <v>1582</v>
      </c>
      <c r="F23" s="11" t="s">
        <v>26</v>
      </c>
      <c r="G23" s="11">
        <f>1518</f>
        <v>1518</v>
      </c>
      <c r="H23" s="28"/>
      <c r="I23" s="28">
        <f>E23/H22</f>
        <v>65.9166666666667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29.23</v>
      </c>
      <c r="D24" s="29">
        <v>28.38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42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65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66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67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3">D31+C31</f>
        <v>0</v>
      </c>
      <c r="F31" s="11" t="s">
        <v>26</v>
      </c>
      <c r="G31" s="11">
        <f t="shared" ref="G31:G36" si="4"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5.34</v>
      </c>
      <c r="D32" s="12">
        <v>7</v>
      </c>
      <c r="E32" s="11">
        <f t="shared" si="3"/>
        <v>12.34</v>
      </c>
      <c r="F32" s="11" t="s">
        <v>26</v>
      </c>
      <c r="G32" s="11">
        <f>15.93+12.34</f>
        <v>28.27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3</v>
      </c>
      <c r="E33" s="11">
        <f t="shared" si="3"/>
        <v>7</v>
      </c>
      <c r="F33" s="11" t="s">
        <v>26</v>
      </c>
      <c r="G33" s="11">
        <f>4+7</f>
        <v>11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3"/>
        <v>0</v>
      </c>
      <c r="F34" s="11" t="s">
        <v>26</v>
      </c>
      <c r="G34" s="11">
        <f t="shared" si="4"/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3"/>
        <v>0</v>
      </c>
      <c r="F35" s="11" t="s">
        <v>14</v>
      </c>
      <c r="G35" s="12">
        <f>10.746</f>
        <v>10.746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3"/>
        <v>0</v>
      </c>
      <c r="F36" s="11" t="s">
        <v>14</v>
      </c>
      <c r="G36" s="11">
        <f t="shared" si="4"/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79</v>
      </c>
      <c r="D37" s="12">
        <v>80</v>
      </c>
      <c r="E37" s="11">
        <f t="shared" si="3"/>
        <v>159</v>
      </c>
      <c r="F37" s="11" t="s">
        <v>26</v>
      </c>
      <c r="G37" s="11">
        <f>89+159</f>
        <v>248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477</v>
      </c>
      <c r="D38" s="12">
        <v>517</v>
      </c>
      <c r="E38" s="11">
        <f t="shared" si="3"/>
        <v>994</v>
      </c>
      <c r="F38" s="11" t="s">
        <v>26</v>
      </c>
      <c r="G38" s="11">
        <f>990+994</f>
        <v>1984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3"/>
        <v>0</v>
      </c>
      <c r="F39" s="11" t="s">
        <v>26</v>
      </c>
      <c r="G39" s="11">
        <f t="shared" ref="G39:G41" si="5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/>
      <c r="D40" s="11"/>
      <c r="E40" s="11">
        <f>C40+D40</f>
        <v>0</v>
      </c>
      <c r="F40" s="11" t="s">
        <v>26</v>
      </c>
      <c r="G40" s="11">
        <f t="shared" si="5"/>
        <v>0</v>
      </c>
      <c r="H40" s="28"/>
      <c r="I40" s="29">
        <f>750*0.93</f>
        <v>697.5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/>
      <c r="D41" s="11"/>
      <c r="E41" s="11">
        <f>C41+D41</f>
        <v>0</v>
      </c>
      <c r="F41" s="11" t="s">
        <v>26</v>
      </c>
      <c r="G41" s="11">
        <f t="shared" si="5"/>
        <v>0</v>
      </c>
      <c r="H41" s="28"/>
      <c r="I41" s="29">
        <f>86.86*1.72</f>
        <v>149.3992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0</v>
      </c>
      <c r="E42" s="11">
        <f>D42+C42</f>
        <v>1</v>
      </c>
      <c r="F42" s="11" t="s">
        <v>35</v>
      </c>
      <c r="G42" s="11">
        <f>1+1</f>
        <v>2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ignoredErrors>
    <ignoredError sqref="G16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6" workbookViewId="0">
      <selection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68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6.5</v>
      </c>
      <c r="E3" s="11">
        <f t="shared" ref="E3:E8" si="0">C3+D3</f>
        <v>13.5</v>
      </c>
      <c r="F3" s="11" t="s">
        <v>14</v>
      </c>
      <c r="G3" s="11">
        <f>13+12+13.5</f>
        <v>38.5</v>
      </c>
      <c r="H3" s="11">
        <v>303</v>
      </c>
      <c r="I3" s="11">
        <f>H3-G3</f>
        <v>264.5</v>
      </c>
      <c r="J3" s="11"/>
      <c r="K3" s="11"/>
      <c r="L3" s="11"/>
      <c r="M3" s="12">
        <f>I3/28</f>
        <v>9.44642857142857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</f>
        <v>46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66</v>
      </c>
      <c r="D5" s="12">
        <v>76</v>
      </c>
      <c r="E5" s="11">
        <f t="shared" si="0"/>
        <v>142</v>
      </c>
      <c r="F5" s="11" t="s">
        <v>14</v>
      </c>
      <c r="G5" s="11">
        <f>160+179+142</f>
        <v>481</v>
      </c>
      <c r="H5" s="14">
        <v>4120</v>
      </c>
      <c r="I5" s="14">
        <f>H5-G5-G7-G6</f>
        <v>3629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1</v>
      </c>
      <c r="D7" s="12">
        <v>1</v>
      </c>
      <c r="E7" s="11">
        <f t="shared" si="0"/>
        <v>2</v>
      </c>
      <c r="F7" s="11" t="s">
        <v>14</v>
      </c>
      <c r="G7" s="11">
        <f>3+5+2</f>
        <v>10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</f>
        <v>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30.72</v>
      </c>
      <c r="D9" s="19"/>
      <c r="E9" s="14">
        <f>30.72</f>
        <v>30.72</v>
      </c>
      <c r="F9" s="14" t="s">
        <v>14</v>
      </c>
      <c r="G9" s="14">
        <f>0.273408</f>
        <v>0.273408</v>
      </c>
      <c r="H9" s="14">
        <v>5.6</v>
      </c>
      <c r="I9" s="14">
        <f>H9-G9</f>
        <v>5.326592</v>
      </c>
      <c r="J9" s="20" t="s">
        <v>22</v>
      </c>
      <c r="K9" s="21">
        <v>0.89</v>
      </c>
      <c r="L9" s="14">
        <f>C9*K9/100</f>
        <v>0.273408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3.4965</v>
      </c>
      <c r="D11" s="11">
        <v>1.7415</v>
      </c>
      <c r="E11" s="11">
        <f>C11+D11</f>
        <v>5.238</v>
      </c>
      <c r="F11" s="11" t="s">
        <v>14</v>
      </c>
      <c r="G11" s="11">
        <f>6.561+6.885+5.238</f>
        <v>18.684</v>
      </c>
      <c r="H11" s="11"/>
      <c r="I11" s="11">
        <f>G11/(G3*0.1865)</f>
        <v>2.60213780857213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14.6464</v>
      </c>
      <c r="D12" s="11">
        <v>0</v>
      </c>
      <c r="E12" s="11">
        <f t="shared" ref="E12:E23" si="1">D12+C12</f>
        <v>14.6464</v>
      </c>
      <c r="F12" s="11" t="s">
        <v>14</v>
      </c>
      <c r="G12" s="11">
        <f>9.9728+12.0888+14.6464</f>
        <v>36.708</v>
      </c>
      <c r="H12" s="11"/>
      <c r="I12" s="11">
        <f>G12/(G3*0.1865)</f>
        <v>5.11235681208872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238</v>
      </c>
      <c r="D13" s="12">
        <v>230</v>
      </c>
      <c r="E13" s="11">
        <f t="shared" si="1"/>
        <v>468</v>
      </c>
      <c r="F13" s="11" t="s">
        <v>26</v>
      </c>
      <c r="G13" s="11">
        <f>413+417+468</f>
        <v>1298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419.21</v>
      </c>
      <c r="D14" s="12">
        <v>443.5</v>
      </c>
      <c r="E14" s="11">
        <f t="shared" si="1"/>
        <v>862.71</v>
      </c>
      <c r="F14" s="11" t="s">
        <v>26</v>
      </c>
      <c r="G14" s="11">
        <f>876.24+1066.42+862.71</f>
        <v>2805.37</v>
      </c>
      <c r="H14" s="11"/>
      <c r="I14" s="11"/>
      <c r="J14" s="11">
        <f>(C14*K14+L14*D14)/1000</f>
        <v>2.7734912</v>
      </c>
      <c r="K14" s="11">
        <v>3.22</v>
      </c>
      <c r="L14" s="11">
        <v>3.21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</f>
        <v>8.8065237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16</v>
      </c>
      <c r="E16" s="11">
        <f t="shared" si="1"/>
        <v>32</v>
      </c>
      <c r="F16" s="11" t="s">
        <v>14</v>
      </c>
      <c r="G16" s="11">
        <f>32+28+32</f>
        <v>92</v>
      </c>
      <c r="H16" s="11"/>
      <c r="I16" s="11">
        <f>G16/(G3*0.1865)</f>
        <v>12.8129243410745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</f>
        <v>4</v>
      </c>
      <c r="H18" s="28"/>
      <c r="I18" s="28">
        <f>G18/(G3*0.1865)</f>
        <v>0.557083667003238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</f>
        <v>3.6</v>
      </c>
      <c r="H19" s="28"/>
      <c r="I19" s="28">
        <f>G19/(G3*0.1865)</f>
        <v>0.501375300302914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6</v>
      </c>
      <c r="D20" s="29">
        <v>3</v>
      </c>
      <c r="E20" s="11">
        <f t="shared" si="1"/>
        <v>9</v>
      </c>
      <c r="F20" s="11" t="s">
        <v>35</v>
      </c>
      <c r="G20" s="11">
        <f>5+5+9</f>
        <v>19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1</v>
      </c>
      <c r="E21" s="11">
        <f t="shared" si="1"/>
        <v>1</v>
      </c>
      <c r="F21" s="11" t="s">
        <v>35</v>
      </c>
      <c r="G21" s="11">
        <f>1+1</f>
        <v>2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592</v>
      </c>
      <c r="D22" s="29">
        <v>590</v>
      </c>
      <c r="E22" s="11">
        <f t="shared" si="1"/>
        <v>1182</v>
      </c>
      <c r="F22" s="11" t="s">
        <v>26</v>
      </c>
      <c r="G22" s="11">
        <f>1223+1182</f>
        <v>2405</v>
      </c>
      <c r="H22" s="11">
        <v>24</v>
      </c>
      <c r="I22" s="28">
        <f>E22/H22</f>
        <v>49.25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763</v>
      </c>
      <c r="D23" s="29">
        <v>746</v>
      </c>
      <c r="E23" s="11">
        <f t="shared" si="1"/>
        <v>1509</v>
      </c>
      <c r="F23" s="11" t="s">
        <v>26</v>
      </c>
      <c r="G23" s="11">
        <f>1518+1509</f>
        <v>3027</v>
      </c>
      <c r="H23" s="28"/>
      <c r="I23" s="28">
        <f>E23/H22</f>
        <v>62.875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25.47</v>
      </c>
      <c r="D24" s="29">
        <v>23.16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69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70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46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71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6.97</v>
      </c>
      <c r="D32" s="12">
        <v>8.83</v>
      </c>
      <c r="E32" s="11">
        <f t="shared" si="2"/>
        <v>15.8</v>
      </c>
      <c r="F32" s="11" t="s">
        <v>26</v>
      </c>
      <c r="G32" s="11">
        <f>15.93+12.34+15.8</f>
        <v>44.07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2</v>
      </c>
      <c r="E33" s="11">
        <f t="shared" si="2"/>
        <v>4</v>
      </c>
      <c r="F33" s="11" t="s">
        <v>26</v>
      </c>
      <c r="G33" s="11">
        <f>4+7+4</f>
        <v>15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7.857</v>
      </c>
      <c r="D35" s="11">
        <v>0</v>
      </c>
      <c r="E35" s="11">
        <f t="shared" si="2"/>
        <v>7.857</v>
      </c>
      <c r="F35" s="11" t="s">
        <v>14</v>
      </c>
      <c r="G35" s="12">
        <f>10.746+7.857</f>
        <v>18.603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102</v>
      </c>
      <c r="D37" s="12">
        <v>106</v>
      </c>
      <c r="E37" s="11">
        <f t="shared" si="2"/>
        <v>208</v>
      </c>
      <c r="F37" s="11" t="s">
        <v>26</v>
      </c>
      <c r="G37" s="11">
        <f>89+159+208</f>
        <v>456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502</v>
      </c>
      <c r="D38" s="12">
        <v>477</v>
      </c>
      <c r="E38" s="11">
        <f t="shared" si="2"/>
        <v>979</v>
      </c>
      <c r="F38" s="11" t="s">
        <v>26</v>
      </c>
      <c r="G38" s="11">
        <f>990+994+979</f>
        <v>2963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750*0.87</f>
        <v>652.5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86.86*2.01</f>
        <v>174.5886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</f>
        <v>2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7" workbookViewId="0">
      <selection activeCell="B44" sqref="B44:M5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72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7</v>
      </c>
      <c r="E3" s="11">
        <f t="shared" ref="E3:E8" si="0">C3+D3</f>
        <v>14.5</v>
      </c>
      <c r="F3" s="11" t="s">
        <v>14</v>
      </c>
      <c r="G3" s="11">
        <f>13+12+13.5+14.5</f>
        <v>53</v>
      </c>
      <c r="H3" s="11">
        <v>303</v>
      </c>
      <c r="I3" s="11">
        <f>H3-G3</f>
        <v>250</v>
      </c>
      <c r="J3" s="11"/>
      <c r="K3" s="11"/>
      <c r="L3" s="11"/>
      <c r="M3" s="12">
        <f>I3/27</f>
        <v>9.25925925925926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</f>
        <v>60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78</v>
      </c>
      <c r="D5" s="12">
        <v>74</v>
      </c>
      <c r="E5" s="11">
        <f t="shared" si="0"/>
        <v>152</v>
      </c>
      <c r="F5" s="11" t="s">
        <v>14</v>
      </c>
      <c r="G5" s="11">
        <f>160+179+142+152</f>
        <v>633</v>
      </c>
      <c r="H5" s="14">
        <v>4120</v>
      </c>
      <c r="I5" s="14">
        <f>H5-G5-G7-G6</f>
        <v>3476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1</v>
      </c>
      <c r="D7" s="12">
        <v>0</v>
      </c>
      <c r="E7" s="11">
        <f t="shared" si="0"/>
        <v>1</v>
      </c>
      <c r="F7" s="11" t="s">
        <v>14</v>
      </c>
      <c r="G7" s="11">
        <f>3+5+2+1</f>
        <v>11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1</v>
      </c>
      <c r="E8" s="11">
        <f t="shared" si="0"/>
        <v>1</v>
      </c>
      <c r="F8" s="11" t="s">
        <v>14</v>
      </c>
      <c r="G8" s="11">
        <f>1+1</f>
        <v>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31.17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0.89</v>
      </c>
      <c r="L9" s="14">
        <f>C9*K9/100</f>
        <v>0.277413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3.861</v>
      </c>
      <c r="D11" s="11">
        <v>1.3365</v>
      </c>
      <c r="E11" s="11">
        <f>C11+D11</f>
        <v>5.1975</v>
      </c>
      <c r="F11" s="11" t="s">
        <v>14</v>
      </c>
      <c r="G11" s="11">
        <f>6.561+6.885+5.238+5.1975</f>
        <v>23.8815</v>
      </c>
      <c r="H11" s="11"/>
      <c r="I11" s="11">
        <f>G11/(G3*0.1865)</f>
        <v>2.41605544033588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14.8672</v>
      </c>
      <c r="D12" s="11">
        <v>0</v>
      </c>
      <c r="E12" s="11">
        <f t="shared" ref="E12:E23" si="1">D12+C12</f>
        <v>14.8672</v>
      </c>
      <c r="F12" s="11" t="s">
        <v>14</v>
      </c>
      <c r="G12" s="11">
        <f>9.9728+12.0888+14.6464+14.8672</f>
        <v>51.5752</v>
      </c>
      <c r="H12" s="11"/>
      <c r="I12" s="11">
        <f>G12/(G3*0.1865)</f>
        <v>5.21778542161971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240</v>
      </c>
      <c r="D13" s="12">
        <v>230</v>
      </c>
      <c r="E13" s="11">
        <f t="shared" si="1"/>
        <v>470</v>
      </c>
      <c r="F13" s="11" t="s">
        <v>26</v>
      </c>
      <c r="G13" s="11">
        <f>413+417+468+470</f>
        <v>1768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411.03</v>
      </c>
      <c r="D14" s="12">
        <v>326.11</v>
      </c>
      <c r="E14" s="11">
        <f t="shared" si="1"/>
        <v>737.14</v>
      </c>
      <c r="F14" s="11" t="s">
        <v>26</v>
      </c>
      <c r="G14" s="11">
        <f>876.24+1066.42+862.71+737.14</f>
        <v>3542.51</v>
      </c>
      <c r="H14" s="11"/>
      <c r="I14" s="11"/>
      <c r="J14" s="11">
        <f>(C14*K14+L14*D14)/1000</f>
        <v>2.3605464</v>
      </c>
      <c r="K14" s="11">
        <v>3.22</v>
      </c>
      <c r="L14" s="11">
        <v>3.18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</f>
        <v>11.1670701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20</v>
      </c>
      <c r="D16" s="12">
        <v>16</v>
      </c>
      <c r="E16" s="11">
        <f t="shared" si="1"/>
        <v>36</v>
      </c>
      <c r="F16" s="11" t="s">
        <v>14</v>
      </c>
      <c r="G16" s="11">
        <f>32+28+32+36</f>
        <v>128</v>
      </c>
      <c r="H16" s="11"/>
      <c r="I16" s="11">
        <f>G16/(G3*0.1865)</f>
        <v>12.949567504679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</f>
        <v>6</v>
      </c>
      <c r="H18" s="28"/>
      <c r="I18" s="28">
        <f>G18/(G3*0.1865)</f>
        <v>0.60701097678183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</f>
        <v>5.4</v>
      </c>
      <c r="H19" s="28"/>
      <c r="I19" s="28">
        <f>G19/(G3*0.1865)</f>
        <v>0.546309879103647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4</v>
      </c>
      <c r="E20" s="11">
        <f t="shared" si="1"/>
        <v>7</v>
      </c>
      <c r="F20" s="11" t="s">
        <v>35</v>
      </c>
      <c r="G20" s="11">
        <f>5+5+9+7</f>
        <v>26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</f>
        <v>2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573</v>
      </c>
      <c r="D22" s="29">
        <v>579</v>
      </c>
      <c r="E22" s="11">
        <f t="shared" si="1"/>
        <v>1152</v>
      </c>
      <c r="F22" s="11" t="s">
        <v>26</v>
      </c>
      <c r="G22" s="11">
        <f>1223+1182+1152</f>
        <v>3557</v>
      </c>
      <c r="H22" s="11">
        <v>24</v>
      </c>
      <c r="I22" s="28">
        <f>E22/H22</f>
        <v>48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767</v>
      </c>
      <c r="D23" s="29">
        <v>739</v>
      </c>
      <c r="E23" s="11">
        <f t="shared" si="1"/>
        <v>1506</v>
      </c>
      <c r="F23" s="11" t="s">
        <v>26</v>
      </c>
      <c r="G23" s="11">
        <f>1518+1509+1506</f>
        <v>4533</v>
      </c>
      <c r="H23" s="28"/>
      <c r="I23" s="28">
        <f>E23/H22</f>
        <v>62.75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26.49</v>
      </c>
      <c r="D24" s="29">
        <v>23.68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46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74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7.14</v>
      </c>
      <c r="D32" s="12">
        <v>6.22</v>
      </c>
      <c r="E32" s="11">
        <f t="shared" si="2"/>
        <v>13.36</v>
      </c>
      <c r="F32" s="11" t="s">
        <v>26</v>
      </c>
      <c r="G32" s="11">
        <f>15.93+12.34+15.8+13.36</f>
        <v>57.43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2</v>
      </c>
      <c r="E33" s="11">
        <f t="shared" si="2"/>
        <v>4</v>
      </c>
      <c r="F33" s="11" t="s">
        <v>26</v>
      </c>
      <c r="G33" s="11">
        <f>4+7+4+4</f>
        <v>19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9.018</v>
      </c>
      <c r="D35" s="11">
        <v>0</v>
      </c>
      <c r="E35" s="11">
        <f t="shared" si="2"/>
        <v>9.018</v>
      </c>
      <c r="F35" s="11" t="s">
        <v>14</v>
      </c>
      <c r="G35" s="12">
        <f>10.746+7.857+9.018</f>
        <v>27.621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100</v>
      </c>
      <c r="D37" s="12">
        <v>94</v>
      </c>
      <c r="E37" s="11">
        <f t="shared" si="2"/>
        <v>194</v>
      </c>
      <c r="F37" s="11" t="s">
        <v>26</v>
      </c>
      <c r="G37" s="11">
        <f>89+159+208+194</f>
        <v>650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510</v>
      </c>
      <c r="D38" s="12">
        <v>500</v>
      </c>
      <c r="E38" s="11">
        <f t="shared" si="2"/>
        <v>1010</v>
      </c>
      <c r="F38" s="11" t="s">
        <v>26</v>
      </c>
      <c r="G38" s="11">
        <f>990+994+979+1010</f>
        <v>3973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750*0.81</f>
        <v>607.5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86.86*2.21</f>
        <v>191.9606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0</v>
      </c>
      <c r="E42" s="11">
        <f>D42+C42</f>
        <v>1</v>
      </c>
      <c r="F42" s="11" t="s">
        <v>35</v>
      </c>
      <c r="G42" s="11">
        <f>1+1+1</f>
        <v>3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selection activeCell="G22" sqref="G2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75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7</v>
      </c>
      <c r="E3" s="11">
        <f t="shared" ref="E3:E8" si="0">C3+D3</f>
        <v>13.5</v>
      </c>
      <c r="F3" s="11" t="s">
        <v>14</v>
      </c>
      <c r="G3" s="11">
        <f>13+12+13.5+14.5+13.5</f>
        <v>66.5</v>
      </c>
      <c r="H3" s="11">
        <v>303</v>
      </c>
      <c r="I3" s="11">
        <f>H3-G3</f>
        <v>236.5</v>
      </c>
      <c r="J3" s="11"/>
      <c r="K3" s="11"/>
      <c r="L3" s="11"/>
      <c r="M3" s="12">
        <f>I3/26</f>
        <v>9.09615384615385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</f>
        <v>74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82</v>
      </c>
      <c r="D5" s="12">
        <v>97</v>
      </c>
      <c r="E5" s="11">
        <f t="shared" si="0"/>
        <v>179</v>
      </c>
      <c r="F5" s="11" t="s">
        <v>14</v>
      </c>
      <c r="G5" s="11">
        <f>160+179+142+152+179</f>
        <v>812</v>
      </c>
      <c r="H5" s="14">
        <v>4120</v>
      </c>
      <c r="I5" s="14">
        <f>H5-G5-G7-G6</f>
        <v>3293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3</v>
      </c>
      <c r="D7" s="12">
        <v>1</v>
      </c>
      <c r="E7" s="11">
        <f t="shared" si="0"/>
        <v>4</v>
      </c>
      <c r="F7" s="11" t="s">
        <v>14</v>
      </c>
      <c r="G7" s="11">
        <f>3+5+2+1+4</f>
        <v>15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</f>
        <v>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3.726</v>
      </c>
      <c r="D11" s="11">
        <v>2.835</v>
      </c>
      <c r="E11" s="11">
        <f>C11+D11</f>
        <v>6.561</v>
      </c>
      <c r="F11" s="11" t="s">
        <v>14</v>
      </c>
      <c r="G11" s="11">
        <f>6.561+6.885+5.238+5.1975+6.561</f>
        <v>30.4425</v>
      </c>
      <c r="H11" s="11"/>
      <c r="I11" s="11">
        <f>G11/(G3*0.1865)</f>
        <v>2.45459493237114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14.9224</v>
      </c>
      <c r="D12" s="11">
        <v>0</v>
      </c>
      <c r="E12" s="11">
        <f t="shared" ref="E12:E23" si="1">D12+C12</f>
        <v>14.9224</v>
      </c>
      <c r="F12" s="11" t="s">
        <v>14</v>
      </c>
      <c r="G12" s="11">
        <f>9.9728+12.0888+14.6464+14.8672+14.9224</f>
        <v>66.4976</v>
      </c>
      <c r="H12" s="11"/>
      <c r="I12" s="11">
        <f>G12/(G3*0.1865)</f>
        <v>5.36173678163236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223</v>
      </c>
      <c r="D13" s="12">
        <v>199</v>
      </c>
      <c r="E13" s="11">
        <f t="shared" si="1"/>
        <v>422</v>
      </c>
      <c r="F13" s="11" t="s">
        <v>26</v>
      </c>
      <c r="G13" s="11">
        <f>413+417+468+470+422</f>
        <v>2190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468.39</v>
      </c>
      <c r="D14" s="12">
        <v>562.2</v>
      </c>
      <c r="E14" s="11">
        <f t="shared" si="1"/>
        <v>1030.59</v>
      </c>
      <c r="F14" s="11" t="s">
        <v>26</v>
      </c>
      <c r="G14" s="11">
        <f>876.24+1066.42+862.71+737.14+1030.59</f>
        <v>4573.1</v>
      </c>
      <c r="H14" s="11"/>
      <c r="I14" s="11"/>
      <c r="J14" s="11">
        <f>(C14*K14+L14*D14)/1000</f>
        <v>3.116121</v>
      </c>
      <c r="K14" s="11">
        <v>3.1</v>
      </c>
      <c r="L14" s="11">
        <v>2.96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</f>
        <v>14.2831911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16</v>
      </c>
      <c r="E16" s="11">
        <f t="shared" si="1"/>
        <v>32</v>
      </c>
      <c r="F16" s="11" t="s">
        <v>14</v>
      </c>
      <c r="G16" s="11">
        <f>32+28+32+36+32</f>
        <v>160</v>
      </c>
      <c r="H16" s="11"/>
      <c r="I16" s="11">
        <f>G16/(G3*0.1865)</f>
        <v>12.900884920075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</f>
        <v>6</v>
      </c>
      <c r="H18" s="28"/>
      <c r="I18" s="28">
        <f>G18/(G3*0.1865)</f>
        <v>0.483783184502812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</f>
        <v>5.4</v>
      </c>
      <c r="H19" s="28"/>
      <c r="I19" s="28">
        <f>G19/(G3*0.1865)</f>
        <v>0.435404866052531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2</v>
      </c>
      <c r="E20" s="11">
        <f t="shared" si="1"/>
        <v>4</v>
      </c>
      <c r="F20" s="11" t="s">
        <v>35</v>
      </c>
      <c r="G20" s="11">
        <f>5+5+9+7+4</f>
        <v>30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</f>
        <v>2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576</v>
      </c>
      <c r="D22" s="29">
        <v>563</v>
      </c>
      <c r="E22" s="11">
        <f t="shared" si="1"/>
        <v>1139</v>
      </c>
      <c r="F22" s="11" t="s">
        <v>26</v>
      </c>
      <c r="G22" s="11">
        <f>1223+1182+1152+1139</f>
        <v>4696</v>
      </c>
      <c r="H22" s="11">
        <v>24</v>
      </c>
      <c r="I22" s="28">
        <f>E22/H22</f>
        <v>47.4583333333333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759</v>
      </c>
      <c r="D23" s="29">
        <v>759</v>
      </c>
      <c r="E23" s="11">
        <f t="shared" si="1"/>
        <v>1518</v>
      </c>
      <c r="F23" s="11" t="s">
        <v>26</v>
      </c>
      <c r="G23" s="11">
        <f>1518+1509+1506+1518</f>
        <v>6051</v>
      </c>
      <c r="H23" s="28"/>
      <c r="I23" s="28">
        <f>E23/H22</f>
        <v>63.25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24.78</v>
      </c>
      <c r="D24" s="29">
        <v>29.83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76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77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78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79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6.5</v>
      </c>
      <c r="D32" s="12">
        <v>4.05</v>
      </c>
      <c r="E32" s="11">
        <f t="shared" si="2"/>
        <v>10.55</v>
      </c>
      <c r="F32" s="11" t="s">
        <v>26</v>
      </c>
      <c r="G32" s="11">
        <f>15.93+12.34+15.8+13.36+10.55</f>
        <v>67.98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2</v>
      </c>
      <c r="E33" s="11">
        <f t="shared" si="2"/>
        <v>4</v>
      </c>
      <c r="F33" s="11" t="s">
        <v>26</v>
      </c>
      <c r="G33" s="11">
        <f>4+7+4+4+4</f>
        <v>23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7.0875</v>
      </c>
      <c r="D35" s="11">
        <v>0</v>
      </c>
      <c r="E35" s="11">
        <f t="shared" si="2"/>
        <v>7.0875</v>
      </c>
      <c r="F35" s="11" t="s">
        <v>14</v>
      </c>
      <c r="G35" s="12">
        <f>10.746+7.857+9.018+7.0875</f>
        <v>34.7085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93</v>
      </c>
      <c r="D37" s="12">
        <v>94</v>
      </c>
      <c r="E37" s="11">
        <f t="shared" si="2"/>
        <v>187</v>
      </c>
      <c r="F37" s="11" t="s">
        <v>26</v>
      </c>
      <c r="G37" s="11">
        <f>89+159+208+194+187</f>
        <v>837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513</v>
      </c>
      <c r="D38" s="12">
        <v>507</v>
      </c>
      <c r="E38" s="11">
        <f t="shared" si="2"/>
        <v>1020</v>
      </c>
      <c r="F38" s="11" t="s">
        <v>26</v>
      </c>
      <c r="G38" s="11">
        <f>990+994+979+1010+1020</f>
        <v>4993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750*0.77</f>
        <v>577.5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86.86*2.14</f>
        <v>185.8804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</f>
        <v>3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70" zoomScaleNormal="70" topLeftCell="A26" workbookViewId="0">
      <pane xSplit="2" topLeftCell="C1" activePane="topRight" state="frozen"/>
      <selection/>
      <selection pane="topRight" activeCell="D56" sqref="D5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80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0</v>
      </c>
      <c r="E3" s="11">
        <f t="shared" ref="E3:E8" si="0">C3+D3</f>
        <v>5</v>
      </c>
      <c r="F3" s="11" t="s">
        <v>14</v>
      </c>
      <c r="G3" s="11">
        <f>13+12+13.5+14.5+13.5+5</f>
        <v>71.5</v>
      </c>
      <c r="H3" s="11">
        <v>303</v>
      </c>
      <c r="I3" s="11">
        <f>H3-G3</f>
        <v>231.5</v>
      </c>
      <c r="J3" s="11"/>
      <c r="K3" s="11"/>
      <c r="L3" s="11"/>
      <c r="M3" s="12">
        <f>I3/25</f>
        <v>9.26</v>
      </c>
    </row>
    <row r="4" s="1" customFormat="1" ht="56" customHeight="1" spans="1:13">
      <c r="A4" s="13">
        <v>2</v>
      </c>
      <c r="B4" s="9" t="s">
        <v>15</v>
      </c>
      <c r="C4" s="12">
        <v>10</v>
      </c>
      <c r="D4" s="12"/>
      <c r="E4" s="11">
        <f t="shared" si="0"/>
        <v>10</v>
      </c>
      <c r="F4" s="11" t="s">
        <v>14</v>
      </c>
      <c r="G4" s="11">
        <f>20+14+12+14+14+10</f>
        <v>84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46</v>
      </c>
      <c r="D5" s="12">
        <v>0</v>
      </c>
      <c r="E5" s="11">
        <f t="shared" si="0"/>
        <v>46</v>
      </c>
      <c r="F5" s="11" t="s">
        <v>14</v>
      </c>
      <c r="G5" s="11">
        <f>160+179+142+152+179+46</f>
        <v>858</v>
      </c>
      <c r="H5" s="14">
        <v>4120</v>
      </c>
      <c r="I5" s="14">
        <f>H5-G5-G7-G6</f>
        <v>3246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1</v>
      </c>
      <c r="D7" s="12">
        <v>0</v>
      </c>
      <c r="E7" s="11">
        <f t="shared" si="0"/>
        <v>1</v>
      </c>
      <c r="F7" s="11" t="s">
        <v>14</v>
      </c>
      <c r="G7" s="11">
        <f>3+5+2+1+4+1</f>
        <v>16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</f>
        <v>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2.322</v>
      </c>
      <c r="D11" s="11">
        <v>0</v>
      </c>
      <c r="E11" s="11">
        <f>C11+D11</f>
        <v>2.322</v>
      </c>
      <c r="F11" s="11" t="s">
        <v>14</v>
      </c>
      <c r="G11" s="11">
        <f>6.561+6.885+5.238+5.1975+6.561+2.322</f>
        <v>32.7645</v>
      </c>
      <c r="H11" s="11"/>
      <c r="I11" s="11">
        <f>G11/(G3*0.1865)</f>
        <v>2.45707643562871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16.2104</v>
      </c>
      <c r="D12" s="11">
        <v>0</v>
      </c>
      <c r="E12" s="11">
        <f t="shared" ref="E12:E23" si="1">D12+C12</f>
        <v>16.2104</v>
      </c>
      <c r="F12" s="11" t="s">
        <v>14</v>
      </c>
      <c r="G12" s="11">
        <f>9.9728+12.0888+14.6464+14.8672+14.9224+16.2104</f>
        <v>82.708</v>
      </c>
      <c r="H12" s="11"/>
      <c r="I12" s="11">
        <f>G12/(G3*0.1865)</f>
        <v>6.20244099064474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163</v>
      </c>
      <c r="D13" s="12">
        <v>0</v>
      </c>
      <c r="E13" s="11">
        <f t="shared" si="1"/>
        <v>163</v>
      </c>
      <c r="F13" s="11" t="s">
        <v>26</v>
      </c>
      <c r="G13" s="11">
        <f>413+417+468+470+422+163</f>
        <v>2353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99.19</v>
      </c>
      <c r="D14" s="12">
        <v>0</v>
      </c>
      <c r="E14" s="11">
        <f t="shared" si="1"/>
        <v>99.19</v>
      </c>
      <c r="F14" s="11" t="s">
        <v>26</v>
      </c>
      <c r="G14" s="11">
        <f>876.24+1066.42+862.71+737.14+1030.59+99.19</f>
        <v>4672.29</v>
      </c>
      <c r="H14" s="11"/>
      <c r="I14" s="11"/>
      <c r="J14" s="11">
        <f>(C14*K14+L14*D14)/1000</f>
        <v>0.2965781</v>
      </c>
      <c r="K14" s="11">
        <v>2.99</v>
      </c>
      <c r="L14" s="11">
        <v>0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</f>
        <v>14.5797692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6</v>
      </c>
      <c r="D16" s="12">
        <v>0</v>
      </c>
      <c r="E16" s="11">
        <f t="shared" si="1"/>
        <v>6</v>
      </c>
      <c r="F16" s="11" t="s">
        <v>14</v>
      </c>
      <c r="G16" s="11">
        <f>32+28+32+36+32+6</f>
        <v>166</v>
      </c>
      <c r="H16" s="11"/>
      <c r="I16" s="11">
        <f>G16/(G3*0.1865)</f>
        <v>12.4486773280339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</f>
        <v>8</v>
      </c>
      <c r="H18" s="28"/>
      <c r="I18" s="28">
        <f>G18/(G3*0.1865)</f>
        <v>0.599936256772718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</f>
        <v>7.2</v>
      </c>
      <c r="H19" s="28"/>
      <c r="I19" s="28">
        <f>G19/(G3*0.1865)</f>
        <v>0.539942631095446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0</v>
      </c>
      <c r="E20" s="11">
        <f t="shared" si="1"/>
        <v>2</v>
      </c>
      <c r="F20" s="11" t="s">
        <v>35</v>
      </c>
      <c r="G20" s="11">
        <f>5+5+9+7+4+2</f>
        <v>32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1</v>
      </c>
      <c r="D21" s="29">
        <v>0</v>
      </c>
      <c r="E21" s="11">
        <f t="shared" si="1"/>
        <v>1</v>
      </c>
      <c r="F21" s="11" t="s">
        <v>35</v>
      </c>
      <c r="G21" s="11">
        <f>1+1+1</f>
        <v>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281</v>
      </c>
      <c r="D22" s="29">
        <v>40</v>
      </c>
      <c r="E22" s="11">
        <f t="shared" si="1"/>
        <v>321</v>
      </c>
      <c r="F22" s="11" t="s">
        <v>26</v>
      </c>
      <c r="G22" s="11">
        <f>1223+1182+1152+1139+321</f>
        <v>5017</v>
      </c>
      <c r="H22" s="11">
        <v>5.5</v>
      </c>
      <c r="I22" s="28">
        <f>E22/H22</f>
        <v>58.3636363636364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362</v>
      </c>
      <c r="D23" s="29">
        <v>0</v>
      </c>
      <c r="E23" s="11">
        <f t="shared" si="1"/>
        <v>362</v>
      </c>
      <c r="F23" s="11" t="s">
        <v>26</v>
      </c>
      <c r="G23" s="11">
        <f>1518+1509+1506+1518+362</f>
        <v>6413</v>
      </c>
      <c r="H23" s="28"/>
      <c r="I23" s="28">
        <f>E23/H22</f>
        <v>65.8181818181818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27.82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76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77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78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81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6.69</v>
      </c>
      <c r="D32" s="12">
        <v>0</v>
      </c>
      <c r="E32" s="11">
        <f t="shared" si="2"/>
        <v>6.69</v>
      </c>
      <c r="F32" s="11" t="s">
        <v>26</v>
      </c>
      <c r="G32" s="11">
        <f>15.93+12.34+15.8+13.36+10.55+6.69</f>
        <v>74.67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</f>
        <v>28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</f>
        <v>34.7085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93</v>
      </c>
      <c r="D37" s="12">
        <v>100</v>
      </c>
      <c r="E37" s="11">
        <f t="shared" si="2"/>
        <v>193</v>
      </c>
      <c r="F37" s="11" t="s">
        <v>26</v>
      </c>
      <c r="G37" s="11">
        <f>89+159+208+194+187+193</f>
        <v>1030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504</v>
      </c>
      <c r="D38" s="12">
        <v>508</v>
      </c>
      <c r="E38" s="11">
        <f t="shared" si="2"/>
        <v>1012</v>
      </c>
      <c r="F38" s="11" t="s">
        <v>26</v>
      </c>
      <c r="G38" s="11">
        <f>990+994+979+1010+1020+1012</f>
        <v>6005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750*2.03</f>
        <v>1522.5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86.86*2.14</f>
        <v>185.8804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</f>
        <v>3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B44" sqref="B44:M5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82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</v>
      </c>
      <c r="D3" s="10">
        <v>0</v>
      </c>
      <c r="E3" s="11">
        <f t="shared" ref="E3:E8" si="0">C3+D3</f>
        <v>0</v>
      </c>
      <c r="F3" s="11" t="s">
        <v>14</v>
      </c>
      <c r="G3" s="11">
        <f>13+12+13.5+14.5+13.5+5</f>
        <v>71.5</v>
      </c>
      <c r="H3" s="11">
        <v>303</v>
      </c>
      <c r="I3" s="11">
        <f>H3-G3</f>
        <v>231.5</v>
      </c>
      <c r="J3" s="11"/>
      <c r="K3" s="11"/>
      <c r="L3" s="11"/>
      <c r="M3" s="12">
        <f>I3/24</f>
        <v>9.64583333333333</v>
      </c>
    </row>
    <row r="4" s="1" customFormat="1" ht="56" customHeight="1" spans="1:13">
      <c r="A4" s="13">
        <v>2</v>
      </c>
      <c r="B4" s="9" t="s">
        <v>15</v>
      </c>
      <c r="C4" s="12">
        <v>6</v>
      </c>
      <c r="D4" s="12"/>
      <c r="E4" s="11">
        <f t="shared" si="0"/>
        <v>6</v>
      </c>
      <c r="F4" s="11" t="s">
        <v>14</v>
      </c>
      <c r="G4" s="11">
        <f>20+14+12+14+14+10+6</f>
        <v>90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</f>
        <v>858</v>
      </c>
      <c r="H5" s="14">
        <v>4120</v>
      </c>
      <c r="I5" s="14">
        <f>H5-G5-G7-G6</f>
        <v>3246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</f>
        <v>16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</f>
        <v>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0</v>
      </c>
      <c r="D11" s="11">
        <v>0</v>
      </c>
      <c r="E11" s="11">
        <f>C11+D11</f>
        <v>0</v>
      </c>
      <c r="F11" s="11" t="s">
        <v>14</v>
      </c>
      <c r="G11" s="11">
        <f>6.561+6.885+5.238+5.1975+6.561+2.322</f>
        <v>32.7645</v>
      </c>
      <c r="H11" s="11"/>
      <c r="I11" s="11">
        <f>G11/(G3*0.1865)</f>
        <v>2.45707643562871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0</v>
      </c>
      <c r="D12" s="11">
        <v>0</v>
      </c>
      <c r="E12" s="11">
        <f t="shared" ref="E12:E23" si="1">D12+C12</f>
        <v>0</v>
      </c>
      <c r="F12" s="11" t="s">
        <v>14</v>
      </c>
      <c r="G12" s="11">
        <f>9.9728+12.0888+14.6464+14.8672+14.9224+16.2104</f>
        <v>82.708</v>
      </c>
      <c r="H12" s="11"/>
      <c r="I12" s="11">
        <f>G12/(G3*0.1865)</f>
        <v>6.20244099064474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0</v>
      </c>
      <c r="D13" s="12">
        <v>0</v>
      </c>
      <c r="E13" s="11">
        <f t="shared" si="1"/>
        <v>0</v>
      </c>
      <c r="F13" s="11" t="s">
        <v>26</v>
      </c>
      <c r="G13" s="11">
        <f>413+417+468+470+422+163</f>
        <v>2353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0</v>
      </c>
      <c r="D14" s="12">
        <v>0</v>
      </c>
      <c r="E14" s="11">
        <f t="shared" si="1"/>
        <v>0</v>
      </c>
      <c r="F14" s="11" t="s">
        <v>26</v>
      </c>
      <c r="G14" s="11">
        <f>876.24+1066.42+862.71+737.14+1030.59+99.19</f>
        <v>4672.29</v>
      </c>
      <c r="H14" s="11"/>
      <c r="I14" s="11"/>
      <c r="J14" s="11">
        <f>(C14*K14+L14*D14)/1000</f>
        <v>0</v>
      </c>
      <c r="K14" s="11">
        <v>0</v>
      </c>
      <c r="L14" s="11">
        <v>0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</f>
        <v>14.5797692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0</v>
      </c>
      <c r="D16" s="12">
        <v>0</v>
      </c>
      <c r="E16" s="11">
        <f t="shared" si="1"/>
        <v>0</v>
      </c>
      <c r="F16" s="11" t="s">
        <v>14</v>
      </c>
      <c r="G16" s="11">
        <f>32+28+32+36+32+6</f>
        <v>166</v>
      </c>
      <c r="H16" s="11"/>
      <c r="I16" s="11">
        <f>G16/(G3*0.1865)</f>
        <v>12.4486773280339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</f>
        <v>8</v>
      </c>
      <c r="H18" s="28"/>
      <c r="I18" s="28">
        <f>G18/(G3*0.1865)</f>
        <v>0.599936256772718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</f>
        <v>7.2</v>
      </c>
      <c r="H19" s="28"/>
      <c r="I19" s="28">
        <f>G19/(G3*0.1865)</f>
        <v>0.539942631095446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0</v>
      </c>
      <c r="D20" s="29">
        <v>0</v>
      </c>
      <c r="E20" s="11">
        <f t="shared" si="1"/>
        <v>0</v>
      </c>
      <c r="F20" s="11" t="s">
        <v>35</v>
      </c>
      <c r="G20" s="11">
        <f>5+5+9+7+4+2</f>
        <v>32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</f>
        <v>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0</v>
      </c>
      <c r="D22" s="29">
        <v>0</v>
      </c>
      <c r="E22" s="11">
        <f t="shared" si="1"/>
        <v>0</v>
      </c>
      <c r="F22" s="11" t="s">
        <v>26</v>
      </c>
      <c r="G22" s="11">
        <f>1223+1182+1152+1139+321</f>
        <v>5017</v>
      </c>
      <c r="H22" s="11">
        <v>0</v>
      </c>
      <c r="I22" s="28" t="e">
        <f>E22/H22</f>
        <v>#DIV/0!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0</v>
      </c>
      <c r="D23" s="29">
        <v>0</v>
      </c>
      <c r="E23" s="11">
        <f t="shared" si="1"/>
        <v>0</v>
      </c>
      <c r="F23" s="11" t="s">
        <v>26</v>
      </c>
      <c r="G23" s="11">
        <f>1518+1509+1506+1518+362</f>
        <v>6413</v>
      </c>
      <c r="H23" s="28"/>
      <c r="I23" s="28" t="e">
        <f>E23/H22</f>
        <v>#DIV/0!</v>
      </c>
      <c r="J23" s="11" t="s">
        <v>83</v>
      </c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0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76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77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78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84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3.42</v>
      </c>
      <c r="E32" s="11">
        <f t="shared" si="2"/>
        <v>3.42</v>
      </c>
      <c r="F32" s="11" t="s">
        <v>26</v>
      </c>
      <c r="G32" s="11">
        <f>15.93+12.34+15.8+13.36+10.55+6.69+3.42</f>
        <v>78.09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5</v>
      </c>
      <c r="E33" s="11">
        <f t="shared" si="2"/>
        <v>5</v>
      </c>
      <c r="F33" s="11" t="s">
        <v>26</v>
      </c>
      <c r="G33" s="11">
        <f>4+7+4+4+4+5+5</f>
        <v>33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</f>
        <v>34.7085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100</v>
      </c>
      <c r="D37" s="12">
        <v>98</v>
      </c>
      <c r="E37" s="11">
        <f t="shared" si="2"/>
        <v>198</v>
      </c>
      <c r="F37" s="11" t="s">
        <v>26</v>
      </c>
      <c r="G37" s="11">
        <f>89+159+208+194+187+193+198</f>
        <v>1228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490</v>
      </c>
      <c r="D38" s="12">
        <v>515</v>
      </c>
      <c r="E38" s="11">
        <f t="shared" si="2"/>
        <v>1005</v>
      </c>
      <c r="F38" s="11" t="s">
        <v>26</v>
      </c>
      <c r="G38" s="11">
        <f>990+994+979+1010+1020+1012+1005</f>
        <v>7010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750*1.36</f>
        <v>1020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86.86*1.99</f>
        <v>172.8514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</f>
        <v>3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B44" sqref="B44:M5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85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</v>
      </c>
      <c r="D3" s="10">
        <v>5.5</v>
      </c>
      <c r="E3" s="11">
        <f t="shared" ref="E3:E8" si="0">C3+D3</f>
        <v>5.5</v>
      </c>
      <c r="F3" s="11" t="s">
        <v>14</v>
      </c>
      <c r="G3" s="11">
        <f>13+12+13.5+14.5+13.5+5+5.5</f>
        <v>77</v>
      </c>
      <c r="H3" s="11">
        <v>303</v>
      </c>
      <c r="I3" s="11">
        <f>H3-G3</f>
        <v>226</v>
      </c>
      <c r="J3" s="11"/>
      <c r="K3" s="11"/>
      <c r="L3" s="11"/>
      <c r="M3" s="12">
        <f>I3/23</f>
        <v>9.82608695652174</v>
      </c>
    </row>
    <row r="4" s="1" customFormat="1" ht="56" customHeight="1" spans="1:13">
      <c r="A4" s="13">
        <v>2</v>
      </c>
      <c r="B4" s="9" t="s">
        <v>15</v>
      </c>
      <c r="C4" s="12">
        <v>0</v>
      </c>
      <c r="D4" s="12"/>
      <c r="E4" s="11">
        <f t="shared" si="0"/>
        <v>0</v>
      </c>
      <c r="F4" s="11" t="s">
        <v>14</v>
      </c>
      <c r="G4" s="11">
        <f>20+14+12+14+14+10+6</f>
        <v>90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</f>
        <v>858</v>
      </c>
      <c r="H5" s="14">
        <v>4120</v>
      </c>
      <c r="I5" s="14">
        <f>H5-G5-G7-G6</f>
        <v>3246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</f>
        <v>16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</f>
        <v>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1.863</v>
      </c>
      <c r="D11" s="11">
        <v>0</v>
      </c>
      <c r="E11" s="11">
        <f>C11+D11</f>
        <v>1.863</v>
      </c>
      <c r="F11" s="11" t="s">
        <v>14</v>
      </c>
      <c r="G11" s="11">
        <f>6.561+6.885+5.238+5.1975+6.561+2.322+1.863</f>
        <v>34.6275</v>
      </c>
      <c r="H11" s="11"/>
      <c r="I11" s="11">
        <f>G11/(G3*0.1865)</f>
        <v>2.41130183489433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0</v>
      </c>
      <c r="D12" s="11">
        <v>0</v>
      </c>
      <c r="E12" s="11">
        <f t="shared" ref="E12:E23" si="1">D12+C12</f>
        <v>0</v>
      </c>
      <c r="F12" s="11" t="s">
        <v>14</v>
      </c>
      <c r="G12" s="11">
        <f>9.9728+12.0888+14.6464+14.8672+14.9224+16.2104</f>
        <v>82.708</v>
      </c>
      <c r="H12" s="11"/>
      <c r="I12" s="11">
        <f>G12/(G3*0.1865)</f>
        <v>5.75940949131298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0</v>
      </c>
      <c r="D13" s="12">
        <v>77</v>
      </c>
      <c r="E13" s="11">
        <f t="shared" si="1"/>
        <v>77</v>
      </c>
      <c r="F13" s="11" t="s">
        <v>26</v>
      </c>
      <c r="G13" s="11">
        <f>413+417+468+470+422+163+77</f>
        <v>2430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0</v>
      </c>
      <c r="D14" s="12">
        <v>0</v>
      </c>
      <c r="E14" s="11">
        <f t="shared" si="1"/>
        <v>0</v>
      </c>
      <c r="F14" s="11" t="s">
        <v>26</v>
      </c>
      <c r="G14" s="11">
        <f>876.24+1066.42+862.71+737.14+1030.59+99.19</f>
        <v>4672.29</v>
      </c>
      <c r="H14" s="11"/>
      <c r="I14" s="11"/>
      <c r="J14" s="11">
        <f>(C14*K14+L14*D14)/1000</f>
        <v>0</v>
      </c>
      <c r="K14" s="11">
        <v>0</v>
      </c>
      <c r="L14" s="11">
        <v>0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</f>
        <v>14.5797692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0</v>
      </c>
      <c r="D16" s="12">
        <v>8</v>
      </c>
      <c r="E16" s="11">
        <f t="shared" si="1"/>
        <v>8</v>
      </c>
      <c r="F16" s="11" t="s">
        <v>14</v>
      </c>
      <c r="G16" s="11">
        <f>32+28+32+36+32+6+8</f>
        <v>174</v>
      </c>
      <c r="H16" s="11"/>
      <c r="I16" s="11">
        <f>G16/(G3*0.1865)</f>
        <v>12.1165697573204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</f>
        <v>8</v>
      </c>
      <c r="H18" s="28"/>
      <c r="I18" s="28">
        <f>G18/(G3*0.1865)</f>
        <v>0.557083667003238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</f>
        <v>7.2</v>
      </c>
      <c r="H19" s="28"/>
      <c r="I19" s="28">
        <f>G19/(G3*0.1865)</f>
        <v>0.501375300302914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0</v>
      </c>
      <c r="D20" s="29">
        <v>0</v>
      </c>
      <c r="E20" s="11">
        <f t="shared" si="1"/>
        <v>0</v>
      </c>
      <c r="F20" s="11" t="s">
        <v>35</v>
      </c>
      <c r="G20" s="11">
        <f>5+5+9+7+4+2</f>
        <v>32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</f>
        <v>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</v>
      </c>
      <c r="D22" s="29">
        <v>283</v>
      </c>
      <c r="E22" s="11">
        <f t="shared" si="1"/>
        <v>289</v>
      </c>
      <c r="F22" s="11" t="s">
        <v>26</v>
      </c>
      <c r="G22" s="11">
        <f>1223+1182+1152+1139+321+289</f>
        <v>5306</v>
      </c>
      <c r="H22" s="11">
        <v>5</v>
      </c>
      <c r="I22" s="28">
        <f>E22/H22</f>
        <v>57.8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0</v>
      </c>
      <c r="D23" s="29">
        <v>251</v>
      </c>
      <c r="E23" s="11">
        <f t="shared" si="1"/>
        <v>251</v>
      </c>
      <c r="F23" s="11" t="s">
        <v>26</v>
      </c>
      <c r="G23" s="11">
        <f>1518+1509+1506+1518+362+251</f>
        <v>6664</v>
      </c>
      <c r="H23" s="28"/>
      <c r="I23" s="28">
        <f>E23/H22</f>
        <v>50.2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0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86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78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87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3.38</v>
      </c>
      <c r="D32" s="12">
        <v>3.21</v>
      </c>
      <c r="E32" s="11">
        <f t="shared" si="2"/>
        <v>6.59</v>
      </c>
      <c r="F32" s="11" t="s">
        <v>26</v>
      </c>
      <c r="G32" s="11">
        <f>15.93+12.34+15.8+13.36+10.55+6.69+3.42+6.59</f>
        <v>84.68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4</v>
      </c>
      <c r="E33" s="11">
        <f t="shared" si="2"/>
        <v>4</v>
      </c>
      <c r="F33" s="11" t="s">
        <v>26</v>
      </c>
      <c r="G33" s="11">
        <f>4+7+4+4+4+5+5+4</f>
        <v>37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</f>
        <v>34.7085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80</v>
      </c>
      <c r="D37" s="12">
        <v>93</v>
      </c>
      <c r="E37" s="11">
        <f t="shared" si="2"/>
        <v>173</v>
      </c>
      <c r="F37" s="11" t="s">
        <v>26</v>
      </c>
      <c r="G37" s="11">
        <f>89+159+208+194+187+193+198+173</f>
        <v>1401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412</v>
      </c>
      <c r="D38" s="12">
        <v>530</v>
      </c>
      <c r="E38" s="11">
        <f t="shared" si="2"/>
        <v>942</v>
      </c>
      <c r="F38" s="11" t="s">
        <v>26</v>
      </c>
      <c r="G38" s="11">
        <f>990+994+979+1010+1020+1012+1005+942</f>
        <v>7952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750*1.36</f>
        <v>1020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86.86*1.92</f>
        <v>166.7712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0</v>
      </c>
      <c r="E42" s="11">
        <f>D42+C42</f>
        <v>1</v>
      </c>
      <c r="F42" s="11" t="s">
        <v>35</v>
      </c>
      <c r="G42" s="11">
        <f>1+1+1+1</f>
        <v>4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7" workbookViewId="0">
      <pane xSplit="2" topLeftCell="C1" activePane="topRight" state="frozen"/>
      <selection/>
      <selection pane="topRight"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88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4.5</v>
      </c>
      <c r="E3" s="11">
        <f t="shared" ref="E3:E8" si="0">C3+D3</f>
        <v>10.5</v>
      </c>
      <c r="F3" s="11" t="s">
        <v>14</v>
      </c>
      <c r="G3" s="11">
        <f>13+12+13.5+14.5+13.5+5+5.5+10.5</f>
        <v>87.5</v>
      </c>
      <c r="H3" s="11">
        <v>303</v>
      </c>
      <c r="I3" s="11">
        <f>H3-G3</f>
        <v>215.5</v>
      </c>
      <c r="J3" s="11"/>
      <c r="K3" s="11"/>
      <c r="L3" s="11"/>
      <c r="M3" s="12">
        <f>I3/22</f>
        <v>9.79545454545454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</f>
        <v>98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58</v>
      </c>
      <c r="D5" s="12">
        <v>90</v>
      </c>
      <c r="E5" s="11">
        <f t="shared" si="0"/>
        <v>148</v>
      </c>
      <c r="F5" s="11" t="s">
        <v>14</v>
      </c>
      <c r="G5" s="11">
        <f>160+179+142+152+179+46+148</f>
        <v>1006</v>
      </c>
      <c r="H5" s="14">
        <v>4120</v>
      </c>
      <c r="I5" s="14">
        <f>H5-G5-G7-G6</f>
        <v>3097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1</v>
      </c>
      <c r="D7" s="12">
        <v>0</v>
      </c>
      <c r="E7" s="11">
        <f t="shared" si="0"/>
        <v>1</v>
      </c>
      <c r="F7" s="11" t="s">
        <v>14</v>
      </c>
      <c r="G7" s="11">
        <f>3+5+2+1+4+1+1</f>
        <v>17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2.7675</v>
      </c>
      <c r="D11" s="11">
        <v>0</v>
      </c>
      <c r="E11" s="11">
        <f>C11+D11</f>
        <v>2.7675</v>
      </c>
      <c r="F11" s="11" t="s">
        <v>14</v>
      </c>
      <c r="G11" s="11">
        <f>6.561+6.885+5.238+5.1975+6.561+2.322+1.863+2.7675</f>
        <v>37.395</v>
      </c>
      <c r="H11" s="11"/>
      <c r="I11" s="11">
        <f>G11/(G3*0.1865)</f>
        <v>2.29153581003447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6.808</v>
      </c>
      <c r="D12" s="11">
        <v>0</v>
      </c>
      <c r="E12" s="11">
        <f t="shared" ref="E12:E23" si="1">D12+C12</f>
        <v>6.808</v>
      </c>
      <c r="F12" s="11" t="s">
        <v>14</v>
      </c>
      <c r="G12" s="11">
        <f>9.9728+12.0888+14.6464+14.8672+14.9224+16.2104+6.808</f>
        <v>89.516</v>
      </c>
      <c r="H12" s="11"/>
      <c r="I12" s="11">
        <f>G12/(G3*0.1865)</f>
        <v>5.4854691689008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187</v>
      </c>
      <c r="D13" s="12">
        <v>189</v>
      </c>
      <c r="E13" s="11">
        <f t="shared" si="1"/>
        <v>376</v>
      </c>
      <c r="F13" s="11" t="s">
        <v>26</v>
      </c>
      <c r="G13" s="11">
        <f>413+417+468+470+422+163+77+376</f>
        <v>2806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263.01</v>
      </c>
      <c r="D14" s="12">
        <v>277.89</v>
      </c>
      <c r="E14" s="11">
        <f t="shared" si="1"/>
        <v>540.9</v>
      </c>
      <c r="F14" s="11" t="s">
        <v>26</v>
      </c>
      <c r="G14" s="11">
        <f>876.24+1066.42+862.71+737.14+1030.59+99.19+540.9</f>
        <v>5213.19</v>
      </c>
      <c r="H14" s="11"/>
      <c r="I14" s="11"/>
      <c r="J14" s="11">
        <f>(C14*K14+L14*D14)/1000</f>
        <v>1.7018001</v>
      </c>
      <c r="K14" s="11">
        <v>3.1</v>
      </c>
      <c r="L14" s="11">
        <v>3.19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</f>
        <v>16.2815693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12</v>
      </c>
      <c r="E16" s="11">
        <f t="shared" si="1"/>
        <v>28</v>
      </c>
      <c r="F16" s="11" t="s">
        <v>14</v>
      </c>
      <c r="G16" s="11">
        <f>32+28+32+36+32+6+8+28</f>
        <v>202</v>
      </c>
      <c r="H16" s="11"/>
      <c r="I16" s="11">
        <f>G16/(G3*0.1865)</f>
        <v>12.3783990808119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0.24</v>
      </c>
      <c r="D18" s="29">
        <v>0</v>
      </c>
      <c r="E18" s="11">
        <f t="shared" si="1"/>
        <v>0.24</v>
      </c>
      <c r="F18" s="11" t="s">
        <v>14</v>
      </c>
      <c r="G18" s="11">
        <f>2+2+2+2+0.24</f>
        <v>8.24</v>
      </c>
      <c r="H18" s="28"/>
      <c r="I18" s="28">
        <f>G18/(G3*0.1865)</f>
        <v>0.504940635771735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</f>
        <v>7.2</v>
      </c>
      <c r="H19" s="28"/>
      <c r="I19" s="28">
        <f>G19/(G3*0.1865)</f>
        <v>0.441210264266565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5</v>
      </c>
      <c r="D20" s="29">
        <v>3</v>
      </c>
      <c r="E20" s="11">
        <f t="shared" si="1"/>
        <v>8</v>
      </c>
      <c r="F20" s="11" t="s">
        <v>35</v>
      </c>
      <c r="G20" s="11">
        <f>5+5+9+7+4+2+8</f>
        <v>40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</f>
        <v>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601</v>
      </c>
      <c r="D22" s="29">
        <v>607</v>
      </c>
      <c r="E22" s="11">
        <f t="shared" si="1"/>
        <v>1208</v>
      </c>
      <c r="F22" s="11" t="s">
        <v>26</v>
      </c>
      <c r="G22" s="11">
        <f>1223+1182+1152+1139+321+289+1208</f>
        <v>6514</v>
      </c>
      <c r="H22" s="11">
        <v>24</v>
      </c>
      <c r="I22" s="28">
        <f>E22/H22</f>
        <v>50.3333333333333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601</v>
      </c>
      <c r="D23" s="29">
        <v>747</v>
      </c>
      <c r="E23" s="11">
        <f t="shared" si="1"/>
        <v>1348</v>
      </c>
      <c r="F23" s="11" t="s">
        <v>26</v>
      </c>
      <c r="G23" s="11">
        <f>1518+1509+1506+1518+362+251+1348</f>
        <v>8012</v>
      </c>
      <c r="H23" s="28"/>
      <c r="I23" s="28">
        <f>E23/H22</f>
        <v>56.1666666666667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9.49</v>
      </c>
      <c r="D24" s="29">
        <v>23.63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90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46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91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0</f>
        <v>0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5.34</v>
      </c>
      <c r="D32" s="12">
        <v>3.05</v>
      </c>
      <c r="E32" s="11">
        <f t="shared" si="2"/>
        <v>8.39</v>
      </c>
      <c r="F32" s="11" t="s">
        <v>26</v>
      </c>
      <c r="G32" s="11">
        <f>15.93+12.34+15.8+13.36+10.55+6.69+3.42+6.59+8.39</f>
        <v>93.07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4+7+4+4+4+5+5+4+5</f>
        <v>42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8.1405</v>
      </c>
      <c r="D35" s="11">
        <v>0</v>
      </c>
      <c r="E35" s="11">
        <f t="shared" si="2"/>
        <v>8.1405</v>
      </c>
      <c r="F35" s="11" t="s">
        <v>14</v>
      </c>
      <c r="G35" s="12">
        <f>10.746+7.857+9.018+7.0875+8.1405</f>
        <v>42.849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92</v>
      </c>
      <c r="D37" s="12">
        <v>96</v>
      </c>
      <c r="E37" s="11">
        <f t="shared" si="2"/>
        <v>188</v>
      </c>
      <c r="F37" s="11" t="s">
        <v>26</v>
      </c>
      <c r="G37" s="11">
        <f>89+159+208+194+187+193+198+173+188</f>
        <v>1589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506</v>
      </c>
      <c r="D38" s="12">
        <v>493</v>
      </c>
      <c r="E38" s="11">
        <f t="shared" si="2"/>
        <v>999</v>
      </c>
      <c r="F38" s="11" t="s">
        <v>26</v>
      </c>
      <c r="G38" s="11">
        <f>990+994+979+1010+1020+1012+1005+942+999</f>
        <v>8951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750*1.4</f>
        <v>1050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86.86*1.96</f>
        <v>170.2456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1+1+1+1</f>
        <v>4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7" workbookViewId="0">
      <pane xSplit="2" topLeftCell="C1" activePane="topRight" state="frozen"/>
      <selection/>
      <selection pane="topRight" activeCell="C26" sqref="C26:L2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92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5</v>
      </c>
      <c r="E3" s="11">
        <f t="shared" ref="E3:E8" si="0">C3+D3</f>
        <v>11</v>
      </c>
      <c r="F3" s="11" t="s">
        <v>14</v>
      </c>
      <c r="G3" s="11">
        <f>13+12+13.5+14.5+13.5+5+5.5+10.5+11</f>
        <v>98.5</v>
      </c>
      <c r="H3" s="11">
        <v>303</v>
      </c>
      <c r="I3" s="11">
        <f>H3-G3</f>
        <v>204.5</v>
      </c>
      <c r="J3" s="11"/>
      <c r="K3" s="11"/>
      <c r="L3" s="11"/>
      <c r="M3" s="12">
        <f>I3/21</f>
        <v>9.73809523809524</v>
      </c>
    </row>
    <row r="4" s="1" customFormat="1" ht="56" customHeight="1" spans="1:13">
      <c r="A4" s="13">
        <v>2</v>
      </c>
      <c r="B4" s="9" t="s">
        <v>15</v>
      </c>
      <c r="C4" s="12">
        <v>10</v>
      </c>
      <c r="D4" s="12"/>
      <c r="E4" s="11">
        <f t="shared" si="0"/>
        <v>10</v>
      </c>
      <c r="F4" s="11" t="s">
        <v>14</v>
      </c>
      <c r="G4" s="11">
        <f>20+14+12+14+14+10+6+8+10</f>
        <v>108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80</v>
      </c>
      <c r="D5" s="12">
        <v>75</v>
      </c>
      <c r="E5" s="11">
        <f t="shared" si="0"/>
        <v>155</v>
      </c>
      <c r="F5" s="11" t="s">
        <v>14</v>
      </c>
      <c r="G5" s="11">
        <f>160+179+142+152+179+46+148+155</f>
        <v>1161</v>
      </c>
      <c r="H5" s="14">
        <v>4120</v>
      </c>
      <c r="I5" s="14">
        <f>H5-G5-G7-G6</f>
        <v>2942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</f>
        <v>17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3.402</v>
      </c>
      <c r="D11" s="11">
        <v>2.268</v>
      </c>
      <c r="E11" s="11">
        <f>C11+D11</f>
        <v>5.67</v>
      </c>
      <c r="F11" s="11" t="s">
        <v>14</v>
      </c>
      <c r="G11" s="11">
        <f>6.561+6.885+5.238+5.1975+6.561+2.322+1.863+2.7675+5.67</f>
        <v>43.065</v>
      </c>
      <c r="H11" s="11"/>
      <c r="I11" s="11">
        <f>G11/(G3*0.1865)</f>
        <v>2.34427947360542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11.6288</v>
      </c>
      <c r="D12" s="11">
        <v>0</v>
      </c>
      <c r="E12" s="11">
        <f t="shared" ref="E12:E23" si="1">D12+C12</f>
        <v>11.6288</v>
      </c>
      <c r="F12" s="11" t="s">
        <v>14</v>
      </c>
      <c r="G12" s="11">
        <f>9.9728+12.0888+14.6464+14.8672+14.9224+16.2104+6.808+11.6288</f>
        <v>101.1448</v>
      </c>
      <c r="H12" s="11"/>
      <c r="I12" s="11">
        <f>G12/(G3*0.1865)</f>
        <v>5.50590220601244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200</v>
      </c>
      <c r="D13" s="12">
        <v>225</v>
      </c>
      <c r="E13" s="11">
        <f t="shared" si="1"/>
        <v>425</v>
      </c>
      <c r="F13" s="11" t="s">
        <v>26</v>
      </c>
      <c r="G13" s="11">
        <f>413+417+468+470+422+163+77+376+425</f>
        <v>3231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294.02</v>
      </c>
      <c r="D14" s="12">
        <v>211.25</v>
      </c>
      <c r="E14" s="11">
        <f t="shared" si="1"/>
        <v>505.27</v>
      </c>
      <c r="F14" s="11" t="s">
        <v>26</v>
      </c>
      <c r="G14" s="11">
        <f>876.24+1066.42+862.71+737.14+1030.59+99.19+540.9+505.27</f>
        <v>5718.46</v>
      </c>
      <c r="H14" s="11"/>
      <c r="I14" s="11"/>
      <c r="J14" s="11">
        <f>(C14*K14+L14*D14)/1000</f>
        <v>1.5643356</v>
      </c>
      <c r="K14" s="11">
        <v>3.28</v>
      </c>
      <c r="L14" s="11">
        <v>2.84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</f>
        <v>17.8459049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12</v>
      </c>
      <c r="D16" s="12">
        <v>16</v>
      </c>
      <c r="E16" s="11">
        <f t="shared" si="1"/>
        <v>28</v>
      </c>
      <c r="F16" s="11" t="s">
        <v>14</v>
      </c>
      <c r="G16" s="11">
        <f>32+28+32+36+32+6+8+28+28</f>
        <v>230</v>
      </c>
      <c r="H16" s="11"/>
      <c r="I16" s="11">
        <f>G16/(G3*0.1865)</f>
        <v>12.5202433282073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</f>
        <v>0.15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</f>
        <v>8.24</v>
      </c>
      <c r="H18" s="28"/>
      <c r="I18" s="28">
        <f>G18/(G3*0.1865)</f>
        <v>0.448551326193166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</f>
        <v>7.2</v>
      </c>
      <c r="H19" s="28"/>
      <c r="I19" s="28">
        <f>G19/(G3*0.1865)</f>
        <v>0.391938052013446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5</v>
      </c>
      <c r="D20" s="29">
        <v>4</v>
      </c>
      <c r="E20" s="11">
        <f t="shared" si="1"/>
        <v>9</v>
      </c>
      <c r="F20" s="11" t="s">
        <v>35</v>
      </c>
      <c r="G20" s="11">
        <f>5+5+9+7+4+2+8+9</f>
        <v>49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</f>
        <v>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583</v>
      </c>
      <c r="D22" s="29">
        <v>613</v>
      </c>
      <c r="E22" s="11">
        <f t="shared" si="1"/>
        <v>1196</v>
      </c>
      <c r="F22" s="11" t="s">
        <v>26</v>
      </c>
      <c r="G22" s="11">
        <f>1223+1182+1152+1139+321+289+1208+1196</f>
        <v>7710</v>
      </c>
      <c r="H22" s="11">
        <v>24</v>
      </c>
      <c r="I22" s="28">
        <f>E22/H22</f>
        <v>49.8333333333333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734</v>
      </c>
      <c r="D23" s="29">
        <v>771</v>
      </c>
      <c r="E23" s="11">
        <f t="shared" si="1"/>
        <v>1505</v>
      </c>
      <c r="F23" s="11" t="s">
        <v>26</v>
      </c>
      <c r="G23" s="11">
        <f>1518+1509+1506+1518+362+251+1348+1505</f>
        <v>9517</v>
      </c>
      <c r="H23" s="28"/>
      <c r="I23" s="28">
        <f>E23/H22</f>
        <v>62.7083333333333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29.91</v>
      </c>
      <c r="D24" s="29">
        <v>28.38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93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94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95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30.73</v>
      </c>
      <c r="D31" s="12">
        <v>0</v>
      </c>
      <c r="E31" s="11">
        <f t="shared" ref="E31:E39" si="2">D31+C31</f>
        <v>30.73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3.14</v>
      </c>
      <c r="D32" s="12">
        <v>2.98</v>
      </c>
      <c r="E32" s="11">
        <f t="shared" si="2"/>
        <v>6.12</v>
      </c>
      <c r="F32" s="11" t="s">
        <v>26</v>
      </c>
      <c r="G32" s="11">
        <f>15.93+12.34+15.8+13.36+10.55+6.69+3.42+6.59+8.39+6.12</f>
        <v>99.19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7</v>
      </c>
      <c r="D33" s="12">
        <v>2</v>
      </c>
      <c r="E33" s="11">
        <f t="shared" si="2"/>
        <v>9</v>
      </c>
      <c r="F33" s="11" t="s">
        <v>26</v>
      </c>
      <c r="G33" s="11">
        <f>4+7+4+4+4+5+5+4+5+9</f>
        <v>51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</f>
        <v>42.849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56</v>
      </c>
      <c r="D37" s="12">
        <v>19</v>
      </c>
      <c r="E37" s="11">
        <f t="shared" si="2"/>
        <v>75</v>
      </c>
      <c r="F37" s="11" t="s">
        <v>26</v>
      </c>
      <c r="G37" s="11">
        <f>89+159+208+194+187+193+198+173+188+75</f>
        <v>1664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496</v>
      </c>
      <c r="D38" s="12">
        <v>484</v>
      </c>
      <c r="E38" s="11">
        <f t="shared" si="2"/>
        <v>980</v>
      </c>
      <c r="F38" s="11" t="s">
        <v>26</v>
      </c>
      <c r="G38" s="11">
        <f>990+994+979+1010+1020+1012+1005+942+999+980</f>
        <v>9931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750*1.4</f>
        <v>1050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86.86*1.85</f>
        <v>160.691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1+1+1+1</f>
        <v>4</v>
      </c>
      <c r="H42" s="28"/>
      <c r="I42" s="28"/>
      <c r="J42" s="32"/>
      <c r="K42" s="32"/>
      <c r="L42" s="32"/>
      <c r="M42" s="41">
        <v>0</v>
      </c>
    </row>
    <row r="43" s="1" customFormat="1" ht="49" customHeight="1" spans="1:13">
      <c r="A43" s="8">
        <v>13</v>
      </c>
      <c r="B43" s="42" t="s">
        <v>45</v>
      </c>
      <c r="C43" s="43" t="s">
        <v>61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30" workbookViewId="0">
      <pane xSplit="2" topLeftCell="C1" activePane="topRight" state="frozen"/>
      <selection/>
      <selection pane="topRight" activeCell="G42" sqref="G4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96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4</v>
      </c>
      <c r="E3" s="11">
        <f t="shared" ref="E3:E8" si="0">C3+D3</f>
        <v>11.5</v>
      </c>
      <c r="F3" s="11" t="s">
        <v>14</v>
      </c>
      <c r="G3" s="11">
        <f>13+12+13.5+14.5+13.5+5+5.5+10.5+11+11.5</f>
        <v>110</v>
      </c>
      <c r="H3" s="11">
        <v>303</v>
      </c>
      <c r="I3" s="11">
        <f>H3-G3</f>
        <v>193</v>
      </c>
      <c r="J3" s="11"/>
      <c r="K3" s="11"/>
      <c r="L3" s="11"/>
      <c r="M3" s="12">
        <f>I3/20</f>
        <v>9.65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</f>
        <v>120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20</v>
      </c>
      <c r="D5" s="12">
        <v>87</v>
      </c>
      <c r="E5" s="11">
        <f t="shared" si="0"/>
        <v>107</v>
      </c>
      <c r="F5" s="11" t="s">
        <v>14</v>
      </c>
      <c r="G5" s="11">
        <f>160+179+142+152+179+46+148+155+107</f>
        <v>1268</v>
      </c>
      <c r="H5" s="14">
        <v>4120</v>
      </c>
      <c r="I5" s="14">
        <f>H5-G5-G7-G6</f>
        <v>2829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5</v>
      </c>
      <c r="D7" s="12">
        <v>1</v>
      </c>
      <c r="E7" s="11">
        <f t="shared" si="0"/>
        <v>6</v>
      </c>
      <c r="F7" s="11" t="s">
        <v>14</v>
      </c>
      <c r="G7" s="11">
        <f>3+5+2+1+4+1+1+6</f>
        <v>23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</f>
        <v>61.89</v>
      </c>
      <c r="F9" s="14" t="s">
        <v>14</v>
      </c>
      <c r="G9" s="14">
        <f>0.273408+0.277413</f>
        <v>0.550821</v>
      </c>
      <c r="H9" s="14">
        <v>5.6</v>
      </c>
      <c r="I9" s="14">
        <f>H9-G9</f>
        <v>5.049179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4.8195</v>
      </c>
      <c r="D11" s="11">
        <v>0</v>
      </c>
      <c r="E11" s="11">
        <f>C11+D11</f>
        <v>4.8195</v>
      </c>
      <c r="F11" s="11" t="s">
        <v>14</v>
      </c>
      <c r="G11" s="11">
        <f>6.561+6.885+5.238+5.1975+6.561+2.322+1.863+2.7675+5.67+4.8195</f>
        <v>47.8845</v>
      </c>
      <c r="H11" s="11"/>
      <c r="I11" s="11">
        <f>G11/(G3*0.1865)</f>
        <v>2.33412137460395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17.1488</v>
      </c>
      <c r="D12" s="11">
        <v>0</v>
      </c>
      <c r="E12" s="11">
        <f t="shared" ref="E12:E23" si="1">D12+C12</f>
        <v>17.1488</v>
      </c>
      <c r="F12" s="11" t="s">
        <v>14</v>
      </c>
      <c r="G12" s="11">
        <f>9.9728+12.0888+14.6464+14.8672+14.9224+16.2104+6.808+11.6288+17.1488</f>
        <v>118.2936</v>
      </c>
      <c r="H12" s="11"/>
      <c r="I12" s="11">
        <f>G12/(G3*0.1865)</f>
        <v>5.76620034121375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190</v>
      </c>
      <c r="D13" s="12">
        <v>97</v>
      </c>
      <c r="E13" s="11">
        <f t="shared" si="1"/>
        <v>287</v>
      </c>
      <c r="F13" s="11" t="s">
        <v>26</v>
      </c>
      <c r="G13" s="11">
        <f>413+417+468+470+422+163+77+376+425+287</f>
        <v>3518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310.25</v>
      </c>
      <c r="D14" s="12">
        <v>549.76</v>
      </c>
      <c r="E14" s="11">
        <f t="shared" si="1"/>
        <v>860.01</v>
      </c>
      <c r="F14" s="11" t="s">
        <v>26</v>
      </c>
      <c r="G14" s="11">
        <f>876.24+1066.42+862.71+737.14+1030.59+99.19+540.9+505.27+860.01</f>
        <v>6578.47</v>
      </c>
      <c r="H14" s="11"/>
      <c r="I14" s="11"/>
      <c r="J14" s="11">
        <f>(C14*K14+L14*D14)/1000</f>
        <v>2.3665536</v>
      </c>
      <c r="K14" s="11">
        <v>2.56</v>
      </c>
      <c r="L14" s="11">
        <v>2.86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</f>
        <v>20.2124585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8</v>
      </c>
      <c r="E16" s="11">
        <f t="shared" si="1"/>
        <v>24</v>
      </c>
      <c r="F16" s="11" t="s">
        <v>14</v>
      </c>
      <c r="G16" s="11">
        <f>32+28+32+36+32+6+8+28+28+24</f>
        <v>254</v>
      </c>
      <c r="H16" s="11"/>
      <c r="I16" s="11">
        <f>G16/(G3*0.1865)</f>
        <v>12.381184499147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0.15</v>
      </c>
      <c r="D17" s="29">
        <v>0</v>
      </c>
      <c r="E17" s="11">
        <f t="shared" si="1"/>
        <v>0.15</v>
      </c>
      <c r="F17" s="11" t="s">
        <v>14</v>
      </c>
      <c r="G17" s="11">
        <f>0.15+0.15</f>
        <v>0.3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</f>
        <v>10.24</v>
      </c>
      <c r="H18" s="28"/>
      <c r="I18" s="28">
        <f>G18/(G3*0.1865)</f>
        <v>0.499146965634901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1.8+1.8+1.8+1.8+1.8</f>
        <v>9</v>
      </c>
      <c r="H19" s="28"/>
      <c r="I19" s="28">
        <f>G19/(G3*0.1865)</f>
        <v>0.43870338776505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4</v>
      </c>
      <c r="D20" s="29">
        <v>3</v>
      </c>
      <c r="E20" s="11">
        <f t="shared" si="1"/>
        <v>7</v>
      </c>
      <c r="F20" s="11" t="s">
        <v>35</v>
      </c>
      <c r="G20" s="11">
        <f>5+5+9+7+4+2+8+9+7</f>
        <v>56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2</v>
      </c>
      <c r="E21" s="11">
        <f t="shared" si="1"/>
        <v>2</v>
      </c>
      <c r="F21" s="11" t="s">
        <v>35</v>
      </c>
      <c r="G21" s="11">
        <f>1+1+1+2</f>
        <v>5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229</v>
      </c>
      <c r="D22" s="29">
        <v>567</v>
      </c>
      <c r="E22" s="11">
        <f t="shared" si="1"/>
        <v>796</v>
      </c>
      <c r="F22" s="11" t="s">
        <v>26</v>
      </c>
      <c r="G22" s="11">
        <f>1223+1182+1152+1139+321+289+1208+1196+796</f>
        <v>8506</v>
      </c>
      <c r="H22" s="11">
        <v>16</v>
      </c>
      <c r="I22" s="28">
        <f>E22/H22</f>
        <v>49.75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366</v>
      </c>
      <c r="D23" s="29">
        <v>652</v>
      </c>
      <c r="E23" s="11">
        <f t="shared" si="1"/>
        <v>1018</v>
      </c>
      <c r="F23" s="11" t="s">
        <v>26</v>
      </c>
      <c r="G23" s="11">
        <f>1518+1509+1506+1518+362+251+1348+1505+1018</f>
        <v>10535</v>
      </c>
      <c r="H23" s="28"/>
      <c r="I23" s="28">
        <f>E23/H22</f>
        <v>63.625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31.62</v>
      </c>
      <c r="D24" s="29">
        <v>32.83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97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98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99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6.46</v>
      </c>
      <c r="D32" s="12">
        <v>7.44</v>
      </c>
      <c r="E32" s="11">
        <f t="shared" si="2"/>
        <v>13.9</v>
      </c>
      <c r="F32" s="11" t="s">
        <v>26</v>
      </c>
      <c r="G32" s="11">
        <f>15.93+12.34+15.8+13.36+10.55+6.69+3.42+6.59+8.39+6.12+13.9</f>
        <v>113.09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4+7+4+4+4+5+5+4+5+9+5</f>
        <v>56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2.484</v>
      </c>
      <c r="D35" s="11">
        <v>0</v>
      </c>
      <c r="E35" s="11">
        <f t="shared" si="2"/>
        <v>2.484</v>
      </c>
      <c r="F35" s="11" t="s">
        <v>14</v>
      </c>
      <c r="G35" s="12">
        <f>10.746+7.857+9.018+7.0875+8.1405+2.484</f>
        <v>45.333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82</v>
      </c>
      <c r="D37" s="12">
        <v>67</v>
      </c>
      <c r="E37" s="11">
        <f t="shared" si="2"/>
        <v>149</v>
      </c>
      <c r="F37" s="11" t="s">
        <v>26</v>
      </c>
      <c r="G37" s="11">
        <f>89+159+208+194+187+193+198+173+188+75+149</f>
        <v>1813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482</v>
      </c>
      <c r="D38" s="12">
        <v>483</v>
      </c>
      <c r="E38" s="11">
        <f t="shared" si="2"/>
        <v>965</v>
      </c>
      <c r="F38" s="11" t="s">
        <v>26</v>
      </c>
      <c r="G38" s="11">
        <f>990+994+979+1010+1020+1012+1005+942+999+980+965</f>
        <v>10896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750*1.35</f>
        <v>1012.5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86.86*1.95</f>
        <v>169.377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2</v>
      </c>
      <c r="D42" s="29">
        <v>2</v>
      </c>
      <c r="E42" s="11">
        <f>D42+C42</f>
        <v>4</v>
      </c>
      <c r="F42" s="11" t="s">
        <v>35</v>
      </c>
      <c r="G42" s="11">
        <f>1+1+1+1+2+2</f>
        <v>8</v>
      </c>
      <c r="H42" s="28"/>
      <c r="I42" s="28"/>
      <c r="J42" s="32"/>
      <c r="K42" s="32"/>
      <c r="L42" s="32"/>
      <c r="M42" s="41" t="s">
        <v>100</v>
      </c>
    </row>
    <row r="43" s="1" customFormat="1" ht="55" customHeight="1" spans="1:13">
      <c r="A43" s="8">
        <v>13</v>
      </c>
      <c r="B43" s="42" t="s">
        <v>45</v>
      </c>
      <c r="C43" s="43" t="s">
        <v>101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27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102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3</v>
      </c>
      <c r="D3" s="10">
        <v>6.5</v>
      </c>
      <c r="E3" s="11">
        <f t="shared" ref="E3:E8" si="0">C3+D3</f>
        <v>9.5</v>
      </c>
      <c r="F3" s="11" t="s">
        <v>14</v>
      </c>
      <c r="G3" s="11">
        <f>13+12+13.5+14.5+13.5+5+5.5+10.5+11+11.5+9.5</f>
        <v>119.5</v>
      </c>
      <c r="H3" s="11">
        <v>303</v>
      </c>
      <c r="I3" s="11">
        <f>H3-G3</f>
        <v>183.5</v>
      </c>
      <c r="J3" s="11"/>
      <c r="K3" s="11"/>
      <c r="L3" s="11"/>
      <c r="M3" s="12">
        <f>I3/19</f>
        <v>9.6578947368421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</f>
        <v>128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71</v>
      </c>
      <c r="D5" s="12">
        <v>65</v>
      </c>
      <c r="E5" s="11">
        <f t="shared" si="0"/>
        <v>136</v>
      </c>
      <c r="F5" s="11" t="s">
        <v>14</v>
      </c>
      <c r="G5" s="11">
        <f>160+179+142+152+179+46+148+155+107+136</f>
        <v>1404</v>
      </c>
      <c r="H5" s="14">
        <v>4120</v>
      </c>
      <c r="I5" s="14">
        <f>H5-G5-G7-G6</f>
        <v>2685</v>
      </c>
      <c r="J5" s="11" t="s">
        <v>103</v>
      </c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6</v>
      </c>
      <c r="D7" s="12">
        <v>2</v>
      </c>
      <c r="E7" s="11">
        <f t="shared" si="0"/>
        <v>8</v>
      </c>
      <c r="F7" s="11" t="s">
        <v>14</v>
      </c>
      <c r="G7" s="11">
        <f>3+5+2+1+4+1+1+6+8</f>
        <v>31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64.3</v>
      </c>
      <c r="D9" s="19"/>
      <c r="E9" s="14">
        <f>30.72+31.17+64.3</f>
        <v>126.19</v>
      </c>
      <c r="F9" s="14" t="s">
        <v>14</v>
      </c>
      <c r="G9" s="14">
        <f>0.273408+0.277413+0.5787</f>
        <v>1.129521</v>
      </c>
      <c r="H9" s="14">
        <v>5.6</v>
      </c>
      <c r="I9" s="14">
        <f>H9-G9</f>
        <v>4.470479</v>
      </c>
      <c r="J9" s="20" t="s">
        <v>22</v>
      </c>
      <c r="K9" s="21">
        <v>0.9</v>
      </c>
      <c r="L9" s="14">
        <f>C9*K9/100</f>
        <v>0.5787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6.1425</v>
      </c>
      <c r="D11" s="11">
        <v>0</v>
      </c>
      <c r="E11" s="11">
        <f>C11+D11</f>
        <v>6.1425</v>
      </c>
      <c r="F11" s="11" t="s">
        <v>14</v>
      </c>
      <c r="G11" s="11">
        <f>6.561+6.885+5.238+5.1975+6.561+2.322+1.863+2.7675+5.67+4.8195+6.1425</f>
        <v>54.027</v>
      </c>
      <c r="H11" s="11"/>
      <c r="I11" s="11">
        <f>G11/(G3*0.1865)</f>
        <v>2.42417579952214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13.5056</v>
      </c>
      <c r="D12" s="11">
        <v>0</v>
      </c>
      <c r="E12" s="11">
        <f t="shared" ref="E12:E23" si="1">D12+C12</f>
        <v>13.5056</v>
      </c>
      <c r="F12" s="11" t="s">
        <v>14</v>
      </c>
      <c r="G12" s="11">
        <f>9.9728+12.0888+14.6464+14.8672+14.9224+16.2104+6.808+11.6288+17.1488+13.5056</f>
        <v>131.7992</v>
      </c>
      <c r="H12" s="11"/>
      <c r="I12" s="11">
        <f>G12/(G3*0.1865)</f>
        <v>5.9137918269824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145</v>
      </c>
      <c r="D13" s="12">
        <v>237</v>
      </c>
      <c r="E13" s="11">
        <f t="shared" si="1"/>
        <v>382</v>
      </c>
      <c r="F13" s="11" t="s">
        <v>26</v>
      </c>
      <c r="G13" s="11">
        <f>413+417+468+470+422+163+77+376+425+287+382</f>
        <v>3900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501.03</v>
      </c>
      <c r="D14" s="12">
        <v>455.96</v>
      </c>
      <c r="E14" s="11">
        <f t="shared" si="1"/>
        <v>956.99</v>
      </c>
      <c r="F14" s="11" t="s">
        <v>26</v>
      </c>
      <c r="G14" s="11">
        <f>876.24+1066.42+862.71+737.14+1030.59+99.19+540.9+505.27+860.01+956.99</f>
        <v>7535.46</v>
      </c>
      <c r="H14" s="11"/>
      <c r="I14" s="11"/>
      <c r="J14" s="11">
        <f>(C14*K14+L14*D14)/1000</f>
        <v>2.7447059</v>
      </c>
      <c r="K14" s="11">
        <v>2.93</v>
      </c>
      <c r="L14" s="11">
        <v>2.8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</f>
        <v>22.9571644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8</v>
      </c>
      <c r="D16" s="12">
        <v>16</v>
      </c>
      <c r="E16" s="11">
        <f t="shared" si="1"/>
        <v>24</v>
      </c>
      <c r="F16" s="11" t="s">
        <v>14</v>
      </c>
      <c r="G16" s="11">
        <f>32+28+32+36+32+6+8+28+28+24+24</f>
        <v>278</v>
      </c>
      <c r="H16" s="11"/>
      <c r="I16" s="11">
        <f>G16/(G3*0.1865)</f>
        <v>12.4737792634637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0.15</v>
      </c>
      <c r="D17" s="29">
        <v>0</v>
      </c>
      <c r="E17" s="11">
        <f t="shared" si="1"/>
        <v>0.15</v>
      </c>
      <c r="F17" s="11" t="s">
        <v>14</v>
      </c>
      <c r="G17" s="11">
        <f>0.15+0.15+0.15</f>
        <v>0.45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</f>
        <v>10.24</v>
      </c>
      <c r="H18" s="28"/>
      <c r="I18" s="28">
        <f>G18/(G3*0.1865)</f>
        <v>0.459465826107441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</f>
        <v>9</v>
      </c>
      <c r="H19" s="28"/>
      <c r="I19" s="28">
        <f>G19/(G3*0.1865)</f>
        <v>0.403827386227243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3</v>
      </c>
      <c r="E20" s="11">
        <f t="shared" si="1"/>
        <v>5</v>
      </c>
      <c r="F20" s="11" t="s">
        <v>35</v>
      </c>
      <c r="G20" s="11">
        <f>5+5+9+7+4+2+8+9+7+5</f>
        <v>61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</f>
        <v>5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571</v>
      </c>
      <c r="D22" s="29">
        <v>584</v>
      </c>
      <c r="E22" s="11">
        <f t="shared" si="1"/>
        <v>1155</v>
      </c>
      <c r="F22" s="11" t="s">
        <v>26</v>
      </c>
      <c r="G22" s="11">
        <f>1223+1182+1152+1139+321+289+1208+1196+796+1155</f>
        <v>9661</v>
      </c>
      <c r="H22" s="11">
        <v>24</v>
      </c>
      <c r="I22" s="28">
        <f>E22/H22</f>
        <v>48.125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722</v>
      </c>
      <c r="D23" s="29">
        <v>697</v>
      </c>
      <c r="E23" s="11">
        <f t="shared" si="1"/>
        <v>1419</v>
      </c>
      <c r="F23" s="11" t="s">
        <v>26</v>
      </c>
      <c r="G23" s="11">
        <f>1518+1509+1506+1518+362+251+1348+1505+1018+1419</f>
        <v>11954</v>
      </c>
      <c r="H23" s="28"/>
      <c r="I23" s="28">
        <f>E23/H22</f>
        <v>59.125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35.64</v>
      </c>
      <c r="D24" s="29">
        <v>28.2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104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105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106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6.24</v>
      </c>
      <c r="D32" s="12">
        <v>6.69</v>
      </c>
      <c r="E32" s="11">
        <f t="shared" si="2"/>
        <v>12.93</v>
      </c>
      <c r="F32" s="11" t="s">
        <v>26</v>
      </c>
      <c r="G32" s="11">
        <f>15.93+12.34+15.8+13.36+10.55+6.69+3.42+6.59+8.39+6.12+13.9+12.93</f>
        <v>126.02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4+7+4+4+4+5+5+4+5+9+5+5</f>
        <v>61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6.696</v>
      </c>
      <c r="D35" s="11">
        <v>0</v>
      </c>
      <c r="E35" s="11">
        <f t="shared" si="2"/>
        <v>6.696</v>
      </c>
      <c r="F35" s="11" t="s">
        <v>14</v>
      </c>
      <c r="G35" s="12">
        <f>10.746+7.857+9.018+7.0875+8.1405+2.484+6.696</f>
        <v>52.029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29</v>
      </c>
      <c r="D37" s="12">
        <v>78</v>
      </c>
      <c r="E37" s="11">
        <f t="shared" si="2"/>
        <v>107</v>
      </c>
      <c r="F37" s="11" t="s">
        <v>26</v>
      </c>
      <c r="G37" s="11">
        <f>89+159+208+194+187+193+198+173+188+75+149+107</f>
        <v>1920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473</v>
      </c>
      <c r="D38" s="12">
        <v>474</v>
      </c>
      <c r="E38" s="11">
        <f t="shared" si="2"/>
        <v>947</v>
      </c>
      <c r="F38" s="11" t="s">
        <v>26</v>
      </c>
      <c r="G38" s="11">
        <f>990+994+979+1010+1020+1012+1005+942+999+980+965+947</f>
        <v>11843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750*1.29</f>
        <v>967.5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86.86*2.03</f>
        <v>176.3258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1+1+1+1+2+2</f>
        <v>8</v>
      </c>
      <c r="H42" s="28"/>
      <c r="I42" s="28"/>
      <c r="J42" s="32"/>
      <c r="K42" s="32"/>
      <c r="L42" s="32"/>
      <c r="M42" s="41"/>
    </row>
    <row r="43" s="1" customFormat="1" ht="55" customHeight="1" spans="1:13">
      <c r="A43" s="8">
        <v>13</v>
      </c>
      <c r="B43" s="42" t="s">
        <v>45</v>
      </c>
      <c r="C43" s="43" t="s">
        <v>107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108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6</v>
      </c>
      <c r="E3" s="11">
        <f t="shared" ref="E3:E8" si="0">C3+D3</f>
        <v>11</v>
      </c>
      <c r="F3" s="11" t="s">
        <v>14</v>
      </c>
      <c r="G3" s="11">
        <f>13+12+13.5+14.5+13.5+5+5.5+10.5+11+11.5+9.5+11</f>
        <v>130.5</v>
      </c>
      <c r="H3" s="11">
        <v>303</v>
      </c>
      <c r="I3" s="11">
        <f>H3-G3</f>
        <v>172.5</v>
      </c>
      <c r="J3" s="11"/>
      <c r="K3" s="11"/>
      <c r="L3" s="11"/>
      <c r="M3" s="12">
        <f>I3/18</f>
        <v>9.58333333333333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20+14+12+14+14+10+6+8+10+12+8+12</f>
        <v>140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64</v>
      </c>
      <c r="D5" s="12">
        <v>54</v>
      </c>
      <c r="E5" s="11">
        <f t="shared" si="0"/>
        <v>118</v>
      </c>
      <c r="F5" s="11" t="s">
        <v>14</v>
      </c>
      <c r="G5" s="11">
        <f>160+179+142+152+179+46+148+155+107+136+118</f>
        <v>1522</v>
      </c>
      <c r="H5" s="14">
        <v>4120</v>
      </c>
      <c r="I5" s="14">
        <f>H5-G5-G7-G6</f>
        <v>2566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1</v>
      </c>
      <c r="D7" s="12">
        <v>0</v>
      </c>
      <c r="E7" s="11">
        <f t="shared" si="0"/>
        <v>1</v>
      </c>
      <c r="F7" s="11" t="s">
        <v>14</v>
      </c>
      <c r="G7" s="11">
        <f>3+5+2+1+4+1+1+6+8+1</f>
        <v>32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</f>
        <v>126.19</v>
      </c>
      <c r="F9" s="14" t="s">
        <v>14</v>
      </c>
      <c r="G9" s="14">
        <f>0.273408+0.277413+0.5787</f>
        <v>1.129521</v>
      </c>
      <c r="H9" s="14">
        <v>5.6</v>
      </c>
      <c r="I9" s="14">
        <f>H9-G9</f>
        <v>4.470479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7.0875</v>
      </c>
      <c r="D11" s="11">
        <v>1.2285</v>
      </c>
      <c r="E11" s="11">
        <f>C11+D11</f>
        <v>8.316</v>
      </c>
      <c r="F11" s="11" t="s">
        <v>14</v>
      </c>
      <c r="G11" s="11">
        <f>6.561+6.885+5.238+5.1975+6.561+2.322+1.863+2.7675+5.67+4.8195+6.1425+8.316</f>
        <v>62.343</v>
      </c>
      <c r="H11" s="11"/>
      <c r="I11" s="11">
        <f>G11/(G3*0.1865)</f>
        <v>2.56152352778035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9.66</v>
      </c>
      <c r="D12" s="11">
        <v>0</v>
      </c>
      <c r="E12" s="11">
        <f t="shared" ref="E12:E23" si="1">D12+C12</f>
        <v>9.66</v>
      </c>
      <c r="F12" s="11" t="s">
        <v>14</v>
      </c>
      <c r="G12" s="11">
        <f>9.9728+12.0888+14.6464+14.8672+14.9224+16.2104+6.808+11.6288+17.1488+13.5056+9.66</f>
        <v>141.4592</v>
      </c>
      <c r="H12" s="11"/>
      <c r="I12" s="11">
        <f>G12/(G3*0.1865)</f>
        <v>5.81221739443058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195</v>
      </c>
      <c r="D13" s="12">
        <v>214</v>
      </c>
      <c r="E13" s="11">
        <f t="shared" si="1"/>
        <v>409</v>
      </c>
      <c r="F13" s="11" t="s">
        <v>26</v>
      </c>
      <c r="G13" s="11">
        <f>413+417+468+470+422+163+77+376+425+287+382+409</f>
        <v>4309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499.12</v>
      </c>
      <c r="D14" s="12">
        <v>470.16</v>
      </c>
      <c r="E14" s="11">
        <f t="shared" si="1"/>
        <v>969.28</v>
      </c>
      <c r="F14" s="11" t="s">
        <v>26</v>
      </c>
      <c r="G14" s="11">
        <f>876.24+1066.42+862.71+737.14+1030.59+99.19+540.9+505.27+860.01+956.99+969.28</f>
        <v>8504.74</v>
      </c>
      <c r="H14" s="11"/>
      <c r="I14" s="11"/>
      <c r="J14" s="11">
        <f>(C14*K14+L14*D14)/1000</f>
        <v>2.808016</v>
      </c>
      <c r="K14" s="11">
        <v>2.8</v>
      </c>
      <c r="L14" s="11">
        <v>3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</f>
        <v>25.7651804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16</v>
      </c>
      <c r="E16" s="11">
        <f t="shared" si="1"/>
        <v>32</v>
      </c>
      <c r="F16" s="11" t="s">
        <v>14</v>
      </c>
      <c r="G16" s="11">
        <f>32+28+32+36+32+6+8+28+28+24+24+32</f>
        <v>310</v>
      </c>
      <c r="H16" s="11"/>
      <c r="I16" s="11">
        <f>G16/(G3*0.1865)</f>
        <v>12.7371524246813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</f>
        <v>0.45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</f>
        <v>12.24</v>
      </c>
      <c r="H18" s="28"/>
      <c r="I18" s="28">
        <f>G18/(G3*0.1865)</f>
        <v>0.502912082832578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1.8+1.8+1.8+1.8+1.8+1.8</f>
        <v>10.8</v>
      </c>
      <c r="H19" s="28"/>
      <c r="I19" s="28">
        <f>G19/(G3*0.1865)</f>
        <v>0.44374595544051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4</v>
      </c>
      <c r="D20" s="29">
        <v>5</v>
      </c>
      <c r="E20" s="11">
        <f t="shared" si="1"/>
        <v>9</v>
      </c>
      <c r="F20" s="11" t="s">
        <v>35</v>
      </c>
      <c r="G20" s="11">
        <f>5+5+9+7+4+2+8+9+7+5+9</f>
        <v>70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</f>
        <v>5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599</v>
      </c>
      <c r="D22" s="29">
        <v>481</v>
      </c>
      <c r="E22" s="11">
        <f t="shared" si="1"/>
        <v>1080</v>
      </c>
      <c r="F22" s="11" t="s">
        <v>26</v>
      </c>
      <c r="G22" s="11">
        <f>1223+1182+1152+1139+321+289+1208+1196+796+1155+1080</f>
        <v>10741</v>
      </c>
      <c r="H22" s="11">
        <v>21</v>
      </c>
      <c r="I22" s="28">
        <f>E22/H22</f>
        <v>51.4285714285714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731</v>
      </c>
      <c r="D23" s="29">
        <v>592</v>
      </c>
      <c r="E23" s="11">
        <f t="shared" si="1"/>
        <v>1323</v>
      </c>
      <c r="F23" s="11" t="s">
        <v>26</v>
      </c>
      <c r="G23" s="11">
        <f>1518+1509+1506+1518+362+251+1348+1505+1018+1419+1323</f>
        <v>13277</v>
      </c>
      <c r="H23" s="28"/>
      <c r="I23" s="28">
        <f>E23/H22</f>
        <v>63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23.97</v>
      </c>
      <c r="D24" s="29">
        <v>25.98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104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105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109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9.48</v>
      </c>
      <c r="D32" s="12">
        <v>3.11</v>
      </c>
      <c r="E32" s="11">
        <f t="shared" si="2"/>
        <v>12.59</v>
      </c>
      <c r="F32" s="11" t="s">
        <v>26</v>
      </c>
      <c r="G32" s="11">
        <f>15.93+12.34+15.8+13.36+10.55+6.69+3.42+6.59+8.39+6.12+13.9+12.93+12.59</f>
        <v>138.61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8</v>
      </c>
      <c r="D33" s="12">
        <v>2</v>
      </c>
      <c r="E33" s="11">
        <f t="shared" si="2"/>
        <v>10</v>
      </c>
      <c r="F33" s="11" t="s">
        <v>26</v>
      </c>
      <c r="G33" s="11">
        <f>4+7+4+4+4+5+5+4+5+9+5+5+10</f>
        <v>71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7.371</v>
      </c>
      <c r="D35" s="11">
        <v>0</v>
      </c>
      <c r="E35" s="11">
        <f t="shared" si="2"/>
        <v>7.371</v>
      </c>
      <c r="F35" s="11" t="s">
        <v>14</v>
      </c>
      <c r="G35" s="12">
        <f>10.746+7.857+9.018+7.0875+8.1405+2.484+6.696+7.371</f>
        <v>59.4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24</v>
      </c>
      <c r="D37" s="12">
        <v>65</v>
      </c>
      <c r="E37" s="11">
        <f t="shared" si="2"/>
        <v>89</v>
      </c>
      <c r="F37" s="11" t="s">
        <v>26</v>
      </c>
      <c r="G37" s="11">
        <f>89+159+208+194+187+193+198+173+188+75+149+107+89</f>
        <v>2009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470</v>
      </c>
      <c r="D38" s="12">
        <v>445</v>
      </c>
      <c r="E38" s="11">
        <f t="shared" si="2"/>
        <v>915</v>
      </c>
      <c r="F38" s="11" t="s">
        <v>26</v>
      </c>
      <c r="G38" s="11">
        <f>990+994+979+1010+1020+1012+1005+942+999+980+965+947+915</f>
        <v>12758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750*1.24</f>
        <v>930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86.86*2.05</f>
        <v>178.063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2</v>
      </c>
      <c r="D42" s="29">
        <v>0</v>
      </c>
      <c r="E42" s="11">
        <f>D42+C42</f>
        <v>2</v>
      </c>
      <c r="F42" s="11" t="s">
        <v>35</v>
      </c>
      <c r="G42" s="11">
        <f>1+1+1+1+2+2+2</f>
        <v>10</v>
      </c>
      <c r="H42" s="28"/>
      <c r="I42" s="28"/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110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111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4</v>
      </c>
      <c r="D3" s="10">
        <v>6.5</v>
      </c>
      <c r="E3" s="11">
        <f t="shared" ref="E3:E8" si="0">C3+D3</f>
        <v>10.5</v>
      </c>
      <c r="F3" s="11" t="s">
        <v>14</v>
      </c>
      <c r="G3" s="11">
        <f>13+12+13.5+14.5+13.5+5+5.5+10.5+11+11.5+9.5+11+10.5</f>
        <v>141</v>
      </c>
      <c r="H3" s="11">
        <v>303</v>
      </c>
      <c r="I3" s="11">
        <f>H3-G3</f>
        <v>162</v>
      </c>
      <c r="J3" s="11"/>
      <c r="K3" s="11"/>
      <c r="L3" s="11"/>
      <c r="M3" s="12">
        <f>I3/17</f>
        <v>9.52941176470588</v>
      </c>
    </row>
    <row r="4" s="1" customFormat="1" ht="56" customHeight="1" spans="1:13">
      <c r="A4" s="13">
        <v>2</v>
      </c>
      <c r="B4" s="9" t="s">
        <v>15</v>
      </c>
      <c r="C4" s="12">
        <v>10</v>
      </c>
      <c r="D4" s="12"/>
      <c r="E4" s="11">
        <f t="shared" si="0"/>
        <v>10</v>
      </c>
      <c r="F4" s="11" t="s">
        <v>14</v>
      </c>
      <c r="G4" s="11">
        <f>20+14+12+14+14+10+6+8+10+12+8+12+10</f>
        <v>150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92</v>
      </c>
      <c r="D5" s="12">
        <v>79</v>
      </c>
      <c r="E5" s="11">
        <f t="shared" si="0"/>
        <v>171</v>
      </c>
      <c r="F5" s="11" t="s">
        <v>14</v>
      </c>
      <c r="G5" s="11">
        <f>160+179+142+152+179+46+148+155+107+136+118+171</f>
        <v>1693</v>
      </c>
      <c r="H5" s="14">
        <v>4120</v>
      </c>
      <c r="I5" s="14">
        <f>H5-G5-G7-G6</f>
        <v>2394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3+5+2+1+4+1+1+6+8+1+1</f>
        <v>33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</f>
        <v>126.19</v>
      </c>
      <c r="F9" s="14" t="s">
        <v>14</v>
      </c>
      <c r="G9" s="14">
        <f>0.273408+0.277413+0.5787</f>
        <v>1.129521</v>
      </c>
      <c r="H9" s="14">
        <v>5.6</v>
      </c>
      <c r="I9" s="14">
        <f>H9-G9</f>
        <v>4.470479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3.024</v>
      </c>
      <c r="D11" s="11">
        <v>0</v>
      </c>
      <c r="E11" s="11">
        <f>C11+D11</f>
        <v>3.024</v>
      </c>
      <c r="F11" s="11" t="s">
        <v>14</v>
      </c>
      <c r="G11" s="11">
        <f>6.561+6.885+5.238+5.1975+6.561+2.322+1.863+2.7675+5.67+4.8195+6.1425+8.316+3.024</f>
        <v>65.367</v>
      </c>
      <c r="H11" s="11"/>
      <c r="I11" s="11">
        <f>G11/(G3*0.1865)</f>
        <v>2.48576806799384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12.8616</v>
      </c>
      <c r="D12" s="11">
        <v>0</v>
      </c>
      <c r="E12" s="11">
        <f t="shared" ref="E12:E23" si="1">D12+C12</f>
        <v>12.8616</v>
      </c>
      <c r="F12" s="11" t="s">
        <v>14</v>
      </c>
      <c r="G12" s="11">
        <f>9.9728+12.0888+14.6464+14.8672+14.9224+16.2104+6.808+11.6288+17.1488+13.5056+9.66+12.8616</f>
        <v>154.3208</v>
      </c>
      <c r="H12" s="11"/>
      <c r="I12" s="11">
        <f>G12/(G3*0.1865)</f>
        <v>5.8684920046394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140</v>
      </c>
      <c r="D13" s="12">
        <v>199</v>
      </c>
      <c r="E13" s="11">
        <f t="shared" si="1"/>
        <v>339</v>
      </c>
      <c r="F13" s="11" t="s">
        <v>26</v>
      </c>
      <c r="G13" s="11">
        <f>413+417+468+470+422+163+77+376+425+287+382+409+339</f>
        <v>4648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476.86</v>
      </c>
      <c r="D14" s="12">
        <v>431.89</v>
      </c>
      <c r="E14" s="11">
        <f t="shared" si="1"/>
        <v>908.75</v>
      </c>
      <c r="F14" s="11" t="s">
        <v>26</v>
      </c>
      <c r="G14" s="11">
        <f>876.24+1066.42+862.71+737.14+1030.59+99.19+540.9+505.27+860.01+956.99+969.28+908.75</f>
        <v>9413.49</v>
      </c>
      <c r="H14" s="11"/>
      <c r="I14" s="11"/>
      <c r="J14" s="11">
        <f>(C14*K14+L14*D14)/1000</f>
        <v>2.8936942</v>
      </c>
      <c r="K14" s="11">
        <v>3.17</v>
      </c>
      <c r="L14" s="11">
        <v>3.2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</f>
        <v>28.6588746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4</v>
      </c>
      <c r="D16" s="12">
        <v>16</v>
      </c>
      <c r="E16" s="11">
        <f t="shared" si="1"/>
        <v>20</v>
      </c>
      <c r="F16" s="11" t="s">
        <v>14</v>
      </c>
      <c r="G16" s="11">
        <f>32+28+32+36+32+6+8+28+28+24+24+32+20</f>
        <v>330</v>
      </c>
      <c r="H16" s="11"/>
      <c r="I16" s="11">
        <f>G16/(G3*0.1865)</f>
        <v>12.5491985625463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</f>
        <v>0.45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</f>
        <v>12.24</v>
      </c>
      <c r="H18" s="28"/>
      <c r="I18" s="28">
        <f>G18/(G3*0.1865)</f>
        <v>0.465461183047174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</f>
        <v>10.8</v>
      </c>
      <c r="H19" s="28"/>
      <c r="I19" s="28">
        <f>G19/(G3*0.1865)</f>
        <v>0.410701043865153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4</v>
      </c>
      <c r="D20" s="29">
        <v>1</v>
      </c>
      <c r="E20" s="11">
        <f t="shared" si="1"/>
        <v>5</v>
      </c>
      <c r="F20" s="11" t="s">
        <v>35</v>
      </c>
      <c r="G20" s="11">
        <f>5+5+9+7+4+2+8+9+7+5+9+5</f>
        <v>75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1</v>
      </c>
      <c r="E21" s="11">
        <f t="shared" si="1"/>
        <v>1</v>
      </c>
      <c r="F21" s="11" t="s">
        <v>35</v>
      </c>
      <c r="G21" s="11">
        <f>1+1+1+2+1</f>
        <v>6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603</v>
      </c>
      <c r="D22" s="29">
        <v>603</v>
      </c>
      <c r="E22" s="11">
        <f t="shared" si="1"/>
        <v>1206</v>
      </c>
      <c r="F22" s="11" t="s">
        <v>26</v>
      </c>
      <c r="G22" s="11">
        <f>1223+1182+1152+1139+321+289+1208+1196+796+1155+1080+1206</f>
        <v>11947</v>
      </c>
      <c r="H22" s="11">
        <v>24</v>
      </c>
      <c r="I22" s="28">
        <f>E22/H22</f>
        <v>50.25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719</v>
      </c>
      <c r="D23" s="29">
        <v>771</v>
      </c>
      <c r="E23" s="11">
        <f t="shared" si="1"/>
        <v>1490</v>
      </c>
      <c r="F23" s="11" t="s">
        <v>26</v>
      </c>
      <c r="G23" s="11">
        <f>1518+1509+1506+1518+362+251+1348+1505+1018+1419+1323+1490</f>
        <v>14767</v>
      </c>
      <c r="H23" s="28"/>
      <c r="I23" s="28">
        <f>E23/H22</f>
        <v>62.0833333333333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26.15</v>
      </c>
      <c r="D24" s="29">
        <v>27.2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112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105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113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3.62</v>
      </c>
      <c r="D32" s="12">
        <v>3.09</v>
      </c>
      <c r="E32" s="11">
        <f t="shared" si="2"/>
        <v>6.71</v>
      </c>
      <c r="F32" s="11" t="s">
        <v>26</v>
      </c>
      <c r="G32" s="11">
        <f>15.93+12.34+15.8+13.36+10.55+6.69+3.42+6.59+8.39+6.12+13.9+12.93+12.59+6.71</f>
        <v>145.32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3</v>
      </c>
      <c r="E33" s="11">
        <f t="shared" si="2"/>
        <v>5</v>
      </c>
      <c r="F33" s="11" t="s">
        <v>26</v>
      </c>
      <c r="G33" s="11">
        <f>4+7+4+4+4+5+5+4+5+9+5+5+10+5</f>
        <v>76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</f>
        <v>59.4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15</v>
      </c>
      <c r="D37" s="12">
        <v>0</v>
      </c>
      <c r="E37" s="11">
        <f t="shared" si="2"/>
        <v>15</v>
      </c>
      <c r="F37" s="11" t="s">
        <v>26</v>
      </c>
      <c r="G37" s="11">
        <f>89+159+208+194+187+193+198+173+188+75+149+107+89+15</f>
        <v>2024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471</v>
      </c>
      <c r="D38" s="12">
        <v>474</v>
      </c>
      <c r="E38" s="11">
        <f t="shared" si="2"/>
        <v>945</v>
      </c>
      <c r="F38" s="11" t="s">
        <v>26</v>
      </c>
      <c r="G38" s="11">
        <f>990+994+979+1010+1020+1012+1005+942+999+980+965+947+915+945</f>
        <v>13703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750*1.2</f>
        <v>900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86.86*1.92</f>
        <v>166.7712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</f>
        <v>12</v>
      </c>
      <c r="H42" s="28"/>
      <c r="I42" s="28"/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115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6</v>
      </c>
      <c r="E3" s="11">
        <f t="shared" ref="E3:E8" si="0">C3+D3</f>
        <v>12.5</v>
      </c>
      <c r="F3" s="11" t="s">
        <v>14</v>
      </c>
      <c r="G3" s="11">
        <f>13+12+13.5+14.5+13.5+5+5.5+10.5+11+11.5+9.5+11+10.5+12.5</f>
        <v>153.5</v>
      </c>
      <c r="H3" s="11">
        <v>303</v>
      </c>
      <c r="I3" s="11">
        <f>H3-G3</f>
        <v>149.5</v>
      </c>
      <c r="J3" s="11"/>
      <c r="K3" s="11"/>
      <c r="L3" s="11"/>
      <c r="M3" s="12">
        <f>I3/16</f>
        <v>9.34375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20+14+12+14+14+10+6+8+10+12+8+12+10+12</f>
        <v>162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59</v>
      </c>
      <c r="D5" s="12">
        <v>74</v>
      </c>
      <c r="E5" s="11">
        <f t="shared" si="0"/>
        <v>133</v>
      </c>
      <c r="F5" s="11" t="s">
        <v>14</v>
      </c>
      <c r="G5" s="11">
        <f>160+179+142+152+179+46+148+155+107+136+118+171+133</f>
        <v>1826</v>
      </c>
      <c r="H5" s="14">
        <v>4120</v>
      </c>
      <c r="I5" s="14">
        <f>H5-G5-G7-G6</f>
        <v>2257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4</v>
      </c>
      <c r="D7" s="12">
        <v>0</v>
      </c>
      <c r="E7" s="11">
        <f t="shared" si="0"/>
        <v>4</v>
      </c>
      <c r="F7" s="11" t="s">
        <v>14</v>
      </c>
      <c r="G7" s="11">
        <f>3+5+2+1+4+1+1+6+8+1+1+4</f>
        <v>37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31.37</v>
      </c>
      <c r="D9" s="19"/>
      <c r="E9" s="14">
        <f>30.72+31.17+64.3+31.37</f>
        <v>157.56</v>
      </c>
      <c r="F9" s="14" t="s">
        <v>14</v>
      </c>
      <c r="G9" s="14">
        <f>0.273408+0.277413+0.5787+0.276056</f>
        <v>1.405577</v>
      </c>
      <c r="H9" s="14">
        <v>5.6</v>
      </c>
      <c r="I9" s="14">
        <f>H9-G9</f>
        <v>4.194423</v>
      </c>
      <c r="J9" s="20" t="s">
        <v>22</v>
      </c>
      <c r="K9" s="21">
        <v>0.88</v>
      </c>
      <c r="L9" s="14">
        <f>C9*K9/100</f>
        <v>0.276056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4.5495</v>
      </c>
      <c r="D11" s="11">
        <v>2.214</v>
      </c>
      <c r="E11" s="11">
        <f>C11+D11</f>
        <v>6.7635</v>
      </c>
      <c r="F11" s="11" t="s">
        <v>14</v>
      </c>
      <c r="G11" s="11">
        <f>6.561+6.885+5.238+5.1975+6.561+2.322+1.863+2.7675+5.67+4.8195+6.1425+8.316+3.024+6.7635</f>
        <v>72.1305</v>
      </c>
      <c r="H11" s="11"/>
      <c r="I11" s="11">
        <f>G11/(G3*0.1865)</f>
        <v>2.5196007370471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11.2976</v>
      </c>
      <c r="D12" s="11">
        <v>0</v>
      </c>
      <c r="E12" s="11">
        <f t="shared" ref="E12:E23" si="1">D12+C12</f>
        <v>11.2976</v>
      </c>
      <c r="F12" s="11" t="s">
        <v>14</v>
      </c>
      <c r="G12" s="11">
        <f>9.9728+12.0888+14.6464+14.8672+14.9224+16.2104+6.808+11.6288+17.1488+13.5056+9.66+12.8616+11.2976</f>
        <v>165.6184</v>
      </c>
      <c r="H12" s="11"/>
      <c r="I12" s="11">
        <f>G12/(G3*0.1865)</f>
        <v>5.78523984595366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243</v>
      </c>
      <c r="D13" s="12">
        <v>202</v>
      </c>
      <c r="E13" s="11">
        <f t="shared" si="1"/>
        <v>445</v>
      </c>
      <c r="F13" s="11" t="s">
        <v>26</v>
      </c>
      <c r="G13" s="11">
        <f>413+417+468+470+422+163+77+376+425+287+382+409+339+445</f>
        <v>5093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455.32</v>
      </c>
      <c r="D14" s="12">
        <v>459.93</v>
      </c>
      <c r="E14" s="11">
        <f t="shared" si="1"/>
        <v>915.25</v>
      </c>
      <c r="F14" s="11" t="s">
        <v>26</v>
      </c>
      <c r="G14" s="11">
        <f>876.24+1066.42+862.71+737.14+1030.59+99.19+540.9+505.27+860.01+956.99+969.28+908.75+915.25</f>
        <v>10328.74</v>
      </c>
      <c r="H14" s="11"/>
      <c r="I14" s="11"/>
      <c r="J14" s="11">
        <f>(C14*K14+L14*D14)/1000</f>
        <v>2.9746547</v>
      </c>
      <c r="K14" s="11">
        <v>3.23</v>
      </c>
      <c r="L14" s="11">
        <v>3.27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</f>
        <v>31.6335293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16</v>
      </c>
      <c r="E16" s="11">
        <f t="shared" si="1"/>
        <v>32</v>
      </c>
      <c r="F16" s="11" t="s">
        <v>14</v>
      </c>
      <c r="G16" s="11">
        <f>32+28+32+36+32+6+8+28+28+24+24+32+20+32</f>
        <v>362</v>
      </c>
      <c r="H16" s="11"/>
      <c r="I16" s="11">
        <f>G16/(G3*0.1865)</f>
        <v>12.6450733990621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</f>
        <v>0.45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</f>
        <v>14.24</v>
      </c>
      <c r="H18" s="28"/>
      <c r="I18" s="28">
        <f>G18/(G3*0.1865)</f>
        <v>0.497419461885758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1.8+1.8+1.8+1.8+1.8+1.8+1.8</f>
        <v>12.6</v>
      </c>
      <c r="H19" s="28"/>
      <c r="I19" s="28">
        <f>G19/(G3*0.1865)</f>
        <v>0.440132389028128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4</v>
      </c>
      <c r="D20" s="29">
        <v>2</v>
      </c>
      <c r="E20" s="11">
        <f t="shared" si="1"/>
        <v>6</v>
      </c>
      <c r="F20" s="11" t="s">
        <v>35</v>
      </c>
      <c r="G20" s="11">
        <f>5+5+9+7+4+2+8+9+7+5+9+5+6</f>
        <v>81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1+1+1+2+1</f>
        <v>6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583</v>
      </c>
      <c r="D22" s="29">
        <v>573</v>
      </c>
      <c r="E22" s="11">
        <f t="shared" si="1"/>
        <v>1156</v>
      </c>
      <c r="F22" s="11" t="s">
        <v>26</v>
      </c>
      <c r="G22" s="11">
        <f>1223+1182+1152+1139+321+289+1208+1196+796+1155+1080+1206+1156</f>
        <v>13103</v>
      </c>
      <c r="H22" s="11">
        <v>24</v>
      </c>
      <c r="I22" s="28">
        <f>E22/H22</f>
        <v>48.1666666666667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738</v>
      </c>
      <c r="D23" s="29">
        <v>729</v>
      </c>
      <c r="E23" s="11">
        <f t="shared" si="1"/>
        <v>1467</v>
      </c>
      <c r="F23" s="11" t="s">
        <v>26</v>
      </c>
      <c r="G23" s="11">
        <f>1518+1509+1506+1518+362+251+1348+1505+1018+1419+1323+1490+1467</f>
        <v>16234</v>
      </c>
      <c r="H23" s="28"/>
      <c r="I23" s="28">
        <f>E23/H22</f>
        <v>61.125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26.85</v>
      </c>
      <c r="D24" s="29">
        <v>23.84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116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105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117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6.1</v>
      </c>
      <c r="D32" s="12">
        <v>6.05</v>
      </c>
      <c r="E32" s="11">
        <f t="shared" si="2"/>
        <v>12.15</v>
      </c>
      <c r="F32" s="11" t="s">
        <v>26</v>
      </c>
      <c r="G32" s="11">
        <f>15.93+12.34+15.8+13.36+10.55+6.69+3.42+6.59+8.39+6.12+13.9+12.93+12.59+6.71+12.15</f>
        <v>157.47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3</v>
      </c>
      <c r="E33" s="11">
        <f t="shared" si="2"/>
        <v>5</v>
      </c>
      <c r="F33" s="11" t="s">
        <v>26</v>
      </c>
      <c r="G33" s="11">
        <f>4+7+4+4+4+5+5+4+5+9+5+5+10+5+5</f>
        <v>81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</f>
        <v>59.4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16</v>
      </c>
      <c r="D37" s="12">
        <v>0</v>
      </c>
      <c r="E37" s="11">
        <f t="shared" si="2"/>
        <v>16</v>
      </c>
      <c r="F37" s="11" t="s">
        <v>26</v>
      </c>
      <c r="G37" s="11">
        <f>89+159+208+194+187+193+198+173+188+75+149+107+89+15+16</f>
        <v>2040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471</v>
      </c>
      <c r="D38" s="12">
        <v>476</v>
      </c>
      <c r="E38" s="11">
        <f t="shared" si="2"/>
        <v>947</v>
      </c>
      <c r="F38" s="11" t="s">
        <v>26</v>
      </c>
      <c r="G38" s="11">
        <f>990+994+979+1010+1020+1012+1005+942+999+980+965+947+915+945+947</f>
        <v>14650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750*1.1</f>
        <v>825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86.86*1.97</f>
        <v>171.1142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1+1+1+1+2+2+2+2+2</f>
        <v>14</v>
      </c>
      <c r="H42" s="28"/>
      <c r="I42" s="28"/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118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5.5</v>
      </c>
      <c r="E3" s="11">
        <f t="shared" ref="E3:E8" si="0">C3+D3</f>
        <v>12.5</v>
      </c>
      <c r="F3" s="11" t="s">
        <v>14</v>
      </c>
      <c r="G3" s="11">
        <f>13+12+13.5+14.5+13.5+5+5.5+10.5+11+11.5+9.5+11+10.5+12.5+12.5</f>
        <v>166</v>
      </c>
      <c r="H3" s="11">
        <v>303</v>
      </c>
      <c r="I3" s="11">
        <f>H3-G3</f>
        <v>137</v>
      </c>
      <c r="J3" s="11"/>
      <c r="K3" s="11"/>
      <c r="L3" s="11"/>
      <c r="M3" s="12">
        <f>I3/15</f>
        <v>9.13333333333333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20+14+12+14+14+10+6+8+10+12+8+12+10+12+14</f>
        <v>176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81</v>
      </c>
      <c r="D5" s="12">
        <v>76</v>
      </c>
      <c r="E5" s="11">
        <f t="shared" si="0"/>
        <v>157</v>
      </c>
      <c r="F5" s="11" t="s">
        <v>14</v>
      </c>
      <c r="G5" s="11">
        <f>160+179+142+152+179+46+148+155+107+136+118+171+133+157</f>
        <v>1983</v>
      </c>
      <c r="H5" s="14">
        <v>4120</v>
      </c>
      <c r="I5" s="14">
        <f>H5-G5-G7-G6</f>
        <v>2100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3+5+2+1+4+1+1+6+8+1+1+4</f>
        <v>37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30.66</v>
      </c>
      <c r="D9" s="19"/>
      <c r="E9" s="14">
        <f>30.72+31.17+64.3+31.37+30.66</f>
        <v>188.22</v>
      </c>
      <c r="F9" s="14" t="s">
        <v>14</v>
      </c>
      <c r="G9" s="14">
        <f>0.273408+0.277413+0.5787+0.276056+0.269808</f>
        <v>1.675385</v>
      </c>
      <c r="H9" s="14">
        <v>5.6</v>
      </c>
      <c r="I9" s="14">
        <f>H9-G9</f>
        <v>3.924615</v>
      </c>
      <c r="J9" s="20" t="s">
        <v>22</v>
      </c>
      <c r="K9" s="21">
        <v>0.88</v>
      </c>
      <c r="L9" s="14">
        <f>C9*K9/100</f>
        <v>0.269808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3.6315</v>
      </c>
      <c r="D11" s="11">
        <v>1.512</v>
      </c>
      <c r="E11" s="11">
        <f>C11+D11</f>
        <v>5.1435</v>
      </c>
      <c r="F11" s="11" t="s">
        <v>14</v>
      </c>
      <c r="G11" s="11">
        <f>6.561+6.885+5.238+5.1975+6.561+2.322+1.863+2.7675+5.67+4.8195+6.1425+8.316+3.024+6.7635+5.1435</f>
        <v>77.274</v>
      </c>
      <c r="H11" s="11"/>
      <c r="I11" s="11">
        <f>G11/(G3*0.1865)</f>
        <v>2.49601085306373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14.2416</v>
      </c>
      <c r="D12" s="11">
        <v>0</v>
      </c>
      <c r="E12" s="11">
        <f t="shared" ref="E12:E23" si="1">D12+C12</f>
        <v>14.2416</v>
      </c>
      <c r="F12" s="11" t="s">
        <v>14</v>
      </c>
      <c r="G12" s="11">
        <f>9.9728+12.0888+14.6464+14.8672+14.9224+16.2104+6.808+11.6288+17.1488+13.5056+9.66+12.8616+11.2976+14.2416</f>
        <v>179.86</v>
      </c>
      <c r="H12" s="11"/>
      <c r="I12" s="11">
        <f>G12/(G3*0.1865)</f>
        <v>5.80961917374592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241</v>
      </c>
      <c r="D13" s="12">
        <v>230</v>
      </c>
      <c r="E13" s="11">
        <f t="shared" si="1"/>
        <v>471</v>
      </c>
      <c r="F13" s="11" t="s">
        <v>26</v>
      </c>
      <c r="G13" s="11">
        <f>413+417+468+470+422+163+77+376+425+287+382+409+339+445+471</f>
        <v>5564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452.06</v>
      </c>
      <c r="D14" s="12">
        <v>322.86</v>
      </c>
      <c r="E14" s="11">
        <f t="shared" si="1"/>
        <v>774.92</v>
      </c>
      <c r="F14" s="11" t="s">
        <v>26</v>
      </c>
      <c r="G14" s="11">
        <f>876.24+1066.42+862.71+737.14+1030.59+99.19+540.9+505.27+860.01+956.99+969.28+908.75+915.25+774.92</f>
        <v>11103.66</v>
      </c>
      <c r="H14" s="11"/>
      <c r="I14" s="11"/>
      <c r="J14" s="11">
        <f>(C14*K14+L14*D14)/1000</f>
        <v>2.4668352</v>
      </c>
      <c r="K14" s="11">
        <v>3.3</v>
      </c>
      <c r="L14" s="11">
        <v>3.02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</f>
        <v>34.1003645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16</v>
      </c>
      <c r="E16" s="11">
        <f t="shared" si="1"/>
        <v>32</v>
      </c>
      <c r="F16" s="11" t="s">
        <v>14</v>
      </c>
      <c r="G16" s="11">
        <f>32+28+32+36+32+6+8+28+28+24+24+32+20+32+32</f>
        <v>394</v>
      </c>
      <c r="H16" s="11"/>
      <c r="I16" s="11">
        <f>G16/(G3*0.1865)</f>
        <v>12.7265092541749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0.01</v>
      </c>
      <c r="D17" s="29">
        <v>0</v>
      </c>
      <c r="E17" s="11">
        <f t="shared" si="1"/>
        <v>0.01</v>
      </c>
      <c r="F17" s="11" t="s">
        <v>14</v>
      </c>
      <c r="G17" s="11">
        <f>0.15+0.15+0.15+0.01</f>
        <v>0.46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</f>
        <v>16.24</v>
      </c>
      <c r="H18" s="28"/>
      <c r="I18" s="28">
        <f>G18/(G3*0.1865)</f>
        <v>0.52456474692335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1.8+1.8+1.8+1.8+1.8+1.8+1.8+1.8</f>
        <v>14.4</v>
      </c>
      <c r="H19" s="28"/>
      <c r="I19" s="28">
        <f>G19/(G3*0.1865)</f>
        <v>0.465131302690655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4</v>
      </c>
      <c r="E20" s="11">
        <f t="shared" si="1"/>
        <v>6</v>
      </c>
      <c r="F20" s="11" t="s">
        <v>35</v>
      </c>
      <c r="G20" s="11">
        <f>5+5+9+7+4+2+8+9+7+5+9+5+6+6</f>
        <v>87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1</v>
      </c>
      <c r="D21" s="29">
        <v>0</v>
      </c>
      <c r="E21" s="11">
        <f t="shared" si="1"/>
        <v>1</v>
      </c>
      <c r="F21" s="11" t="s">
        <v>35</v>
      </c>
      <c r="G21" s="11">
        <f>1+1+1+2+1+1</f>
        <v>7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581</v>
      </c>
      <c r="D22" s="29">
        <v>509</v>
      </c>
      <c r="E22" s="11">
        <f t="shared" si="1"/>
        <v>1090</v>
      </c>
      <c r="F22" s="11" t="s">
        <v>26</v>
      </c>
      <c r="G22" s="11">
        <f>1223+1182+1152+1139+321+289+1208+1196+796+1155+1080+1206+1156+1090</f>
        <v>14193</v>
      </c>
      <c r="H22" s="11">
        <v>23</v>
      </c>
      <c r="I22" s="28">
        <f>E22/H22</f>
        <v>47.3913043478261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770</v>
      </c>
      <c r="D23" s="29">
        <v>645</v>
      </c>
      <c r="E23" s="11">
        <f t="shared" si="1"/>
        <v>1415</v>
      </c>
      <c r="F23" s="11" t="s">
        <v>26</v>
      </c>
      <c r="G23" s="11">
        <f>1518+1509+1506+1518+362+251+1348+1505+1018+1419+1323+1490+1467+1415</f>
        <v>17649</v>
      </c>
      <c r="H23" s="28"/>
      <c r="I23" s="28">
        <f>E23/H22</f>
        <v>61.5217391304348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27.35</v>
      </c>
      <c r="D24" s="29">
        <v>27.44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116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105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119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</f>
        <v>30.73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6.57</v>
      </c>
      <c r="D32" s="12">
        <v>6.24</v>
      </c>
      <c r="E32" s="11">
        <f t="shared" si="2"/>
        <v>12.81</v>
      </c>
      <c r="F32" s="11" t="s">
        <v>26</v>
      </c>
      <c r="G32" s="11">
        <f>15.93+12.34+15.8+13.36+10.55+6.69+3.42+6.59+8.39+6.12+13.9+12.93+12.59+6.71+12.15+12.81</f>
        <v>170.28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3</v>
      </c>
      <c r="E33" s="11">
        <f t="shared" si="2"/>
        <v>5</v>
      </c>
      <c r="F33" s="11" t="s">
        <v>26</v>
      </c>
      <c r="G33" s="11">
        <f>4+7+4+4+4+5+5+4+5+9+5+5+10+5+5+5</f>
        <v>86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</f>
        <v>59.4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18</v>
      </c>
      <c r="D37" s="12">
        <v>66</v>
      </c>
      <c r="E37" s="11">
        <f t="shared" si="2"/>
        <v>84</v>
      </c>
      <c r="F37" s="11" t="s">
        <v>26</v>
      </c>
      <c r="G37" s="11">
        <f>89+159+208+194+187+193+198+173+188+75+149+107+89+15+16+84</f>
        <v>2124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476</v>
      </c>
      <c r="D38" s="12">
        <v>474</v>
      </c>
      <c r="E38" s="11">
        <f t="shared" si="2"/>
        <v>950</v>
      </c>
      <c r="F38" s="11" t="s">
        <v>26</v>
      </c>
      <c r="G38" s="11">
        <f>990+994+979+1010+1020+1012+1005+942+999+980+965+947+915+945+947+950</f>
        <v>15600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750*1.1</f>
        <v>825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86.86*1.97</f>
        <v>171.1142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3</v>
      </c>
      <c r="D42" s="29">
        <v>1</v>
      </c>
      <c r="E42" s="11">
        <f>D42+C42</f>
        <v>4</v>
      </c>
      <c r="F42" s="11" t="s">
        <v>35</v>
      </c>
      <c r="G42" s="11">
        <f>1+1+1+1+2+2+2+4+2+2</f>
        <v>18</v>
      </c>
      <c r="H42" s="28"/>
      <c r="I42" s="28"/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7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120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2.5</v>
      </c>
      <c r="E3" s="11">
        <f t="shared" ref="E3:E8" si="0">C3+D3</f>
        <v>9</v>
      </c>
      <c r="F3" s="11" t="s">
        <v>14</v>
      </c>
      <c r="G3" s="11">
        <f>13+12+13.5+14.5+13.5+5+5.5+10.5+11+11.5+9.5+11+10.5+12.5+12.5+9</f>
        <v>175</v>
      </c>
      <c r="H3" s="11">
        <v>303</v>
      </c>
      <c r="I3" s="11">
        <f>H3-G3</f>
        <v>128</v>
      </c>
      <c r="J3" s="11"/>
      <c r="K3" s="11"/>
      <c r="L3" s="11"/>
      <c r="M3" s="12">
        <f>I3/14</f>
        <v>9.14285714285714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20+14+12+14+14+10+6+8+10+12+8+12+10+12+14+8</f>
        <v>184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75</v>
      </c>
      <c r="E5" s="11">
        <f t="shared" si="0"/>
        <v>75</v>
      </c>
      <c r="F5" s="11" t="s">
        <v>14</v>
      </c>
      <c r="G5" s="11">
        <f>160+179+142+152+179+46+148+155+107+136+118+171+133+157+75</f>
        <v>2058</v>
      </c>
      <c r="H5" s="14">
        <v>4120</v>
      </c>
      <c r="I5" s="14">
        <f>H5-G5-G7-G6</f>
        <v>2024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3+5+2+1+4+1+1+6+8+1+1+4+1</f>
        <v>38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30.83</v>
      </c>
      <c r="D9" s="19"/>
      <c r="E9" s="14">
        <f>30.72+31.17+64.3+31.37+30.66+30.83</f>
        <v>219.05</v>
      </c>
      <c r="F9" s="14" t="s">
        <v>14</v>
      </c>
      <c r="G9" s="14">
        <f>0.273408+0.277413+0.5787+0.276056+0.269808+0.274387</f>
        <v>1.949772</v>
      </c>
      <c r="H9" s="14">
        <v>5.6</v>
      </c>
      <c r="I9" s="14">
        <f>H9-G9</f>
        <v>3.650228</v>
      </c>
      <c r="J9" s="20" t="s">
        <v>22</v>
      </c>
      <c r="K9" s="21">
        <v>0.89</v>
      </c>
      <c r="L9" s="14">
        <f>C9*K9/100</f>
        <v>0.274387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3.186</v>
      </c>
      <c r="D11" s="11">
        <v>0</v>
      </c>
      <c r="E11" s="11">
        <f>C11+D11</f>
        <v>3.186</v>
      </c>
      <c r="F11" s="11" t="s">
        <v>14</v>
      </c>
      <c r="G11" s="11">
        <f>6.561+6.885+5.238+5.1975+6.561+2.322+1.863+2.7675+5.67+4.8195+6.1425+8.316+3.024+6.7635+5.1435+3.186</f>
        <v>80.46</v>
      </c>
      <c r="H11" s="11"/>
      <c r="I11" s="11">
        <f>G11/(G3*0.1865)</f>
        <v>2.46526235158943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14.536</v>
      </c>
      <c r="D12" s="11">
        <v>0</v>
      </c>
      <c r="E12" s="11">
        <f t="shared" ref="E12:E23" si="1">D12+C12</f>
        <v>14.536</v>
      </c>
      <c r="F12" s="11" t="s">
        <v>14</v>
      </c>
      <c r="G12" s="11">
        <f>9.9728+12.0888+14.6464+14.8672+14.9224+16.2104+6.808+11.6288+17.1488+13.5056+9.66+12.8616+11.2976+14.2416+14.536</f>
        <v>194.396</v>
      </c>
      <c r="H12" s="11"/>
      <c r="I12" s="11">
        <f>G12/(G3*0.1865)</f>
        <v>5.95621600919188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205</v>
      </c>
      <c r="D13" s="12">
        <v>5</v>
      </c>
      <c r="E13" s="11">
        <f t="shared" si="1"/>
        <v>210</v>
      </c>
      <c r="F13" s="11" t="s">
        <v>26</v>
      </c>
      <c r="G13" s="11">
        <f>413+417+468+470+422+163+77+376+425+287+382+409+339+445+471+210</f>
        <v>5774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204.57</v>
      </c>
      <c r="D14" s="12">
        <v>288.59</v>
      </c>
      <c r="E14" s="11">
        <f t="shared" si="1"/>
        <v>493.16</v>
      </c>
      <c r="F14" s="11" t="s">
        <v>26</v>
      </c>
      <c r="G14" s="11">
        <f>876.24+1066.42+862.71+737.14+1030.59+99.19+540.9+505.27+860.01+956.99+969.28+908.75+915.25+774.92+493.16</f>
        <v>11596.82</v>
      </c>
      <c r="H14" s="11"/>
      <c r="I14" s="11"/>
      <c r="J14" s="11">
        <f>(C14*K14+L14*D14)/1000</f>
        <v>1.4523014</v>
      </c>
      <c r="K14" s="11">
        <v>2.98</v>
      </c>
      <c r="L14" s="11">
        <v>2.92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</f>
        <v>35.5526659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0</v>
      </c>
      <c r="E16" s="11">
        <f t="shared" si="1"/>
        <v>16</v>
      </c>
      <c r="F16" s="11" t="s">
        <v>14</v>
      </c>
      <c r="G16" s="11">
        <f>32+28+32+36+32+6+8+28+28+24+24+32+20+32+32+16</f>
        <v>410</v>
      </c>
      <c r="H16" s="11"/>
      <c r="I16" s="11">
        <f>G16/(G3*0.1865)</f>
        <v>12.562236690923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</f>
        <v>0.46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</f>
        <v>16.24</v>
      </c>
      <c r="H18" s="28"/>
      <c r="I18" s="28">
        <f>G18/(G3*0.1865)</f>
        <v>0.497587131367292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</f>
        <v>14.4</v>
      </c>
      <c r="H19" s="28"/>
      <c r="I19" s="28">
        <f>G19/(G3*0.1865)</f>
        <v>0.441210264266565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1</v>
      </c>
      <c r="E20" s="11">
        <f t="shared" si="1"/>
        <v>3</v>
      </c>
      <c r="F20" s="11" t="s">
        <v>35</v>
      </c>
      <c r="G20" s="11">
        <f>5+5+9+7+4+2+8+9+7+5+9+5+6+6+3</f>
        <v>90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1+1+1+2+1+1</f>
        <v>7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207</v>
      </c>
      <c r="D22" s="29">
        <v>554</v>
      </c>
      <c r="E22" s="11">
        <f t="shared" si="1"/>
        <v>761</v>
      </c>
      <c r="F22" s="11" t="s">
        <v>26</v>
      </c>
      <c r="G22" s="11">
        <f>1223+1182+1152+1139+321+289+1208+1196+796+1155+1080+1206+1156+1090+761</f>
        <v>14954</v>
      </c>
      <c r="H22" s="11">
        <v>16</v>
      </c>
      <c r="I22" s="28">
        <f>E22/H22</f>
        <v>47.5625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299</v>
      </c>
      <c r="D23" s="29">
        <v>489</v>
      </c>
      <c r="E23" s="11">
        <f t="shared" si="1"/>
        <v>788</v>
      </c>
      <c r="F23" s="11" t="s">
        <v>26</v>
      </c>
      <c r="G23" s="11">
        <f>1518+1509+1506+1518+362+251+1348+1505+1018+1419+1323+1490+1467+1415+788</f>
        <v>18437</v>
      </c>
      <c r="H23" s="28"/>
      <c r="I23" s="28">
        <f>E23/H22</f>
        <v>49.25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26.15</v>
      </c>
      <c r="D24" s="29">
        <v>32.93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121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122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123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23.95</v>
      </c>
      <c r="D31" s="12">
        <v>0</v>
      </c>
      <c r="E31" s="11">
        <f t="shared" ref="E31:E39" si="2">D31+C31</f>
        <v>23.95</v>
      </c>
      <c r="F31" s="11" t="s">
        <v>26</v>
      </c>
      <c r="G31" s="11">
        <f>30.73+23.95</f>
        <v>54.68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6.58</v>
      </c>
      <c r="D32" s="12">
        <v>6.65</v>
      </c>
      <c r="E32" s="11">
        <f t="shared" si="2"/>
        <v>13.23</v>
      </c>
      <c r="F32" s="11" t="s">
        <v>26</v>
      </c>
      <c r="G32" s="11">
        <f>15.93+12.34+15.8+13.36+10.55+6.69+3.42+6.59+8.39+6.12+13.9+12.93+12.59+6.71+12.15+12.81+13.23</f>
        <v>183.51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3</v>
      </c>
      <c r="E33" s="11">
        <f t="shared" si="2"/>
        <v>5</v>
      </c>
      <c r="F33" s="11" t="s">
        <v>26</v>
      </c>
      <c r="G33" s="11">
        <f>4+7+4+4+4+5+5+4+5+9+5+5+10+5+5+5+5</f>
        <v>91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</f>
        <v>59.4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8</v>
      </c>
      <c r="D37" s="12">
        <v>0</v>
      </c>
      <c r="E37" s="11">
        <f t="shared" si="2"/>
        <v>8</v>
      </c>
      <c r="F37" s="11" t="s">
        <v>26</v>
      </c>
      <c r="G37" s="11">
        <f>89+159+208+194+187+193+198+173+188+75+149+107+89+15+16+84+8</f>
        <v>2132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293</v>
      </c>
      <c r="D38" s="12">
        <v>471</v>
      </c>
      <c r="E38" s="11">
        <f t="shared" si="2"/>
        <v>764</v>
      </c>
      <c r="F38" s="11" t="s">
        <v>26</v>
      </c>
      <c r="G38" s="11">
        <f>990+994+979+1010+1020+1012+1005+942+999+980+965+947+915+945+947+950+764</f>
        <v>16364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750*1.1</f>
        <v>825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86.86*1.99</f>
        <v>172.8514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2</v>
      </c>
      <c r="E42" s="11">
        <f>D42+C42</f>
        <v>3</v>
      </c>
      <c r="F42" s="11" t="s">
        <v>35</v>
      </c>
      <c r="G42" s="11">
        <f>1+1+1+1+2+2+2+2+4+2+3</f>
        <v>21</v>
      </c>
      <c r="H42" s="28"/>
      <c r="I42" s="28">
        <v>26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0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124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2</v>
      </c>
      <c r="D3" s="10">
        <v>5</v>
      </c>
      <c r="E3" s="11">
        <f t="shared" ref="E3:E8" si="0">C3+D3</f>
        <v>7</v>
      </c>
      <c r="F3" s="11" t="s">
        <v>14</v>
      </c>
      <c r="G3" s="11">
        <f>13+12+13.5+14.5+13.5+5+5.5+10.5+11+11.5+9.5+11+10.5+12.5+12.5+9+7</f>
        <v>182</v>
      </c>
      <c r="H3" s="11">
        <v>303</v>
      </c>
      <c r="I3" s="11">
        <f>H3-G3</f>
        <v>121</v>
      </c>
      <c r="J3" s="11"/>
      <c r="K3" s="11"/>
      <c r="L3" s="11"/>
      <c r="M3" s="12">
        <f>I3/13</f>
        <v>9.30769230769231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20+14+12+14+14+10+6+8+10+12+8+12+10+12+14+8+8</f>
        <v>192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75</v>
      </c>
      <c r="D5" s="12">
        <v>76</v>
      </c>
      <c r="E5" s="11">
        <f t="shared" si="0"/>
        <v>151</v>
      </c>
      <c r="F5" s="11" t="s">
        <v>14</v>
      </c>
      <c r="G5" s="11">
        <f>160+179+142+152+179+46+148+155+107+136+118+171+133+157+75+151</f>
        <v>2209</v>
      </c>
      <c r="H5" s="14">
        <v>4120</v>
      </c>
      <c r="I5" s="14">
        <f>H5-G5-G7-G6</f>
        <v>1869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3</v>
      </c>
      <c r="D7" s="12">
        <v>1</v>
      </c>
      <c r="E7" s="11">
        <f t="shared" si="0"/>
        <v>4</v>
      </c>
      <c r="F7" s="11" t="s">
        <v>14</v>
      </c>
      <c r="G7" s="11">
        <f>3+5+2+1+4+1+1+6+8+1+1+4+1+4</f>
        <v>42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30.76</v>
      </c>
      <c r="D9" s="19"/>
      <c r="E9" s="14">
        <f>30.72+31.17+64.3+31.37+30.66+30.83+30.76</f>
        <v>249.81</v>
      </c>
      <c r="F9" s="14" t="s">
        <v>14</v>
      </c>
      <c r="G9" s="14">
        <f>0.273408+0.277413+0.5787+0.276056+0.269808+0.274387+0.26146</f>
        <v>2.211232</v>
      </c>
      <c r="H9" s="14">
        <v>5.6</v>
      </c>
      <c r="I9" s="14">
        <f>H9-G9</f>
        <v>3.388768</v>
      </c>
      <c r="J9" s="20" t="s">
        <v>22</v>
      </c>
      <c r="K9" s="21">
        <v>0.85</v>
      </c>
      <c r="L9" s="14">
        <f>C9*K9/100</f>
        <v>0.26146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2.511</v>
      </c>
      <c r="D11" s="11">
        <v>0</v>
      </c>
      <c r="E11" s="11">
        <f>C11+D11</f>
        <v>2.511</v>
      </c>
      <c r="F11" s="11" t="s">
        <v>14</v>
      </c>
      <c r="G11" s="11">
        <f>6.561+6.885+5.238+5.1975+6.561+2.322+1.863+2.7675+5.67+4.8195+6.1425+8.316+3.024+6.7635+5.1435+3.186+2.511</f>
        <v>82.971</v>
      </c>
      <c r="H11" s="11"/>
      <c r="I11" s="11">
        <f>G11/(G3*0.1865)</f>
        <v>2.44442153021241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8.096</v>
      </c>
      <c r="D12" s="11">
        <v>0</v>
      </c>
      <c r="E12" s="11">
        <f t="shared" ref="E12:E23" si="1">D12+C12</f>
        <v>8.096</v>
      </c>
      <c r="F12" s="11" t="s">
        <v>14</v>
      </c>
      <c r="G12" s="11">
        <f>9.9728+12.0888+14.6464+14.8672+14.9224+16.2104+6.808+11.6288+17.1488+13.5056+9.66+12.8616+11.2976+14.2416+14.536+8.096</f>
        <v>202.492</v>
      </c>
      <c r="H12" s="11"/>
      <c r="I12" s="11">
        <f>G12/(G3*0.1865)</f>
        <v>5.96564829272604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151</v>
      </c>
      <c r="D13" s="12">
        <v>186</v>
      </c>
      <c r="E13" s="11">
        <f t="shared" si="1"/>
        <v>337</v>
      </c>
      <c r="F13" s="11" t="s">
        <v>26</v>
      </c>
      <c r="G13" s="11">
        <f>413+417+468+470+422+163+77+376+425+287+382+409+339+445+471+210+337</f>
        <v>6111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486.18</v>
      </c>
      <c r="D14" s="12">
        <v>554.92</v>
      </c>
      <c r="E14" s="11">
        <f t="shared" si="1"/>
        <v>1041.1</v>
      </c>
      <c r="F14" s="11" t="s">
        <v>26</v>
      </c>
      <c r="G14" s="11">
        <f>876.24+1066.42+862.71+737.14+1030.59+99.19+540.9+505.27+860.01+956.99+969.28+908.75+915.25+774.92+493.16+1041.1</f>
        <v>12637.92</v>
      </c>
      <c r="H14" s="11"/>
      <c r="I14" s="11"/>
      <c r="J14" s="11">
        <f>(C14*K14+L14*D14)/1000</f>
        <v>3.0941292</v>
      </c>
      <c r="K14" s="11">
        <v>2.94</v>
      </c>
      <c r="L14" s="11">
        <v>3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</f>
        <v>38.6467951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8</v>
      </c>
      <c r="D16" s="12">
        <v>12</v>
      </c>
      <c r="E16" s="11">
        <f t="shared" si="1"/>
        <v>20</v>
      </c>
      <c r="F16" s="11" t="s">
        <v>14</v>
      </c>
      <c r="G16" s="11">
        <f>32+28+32+36+32+6+8+28+28+24+24+32+20+32+32+16+20</f>
        <v>430</v>
      </c>
      <c r="H16" s="11"/>
      <c r="I16" s="11">
        <f>G16/(G3*0.1865)</f>
        <v>12.6682968506025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0.175</v>
      </c>
      <c r="D17" s="29">
        <v>0.2</v>
      </c>
      <c r="E17" s="11">
        <f t="shared" si="1"/>
        <v>0.375</v>
      </c>
      <c r="F17" s="11" t="s">
        <v>14</v>
      </c>
      <c r="G17" s="11">
        <f>0.15+0.15+0.15+0.01+0.375</f>
        <v>0.835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</f>
        <v>18.24</v>
      </c>
      <c r="H18" s="28"/>
      <c r="I18" s="28">
        <f>G18/(G3*0.1865)</f>
        <v>0.537371475709277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1.8+1.8+1.8+1.8+1.8+1.8+1.8+1.8+1.8</f>
        <v>16.2</v>
      </c>
      <c r="H19" s="28"/>
      <c r="I19" s="28">
        <f>G19/(G3*0.1865)</f>
        <v>0.477270718557582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6</v>
      </c>
      <c r="D20" s="29">
        <v>3</v>
      </c>
      <c r="E20" s="11">
        <f t="shared" si="1"/>
        <v>9</v>
      </c>
      <c r="F20" s="11" t="s">
        <v>35</v>
      </c>
      <c r="G20" s="11">
        <f>5+5+9+7+4+2+8+9+7+5+9+5+6+6+3+9</f>
        <v>99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2</v>
      </c>
      <c r="D21" s="29">
        <v>0</v>
      </c>
      <c r="E21" s="11">
        <f t="shared" si="1"/>
        <v>2</v>
      </c>
      <c r="F21" s="11" t="s">
        <v>35</v>
      </c>
      <c r="G21" s="11">
        <f>1+1+1+2+1+1+2</f>
        <v>9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550</v>
      </c>
      <c r="D22" s="29">
        <v>569</v>
      </c>
      <c r="E22" s="11">
        <f t="shared" si="1"/>
        <v>1119</v>
      </c>
      <c r="F22" s="11" t="s">
        <v>26</v>
      </c>
      <c r="G22" s="11">
        <f>1223+1182+1152+1139+321+289+1208+1196+796+1155+1080+1206+1156+1090+761+1119</f>
        <v>16073</v>
      </c>
      <c r="H22" s="11">
        <v>24</v>
      </c>
      <c r="I22" s="28">
        <f>E22/H22</f>
        <v>46.625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718</v>
      </c>
      <c r="D23" s="29">
        <v>719</v>
      </c>
      <c r="E23" s="11">
        <f t="shared" si="1"/>
        <v>1437</v>
      </c>
      <c r="F23" s="11" t="s">
        <v>26</v>
      </c>
      <c r="G23" s="11">
        <f>1518+1509+1506+1518+362+251+1348+1505+1018+1419+1323+1490+1467+1415+788+1437</f>
        <v>19874</v>
      </c>
      <c r="H23" s="28"/>
      <c r="I23" s="28">
        <f>E23/H22</f>
        <v>59.875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28.46</v>
      </c>
      <c r="D24" s="29">
        <v>30.76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125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122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126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20.63</v>
      </c>
      <c r="E31" s="11">
        <f t="shared" ref="E31:E39" si="2">D31+C31</f>
        <v>20.63</v>
      </c>
      <c r="F31" s="11" t="s">
        <v>26</v>
      </c>
      <c r="G31" s="11">
        <f>30.73+23.95+20.63</f>
        <v>75.31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6.56</v>
      </c>
      <c r="D32" s="12">
        <v>6.59</v>
      </c>
      <c r="E32" s="11">
        <f t="shared" si="2"/>
        <v>13.15</v>
      </c>
      <c r="F32" s="11" t="s">
        <v>26</v>
      </c>
      <c r="G32" s="11">
        <f>15.93+12.34+15.8+13.36+10.55+6.69+3.42+6.59+8.39+6.12+13.9+12.93+12.59+6.71+12.15+12.81+13.23+13.15</f>
        <v>196.66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4+7+4+4+4+5+5+4+5+9+5+5+10+5+5+5+5+5</f>
        <v>96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10.0845</v>
      </c>
      <c r="D35" s="11">
        <v>0</v>
      </c>
      <c r="E35" s="11">
        <f t="shared" si="2"/>
        <v>10.0845</v>
      </c>
      <c r="F35" s="11" t="s">
        <v>14</v>
      </c>
      <c r="G35" s="12">
        <f>10.746+7.857+9.018+7.0875+8.1405+2.484+6.696+7.371+10.0845</f>
        <v>69.4845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</f>
        <v>2132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463</v>
      </c>
      <c r="D38" s="12">
        <v>464</v>
      </c>
      <c r="E38" s="11">
        <f t="shared" si="2"/>
        <v>927</v>
      </c>
      <c r="F38" s="11" t="s">
        <v>26</v>
      </c>
      <c r="G38" s="11">
        <f>990+994+979+1010+1020+1012+1005+942+999+980+965+947+915+945+947+950+764+927</f>
        <v>17291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750*1.09</f>
        <v>817.5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86.86*1.89</f>
        <v>164.1654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2</v>
      </c>
      <c r="E42" s="11">
        <f>D42+C42</f>
        <v>3</v>
      </c>
      <c r="F42" s="11" t="s">
        <v>35</v>
      </c>
      <c r="G42" s="11">
        <f>1+1+1+1+2+2+2+2+2+4+3+3</f>
        <v>24</v>
      </c>
      <c r="H42" s="28"/>
      <c r="I42" s="11">
        <v>28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8" workbookViewId="0">
      <pane xSplit="2" topLeftCell="C1" activePane="topRight" state="frozen"/>
      <selection/>
      <selection pane="topRight" activeCell="G3" sqref="G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127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6.5</v>
      </c>
      <c r="E3" s="11">
        <f t="shared" ref="E3:E8" si="0">C3+D3</f>
        <v>11.5</v>
      </c>
      <c r="F3" s="11" t="s">
        <v>14</v>
      </c>
      <c r="G3" s="11">
        <f>13+12+13.5+14.5+13.5+5+5.5+10.5+11+11.5+9.5+11+10.5+12.5+12.5+9+7+11.5</f>
        <v>193.5</v>
      </c>
      <c r="H3" s="11">
        <v>303</v>
      </c>
      <c r="I3" s="11">
        <f>H3-G3</f>
        <v>109.5</v>
      </c>
      <c r="J3" s="11"/>
      <c r="K3" s="11"/>
      <c r="L3" s="11"/>
      <c r="M3" s="12">
        <f>I3/12</f>
        <v>9.125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20+14+12+14+14+10+6+8+10+12+8+12+10+12+14+8+8+8</f>
        <v>200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73</v>
      </c>
      <c r="D5" s="12">
        <v>80</v>
      </c>
      <c r="E5" s="11">
        <f t="shared" si="0"/>
        <v>153</v>
      </c>
      <c r="F5" s="11" t="s">
        <v>14</v>
      </c>
      <c r="G5" s="11">
        <f>160+179+142+152+179+46+148+155+107+136+118+171+133+157+75+151+153</f>
        <v>2362</v>
      </c>
      <c r="H5" s="14">
        <v>4120</v>
      </c>
      <c r="I5" s="14">
        <f>H5-G5-G7-G6</f>
        <v>1713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3</v>
      </c>
      <c r="D7" s="12">
        <v>0</v>
      </c>
      <c r="E7" s="11">
        <f t="shared" si="0"/>
        <v>3</v>
      </c>
      <c r="F7" s="11" t="s">
        <v>14</v>
      </c>
      <c r="G7" s="11">
        <f>3+5+2+1+4+1+1+6+8+1+1+4+1+4+3</f>
        <v>45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31.2</v>
      </c>
      <c r="D9" s="19"/>
      <c r="E9" s="14">
        <f>30.72+31.17+64.3+31.37+30.66+30.83+30.76+31.2</f>
        <v>281.01</v>
      </c>
      <c r="F9" s="14" t="s">
        <v>14</v>
      </c>
      <c r="G9" s="14">
        <f>0.273408+0.277413+0.5787+0.276056+0.269808+0.274387+0.26146+0.25272</f>
        <v>2.463952</v>
      </c>
      <c r="H9" s="14">
        <v>5.6</v>
      </c>
      <c r="I9" s="14">
        <f>H9-G9</f>
        <v>3.136048</v>
      </c>
      <c r="J9" s="20" t="s">
        <v>22</v>
      </c>
      <c r="K9" s="21">
        <v>0.81</v>
      </c>
      <c r="L9" s="14">
        <f>C9*K9/100</f>
        <v>0.25272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4.3605</v>
      </c>
      <c r="D11" s="11">
        <v>0</v>
      </c>
      <c r="E11" s="11">
        <f>C11+D11</f>
        <v>4.3605</v>
      </c>
      <c r="F11" s="11" t="s">
        <v>14</v>
      </c>
      <c r="G11" s="11">
        <f>6.561+6.885+5.238+5.1975+6.561+2.322+1.863+2.7675+5.67+4.8195+6.1425+8.316+3.024+6.7635+5.1435+3.186+2.511+4.3605</f>
        <v>87.3315</v>
      </c>
      <c r="H11" s="11"/>
      <c r="I11" s="11">
        <f>G11/(G3*0.1865)</f>
        <v>2.41997630774986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8.8688</v>
      </c>
      <c r="D12" s="11">
        <v>0</v>
      </c>
      <c r="E12" s="11">
        <f t="shared" ref="E12:E23" si="1">D12+C12</f>
        <v>8.8688</v>
      </c>
      <c r="F12" s="11" t="s">
        <v>14</v>
      </c>
      <c r="G12" s="11">
        <f>9.9728+12.0888+14.6464+14.8672+14.9224+16.2104+6.808+11.6288+17.1488+13.5056+9.66+12.8616+11.2976+14.2416+14.536+8.096+8.8688</f>
        <v>211.3608</v>
      </c>
      <c r="H12" s="11"/>
      <c r="I12" s="11">
        <f>G12/(G3*0.1865)</f>
        <v>5.85685724380157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194</v>
      </c>
      <c r="D13" s="12">
        <v>189</v>
      </c>
      <c r="E13" s="11">
        <f t="shared" si="1"/>
        <v>383</v>
      </c>
      <c r="F13" s="11" t="s">
        <v>26</v>
      </c>
      <c r="G13" s="11">
        <f>413+417+468+470+422+163+77+376+425+287+382+409+339+445+471+210+337+383</f>
        <v>6494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421.45</v>
      </c>
      <c r="D14" s="12">
        <v>433.45</v>
      </c>
      <c r="E14" s="11">
        <f t="shared" si="1"/>
        <v>854.9</v>
      </c>
      <c r="F14" s="11" t="s">
        <v>26</v>
      </c>
      <c r="G14" s="11">
        <f>876.24+1066.42+862.71+737.14+1030.59+99.19+540.9+505.27+860.01+956.99+969.28+908.75+915.25+774.92+493.16+1041.1+854.9</f>
        <v>13492.82</v>
      </c>
      <c r="H14" s="11"/>
      <c r="I14" s="11"/>
      <c r="J14" s="11">
        <f>(C14*K14+L14*D14)/1000</f>
        <v>2.4309305</v>
      </c>
      <c r="K14" s="11">
        <v>2.95</v>
      </c>
      <c r="L14" s="11">
        <v>2.74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</f>
        <v>41.0777256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12</v>
      </c>
      <c r="E16" s="11">
        <f t="shared" si="1"/>
        <v>28</v>
      </c>
      <c r="F16" s="11" t="s">
        <v>14</v>
      </c>
      <c r="G16" s="11">
        <f>32+28+32+36+32+6+8+28+28+24+24+32+20+32+32+16+20+28</f>
        <v>458</v>
      </c>
      <c r="H16" s="11"/>
      <c r="I16" s="11">
        <f>G16/(G3*0.1865)</f>
        <v>12.6912872096487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</f>
        <v>0.835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</f>
        <v>18.24</v>
      </c>
      <c r="H18" s="28"/>
      <c r="I18" s="28">
        <f>G18/(G3*0.1865)</f>
        <v>0.505434669659372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</f>
        <v>16.2</v>
      </c>
      <c r="H19" s="28"/>
      <c r="I19" s="28">
        <f>G19/(G3*0.1865)</f>
        <v>0.448905792131679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1</v>
      </c>
      <c r="E20" s="11">
        <f t="shared" si="1"/>
        <v>3</v>
      </c>
      <c r="F20" s="11" t="s">
        <v>35</v>
      </c>
      <c r="G20" s="11">
        <f>5+5+9+7+4+2+8+9+7+5+9+5+6+6+3+9+3</f>
        <v>102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1+1+1+2+1+1+2</f>
        <v>9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580</v>
      </c>
      <c r="D22" s="29">
        <v>598</v>
      </c>
      <c r="E22" s="11">
        <f t="shared" si="1"/>
        <v>1178</v>
      </c>
      <c r="F22" s="11" t="s">
        <v>26</v>
      </c>
      <c r="G22" s="11">
        <f>1223+1182+1152+1139+321+289+1208+1196+796+1155+1080+1206+1156+1090+761+1119+1178</f>
        <v>17251</v>
      </c>
      <c r="H22" s="11">
        <v>24</v>
      </c>
      <c r="I22" s="28">
        <f>E22/H22</f>
        <v>49.0833333333333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740</v>
      </c>
      <c r="D23" s="29">
        <v>756</v>
      </c>
      <c r="E23" s="11">
        <f t="shared" si="1"/>
        <v>1496</v>
      </c>
      <c r="F23" s="11" t="s">
        <v>26</v>
      </c>
      <c r="G23" s="11">
        <f>1518+1509+1506+1518+362+251+1348+1505+1018+1419+1323+1490+1467+1415+788+1437+1496</f>
        <v>21370</v>
      </c>
      <c r="H23" s="28"/>
      <c r="I23" s="28">
        <f>E23/H22</f>
        <v>62.3333333333333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27.35</v>
      </c>
      <c r="D24" s="29">
        <v>25.64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89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128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122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129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</f>
        <v>75.31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3.7</v>
      </c>
      <c r="D32" s="12">
        <v>3.28</v>
      </c>
      <c r="E32" s="11">
        <f t="shared" si="2"/>
        <v>6.98</v>
      </c>
      <c r="F32" s="11" t="s">
        <v>26</v>
      </c>
      <c r="G32" s="11">
        <f>15.93+12.34+15.8+13.36+10.55+6.69+3.42+6.59+8.39+6.12+13.9+12.93+12.59+6.71+12.15+12.81+13.23+13.15+6.98</f>
        <v>203.64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6</v>
      </c>
      <c r="E33" s="11">
        <f t="shared" si="2"/>
        <v>6</v>
      </c>
      <c r="F33" s="11" t="s">
        <v>26</v>
      </c>
      <c r="G33" s="11">
        <f>4+7+4+4+4+5+5+4+5+9+5+5+10+5+5+5+5+5+6</f>
        <v>102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4.644</v>
      </c>
      <c r="D35" s="11">
        <v>0</v>
      </c>
      <c r="E35" s="11">
        <f t="shared" si="2"/>
        <v>4.644</v>
      </c>
      <c r="F35" s="11" t="s">
        <v>14</v>
      </c>
      <c r="G35" s="12">
        <f>10.746+7.857+9.018+7.0875+8.1405+2.484+6.696+7.371+10.0845+4.644</f>
        <v>74.1285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8</v>
      </c>
      <c r="E37" s="11">
        <f t="shared" si="2"/>
        <v>8</v>
      </c>
      <c r="F37" s="11" t="s">
        <v>26</v>
      </c>
      <c r="G37" s="11">
        <f>89+159+208+194+187+193+198+173+188+75+149+107+89+15+16+84+8+8</f>
        <v>2140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464</v>
      </c>
      <c r="D38" s="12">
        <v>466</v>
      </c>
      <c r="E38" s="11">
        <f t="shared" si="2"/>
        <v>930</v>
      </c>
      <c r="F38" s="11" t="s">
        <v>26</v>
      </c>
      <c r="G38" s="11">
        <f>990+994+979+1010+1020+1012+1005+942+999+980+965+947+915+945+947+950+764+927+930</f>
        <v>18221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750*1.03</f>
        <v>772.5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86.86*1.92</f>
        <v>166.7712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1+1+1+1+2+2+2+2+2+4+3+3+2</f>
        <v>26</v>
      </c>
      <c r="H42" s="28"/>
      <c r="I42" s="11">
        <v>21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opLeftCell="A19" workbookViewId="0">
      <pane xSplit="2" topLeftCell="C1" activePane="topRight" state="frozen"/>
      <selection/>
      <selection pane="topRight" activeCell="C26" sqref="C26:L2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130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</v>
      </c>
      <c r="D3" s="10">
        <v>7</v>
      </c>
      <c r="E3" s="11">
        <f t="shared" ref="E3:E8" si="0">C3+D3</f>
        <v>12</v>
      </c>
      <c r="F3" s="11" t="s">
        <v>14</v>
      </c>
      <c r="G3" s="11">
        <f>13+12+13.5+14.5+13.5+5+5.5+10.5+11+11.5+9.5+11+10.5+12.5+12.5+9+7+11.5+12</f>
        <v>205.5</v>
      </c>
      <c r="H3" s="11">
        <v>303</v>
      </c>
      <c r="I3" s="11">
        <f>H3-G3</f>
        <v>97.5</v>
      </c>
      <c r="J3" s="11"/>
      <c r="K3" s="11"/>
      <c r="L3" s="11"/>
      <c r="M3" s="12">
        <f>I3/11</f>
        <v>8.86363636363636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20+14+12+14+14+10+6+8+10+12+8+12+10+12+14+8+8+8+14</f>
        <v>214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85</v>
      </c>
      <c r="D5" s="12">
        <v>94</v>
      </c>
      <c r="E5" s="11">
        <f t="shared" si="0"/>
        <v>179</v>
      </c>
      <c r="F5" s="11" t="s">
        <v>14</v>
      </c>
      <c r="G5" s="11">
        <f>160+179+142+152+179+46+148+155+107+136+118+171+133+157+75+151+153+179</f>
        <v>2541</v>
      </c>
      <c r="H5" s="14">
        <v>4120</v>
      </c>
      <c r="I5" s="14">
        <f>H5-G5-G7-G6</f>
        <v>1532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2</v>
      </c>
      <c r="E7" s="11">
        <f t="shared" si="0"/>
        <v>2</v>
      </c>
      <c r="F7" s="11" t="s">
        <v>14</v>
      </c>
      <c r="G7" s="11">
        <f>3+5+2+1+4+1+1+6+8+1+1+4+1+4+3+2</f>
        <v>47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30.58</v>
      </c>
      <c r="D9" s="19"/>
      <c r="E9" s="14">
        <f>30.72+31.17+64.3+31.37+30.66+30.83+30.76+31.2+30.58</f>
        <v>311.59</v>
      </c>
      <c r="F9" s="14" t="s">
        <v>14</v>
      </c>
      <c r="G9" s="14">
        <f>0.273408+0.277413+0.5787+0.276056+0.269808+0.274387+0.26146+0.25272+0.250756</f>
        <v>2.714708</v>
      </c>
      <c r="H9" s="14">
        <v>5.6</v>
      </c>
      <c r="I9" s="14">
        <f>H9-G9</f>
        <v>2.885292</v>
      </c>
      <c r="J9" s="20" t="s">
        <v>22</v>
      </c>
      <c r="K9" s="21">
        <v>0.82</v>
      </c>
      <c r="L9" s="14">
        <f>C9*K9/100</f>
        <v>0.250756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3.942</v>
      </c>
      <c r="D11" s="11">
        <v>4.3065</v>
      </c>
      <c r="E11" s="11">
        <f>C11+D11</f>
        <v>8.2485</v>
      </c>
      <c r="F11" s="11" t="s">
        <v>14</v>
      </c>
      <c r="G11" s="11">
        <f>6.561+6.885+5.238+5.1975+6.561+2.322+1.863+2.7675+5.67+4.8195+6.1425+8.316+3.024+6.7635+5.1435+3.186+2.511+4.3605+8.2485</f>
        <v>95.58</v>
      </c>
      <c r="H11" s="11"/>
      <c r="I11" s="11">
        <f>G11/(G3*0.1865)</f>
        <v>2.49388465979139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11.8312</v>
      </c>
      <c r="D12" s="11">
        <v>0</v>
      </c>
      <c r="E12" s="11">
        <f t="shared" ref="E12:E23" si="1">D12+C12</f>
        <v>11.8312</v>
      </c>
      <c r="F12" s="11" t="s">
        <v>14</v>
      </c>
      <c r="G12" s="11">
        <f>9.9728+12.0888+14.6464+14.8672+14.9224+16.2104+6.808+11.6288+17.1488+13.5056+9.66+12.8616+11.2976+14.2416+14.536+8.096+8.8688+11.8312</f>
        <v>223.192</v>
      </c>
      <c r="H12" s="11"/>
      <c r="I12" s="11">
        <f>G12/(G3*0.1865)</f>
        <v>5.82355205051434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233</v>
      </c>
      <c r="D13" s="12">
        <v>223</v>
      </c>
      <c r="E13" s="11">
        <f t="shared" si="1"/>
        <v>456</v>
      </c>
      <c r="F13" s="11" t="s">
        <v>26</v>
      </c>
      <c r="G13" s="11">
        <f>413+417+468+470+422+163+77+376+425+287+382+409+339+445+471+210+337+383+456</f>
        <v>6950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436.52</v>
      </c>
      <c r="D14" s="12">
        <v>448.44</v>
      </c>
      <c r="E14" s="11">
        <f t="shared" si="1"/>
        <v>884.96</v>
      </c>
      <c r="F14" s="11" t="s">
        <v>26</v>
      </c>
      <c r="G14" s="11">
        <f>876.24+1066.42+862.71+737.14+1030.59+99.19+540.9+505.27+860.01+956.99+969.28+908.75+915.25+774.92+493.16+1041.1+854.9+884.96</f>
        <v>14377.78</v>
      </c>
      <c r="H14" s="11"/>
      <c r="I14" s="11"/>
      <c r="J14" s="11">
        <f>(C14*K14+L14*D14)/1000</f>
        <v>2.395426</v>
      </c>
      <c r="K14" s="11">
        <v>2.57</v>
      </c>
      <c r="L14" s="11">
        <v>2.84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</f>
        <v>43.4731516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12</v>
      </c>
      <c r="E16" s="11">
        <f t="shared" si="1"/>
        <v>28</v>
      </c>
      <c r="F16" s="11" t="s">
        <v>14</v>
      </c>
      <c r="G16" s="11">
        <f>32+28+32+36+32+6+8+28+28+24+24+32+20+32+32+16+20+28+28</f>
        <v>486</v>
      </c>
      <c r="H16" s="11"/>
      <c r="I16" s="11">
        <f>G16/(G3*0.1865)</f>
        <v>12.6807694565664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</f>
        <v>0.835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</f>
        <v>20.24</v>
      </c>
      <c r="H18" s="28"/>
      <c r="I18" s="28">
        <f>G18/(G3*0.1865)</f>
        <v>0.528104472841367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</v>
      </c>
      <c r="D19" s="29">
        <v>0</v>
      </c>
      <c r="E19" s="11">
        <f t="shared" si="1"/>
        <v>1.8</v>
      </c>
      <c r="F19" s="11" t="s">
        <v>14</v>
      </c>
      <c r="G19" s="11">
        <f>1.8+1.8+1.8+1.8+1.8+1.8+1.8+1.8+1.8+1.8</f>
        <v>18</v>
      </c>
      <c r="H19" s="28"/>
      <c r="I19" s="28">
        <f>G19/(G3*0.1865)</f>
        <v>0.469658128020978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3</v>
      </c>
      <c r="E20" s="11">
        <f t="shared" si="1"/>
        <v>6</v>
      </c>
      <c r="F20" s="11" t="s">
        <v>35</v>
      </c>
      <c r="G20" s="11">
        <f>5+5+9+7+4+2+8+9+7+5+9+5+6+6+3+9+3+6</f>
        <v>108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1+1+1+2+1+1+2</f>
        <v>9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629</v>
      </c>
      <c r="D22" s="29">
        <v>639</v>
      </c>
      <c r="E22" s="11">
        <f t="shared" si="1"/>
        <v>1268</v>
      </c>
      <c r="F22" s="11" t="s">
        <v>26</v>
      </c>
      <c r="G22" s="11">
        <f>1223+1182+1152+1139+321+289+1208+1196+796+1155+1080+1206+1156+1090+761+1119+1178+1268</f>
        <v>18519</v>
      </c>
      <c r="H22" s="11">
        <v>24</v>
      </c>
      <c r="I22" s="28">
        <f>E22/H22</f>
        <v>52.8333333333333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769</v>
      </c>
      <c r="D23" s="29">
        <v>811</v>
      </c>
      <c r="E23" s="11">
        <f t="shared" si="1"/>
        <v>1580</v>
      </c>
      <c r="F23" s="11" t="s">
        <v>26</v>
      </c>
      <c r="G23" s="11">
        <f>1518+1509+1506+1518+362+251+1348+1505+1018+1419+1323+1490+1467+1415+788+1437+1496+1580</f>
        <v>22950</v>
      </c>
      <c r="H23" s="28"/>
      <c r="I23" s="28">
        <f>E23/H22</f>
        <v>65.8333333333333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28.03</v>
      </c>
      <c r="D24" s="29">
        <v>28.63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131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132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133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134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</f>
        <v>75.31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3.29</v>
      </c>
      <c r="D32" s="12">
        <v>3.39</v>
      </c>
      <c r="E32" s="11">
        <f t="shared" si="2"/>
        <v>6.68</v>
      </c>
      <c r="F32" s="11" t="s">
        <v>26</v>
      </c>
      <c r="G32" s="11">
        <f>15.93+12.34+15.8+13.36+10.55+6.69+3.42+6.59+8.39+6.12+13.9+12.93+12.59+6.71+12.15+12.81+13.23+13.15+6.98+6.68</f>
        <v>210.32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4</v>
      </c>
      <c r="D33" s="12">
        <v>4</v>
      </c>
      <c r="E33" s="11">
        <f t="shared" si="2"/>
        <v>8</v>
      </c>
      <c r="F33" s="11" t="s">
        <v>26</v>
      </c>
      <c r="G33" s="11">
        <f>4+7+4+4+4+5+5+4+5+9+5+5+10+5+5+5+5+5+6+8</f>
        <v>110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</f>
        <v>74.1285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3</v>
      </c>
      <c r="E37" s="11">
        <f t="shared" si="2"/>
        <v>3</v>
      </c>
      <c r="F37" s="11" t="s">
        <v>26</v>
      </c>
      <c r="G37" s="11">
        <f>89+159+208+194+187+193+198+173+188+75+149+107+89+15+16+84+8+8+3</f>
        <v>2143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466</v>
      </c>
      <c r="D38" s="12">
        <v>470</v>
      </c>
      <c r="E38" s="11">
        <f t="shared" si="2"/>
        <v>936</v>
      </c>
      <c r="F38" s="11" t="s">
        <v>26</v>
      </c>
      <c r="G38" s="11">
        <f>990+994+979+1010+1020+1012+1005+942+999+980+965+947+915+945+947+950+764+927+930+936</f>
        <v>19157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750*0.96</f>
        <v>720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86.86*1.97</f>
        <v>171.1142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1</v>
      </c>
      <c r="E42" s="11">
        <f>D42+C42</f>
        <v>1</v>
      </c>
      <c r="F42" s="11" t="s">
        <v>35</v>
      </c>
      <c r="G42" s="11">
        <f>1+1+1+1+2+2+2+2+2+4+3+3+2+1</f>
        <v>27</v>
      </c>
      <c r="H42" s="28"/>
      <c r="I42" s="11">
        <v>22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8" workbookViewId="0">
      <pane xSplit="2" topLeftCell="C1" activePane="topRight" state="frozen"/>
      <selection/>
      <selection pane="topRight"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135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5.5</v>
      </c>
      <c r="E3" s="11">
        <f t="shared" ref="E3:E8" si="0">C3+D3</f>
        <v>11.5</v>
      </c>
      <c r="F3" s="11" t="s">
        <v>14</v>
      </c>
      <c r="G3" s="11">
        <f>13+12+13.5+14.5+13.5+5+5.5+10.5+11+11.5+9.5+11+10.5+12.5+12.5+9+7+11.5+12+11.5</f>
        <v>217</v>
      </c>
      <c r="H3" s="11">
        <v>303</v>
      </c>
      <c r="I3" s="11">
        <f>H3-G3</f>
        <v>86</v>
      </c>
      <c r="J3" s="11"/>
      <c r="K3" s="11"/>
      <c r="L3" s="11"/>
      <c r="M3" s="12">
        <f>I3/10</f>
        <v>8.6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20+14+12+14+14+10+6+8+10+12+8+12+10+12+14+8+8+8+14+12</f>
        <v>226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89</v>
      </c>
      <c r="D5" s="12">
        <v>96</v>
      </c>
      <c r="E5" s="11">
        <f t="shared" si="0"/>
        <v>185</v>
      </c>
      <c r="F5" s="11" t="s">
        <v>14</v>
      </c>
      <c r="G5" s="11">
        <f>160+179+142+152+179+46+148+155+107+136+118+171+133+157+75+151+153+179+185</f>
        <v>2726</v>
      </c>
      <c r="H5" s="14">
        <v>4120</v>
      </c>
      <c r="I5" s="14">
        <f>H5-G5-G7-G6</f>
        <v>1344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3</v>
      </c>
      <c r="D7" s="12">
        <v>0</v>
      </c>
      <c r="E7" s="11">
        <f t="shared" si="0"/>
        <v>3</v>
      </c>
      <c r="F7" s="11" t="s">
        <v>14</v>
      </c>
      <c r="G7" s="11">
        <f>3+5+2+1+4+1+1+6+8+1+1+4+1+4+3+2+3</f>
        <v>50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30.79</v>
      </c>
      <c r="D9" s="19"/>
      <c r="E9" s="14">
        <f>30.72+31.17+64.3+31.37+30.66+30.83+30.76+31.2+30.58+30.79</f>
        <v>342.38</v>
      </c>
      <c r="F9" s="14" t="s">
        <v>14</v>
      </c>
      <c r="G9" s="14">
        <f>0.273408+0.277413+0.5787+0.276056+0.269808+0.274387+0.26146+0.25272+0.250756+0.240162</f>
        <v>2.95487</v>
      </c>
      <c r="H9" s="14">
        <v>5.6</v>
      </c>
      <c r="I9" s="14">
        <f>H9-G9</f>
        <v>2.64513</v>
      </c>
      <c r="J9" s="20" t="s">
        <v>22</v>
      </c>
      <c r="K9" s="21">
        <v>0.78</v>
      </c>
      <c r="L9" s="14">
        <f>C9*K9/100</f>
        <v>0.240162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3.8205</v>
      </c>
      <c r="D11" s="11">
        <v>3.0105</v>
      </c>
      <c r="E11" s="11">
        <f>C11+D11</f>
        <v>6.831</v>
      </c>
      <c r="F11" s="11" t="s">
        <v>14</v>
      </c>
      <c r="G11" s="11">
        <f>6.561+6.885+5.238+5.1975+6.561+2.322+1.863+2.7675+5.67+4.8195+6.1425+8.316+3.024+6.7635+5.1435+3.186+2.511+4.3605+8.2485+6.831</f>
        <v>102.411</v>
      </c>
      <c r="H11" s="11"/>
      <c r="I11" s="11">
        <f>G11/(G3*0.1865)</f>
        <v>2.53050987756514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13.4504</v>
      </c>
      <c r="D12" s="11">
        <v>0</v>
      </c>
      <c r="E12" s="11">
        <f t="shared" ref="E12:E23" si="1">D12+C12</f>
        <v>13.4504</v>
      </c>
      <c r="F12" s="11" t="s">
        <v>14</v>
      </c>
      <c r="G12" s="11">
        <f>9.9728+12.0888+14.6464+14.8672+14.9224+16.2104+6.808+11.6288+17.1488+13.5056+9.66+12.8616+11.2976+14.2416+14.536+8.096+8.8688+11.8312+13.4504</f>
        <v>236.6424</v>
      </c>
      <c r="H12" s="11"/>
      <c r="I12" s="11">
        <f>G12/(G3*0.1865)</f>
        <v>5.84728135308434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167</v>
      </c>
      <c r="D13" s="12">
        <v>233</v>
      </c>
      <c r="E13" s="11">
        <f t="shared" si="1"/>
        <v>400</v>
      </c>
      <c r="F13" s="11" t="s">
        <v>26</v>
      </c>
      <c r="G13" s="11">
        <f>413+417+468+470+422+163+77+376+425+287+382+409+339+445+471+210+337+383+456+400</f>
        <v>7350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522.48</v>
      </c>
      <c r="D14" s="12">
        <v>499.06</v>
      </c>
      <c r="E14" s="11">
        <f t="shared" si="1"/>
        <v>1021.54</v>
      </c>
      <c r="F14" s="11" t="s">
        <v>26</v>
      </c>
      <c r="G14" s="11">
        <f>876.24+1066.42+862.71+737.14+1030.59+99.19+540.9+505.27+860.01+956.99+969.28+908.75+915.25+774.92+493.16+1041.1+854.9+884.96+1021.54</f>
        <v>15399.32</v>
      </c>
      <c r="H14" s="11"/>
      <c r="I14" s="11"/>
      <c r="J14" s="11">
        <f>(C14*K14+L14*D14)/1000</f>
        <v>3.0030934</v>
      </c>
      <c r="K14" s="11">
        <v>2.93</v>
      </c>
      <c r="L14" s="11">
        <v>2.95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</f>
        <v>46.476245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12</v>
      </c>
      <c r="E16" s="11">
        <f t="shared" si="1"/>
        <v>28</v>
      </c>
      <c r="F16" s="11" t="s">
        <v>14</v>
      </c>
      <c r="G16" s="11">
        <f>32+28+32+36+32+6+8+28+28+24+24+32+20+32+32+16+20+28+28+28</f>
        <v>514</v>
      </c>
      <c r="H16" s="11"/>
      <c r="I16" s="11">
        <f>G16/(G3*0.1865)</f>
        <v>12.7006090856303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0.15</v>
      </c>
      <c r="D17" s="29">
        <v>0</v>
      </c>
      <c r="E17" s="11">
        <f t="shared" si="1"/>
        <v>0.15</v>
      </c>
      <c r="F17" s="11" t="s">
        <v>14</v>
      </c>
      <c r="G17" s="11">
        <f>0.15+0.15+0.15+0.01+0.375+0.15</f>
        <v>0.985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</f>
        <v>22.24</v>
      </c>
      <c r="H18" s="28"/>
      <c r="I18" s="28">
        <f>G18/(G3*0.1865)</f>
        <v>0.549536081837388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1.85</v>
      </c>
      <c r="D19" s="29">
        <v>0</v>
      </c>
      <c r="E19" s="11">
        <f t="shared" si="1"/>
        <v>1.85</v>
      </c>
      <c r="F19" s="11" t="s">
        <v>14</v>
      </c>
      <c r="G19" s="11">
        <f>1.8+1.8+1.8+1.8+1.8+1.8+1.8+1.8+1.8+1.8+1.85</f>
        <v>19.85</v>
      </c>
      <c r="H19" s="28"/>
      <c r="I19" s="28">
        <f>G19/(G3*0.1865)</f>
        <v>0.490480720524827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5</v>
      </c>
      <c r="D20" s="29">
        <v>3</v>
      </c>
      <c r="E20" s="11">
        <f t="shared" si="1"/>
        <v>8</v>
      </c>
      <c r="F20" s="11" t="s">
        <v>35</v>
      </c>
      <c r="G20" s="11">
        <f>5+5+9+7+4+2+8+9+7+5+9+5+6+6+3+9+3+6+8</f>
        <v>116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2</v>
      </c>
      <c r="E21" s="11">
        <f t="shared" si="1"/>
        <v>2</v>
      </c>
      <c r="F21" s="11" t="s">
        <v>35</v>
      </c>
      <c r="G21" s="11">
        <f>1+1+1+2+1+1+2+2</f>
        <v>11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656</v>
      </c>
      <c r="D22" s="29">
        <v>650</v>
      </c>
      <c r="E22" s="11">
        <f t="shared" si="1"/>
        <v>1306</v>
      </c>
      <c r="F22" s="11" t="s">
        <v>26</v>
      </c>
      <c r="G22" s="11">
        <f>1223+1182+1152+1139+321+289+1208+1196+796+1155+1080+1206+1156+1090+761+1119+1178+1268+1306</f>
        <v>19825</v>
      </c>
      <c r="H22" s="11">
        <v>24</v>
      </c>
      <c r="I22" s="28">
        <f>E22/H22</f>
        <v>54.4166666666667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837</v>
      </c>
      <c r="D23" s="29">
        <v>813</v>
      </c>
      <c r="E23" s="11">
        <f t="shared" si="1"/>
        <v>1650</v>
      </c>
      <c r="F23" s="11" t="s">
        <v>26</v>
      </c>
      <c r="G23" s="11">
        <f>1518+1509+1506+1518+362+251+1348+1505+1018+1419+1323+1490+1467+1415+788+1437+1496+1580+1650</f>
        <v>24600</v>
      </c>
      <c r="H23" s="28"/>
      <c r="I23" s="28">
        <f>E23/H22</f>
        <v>68.75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29.14</v>
      </c>
      <c r="D24" s="29">
        <v>29.49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136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137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138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139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10</v>
      </c>
      <c r="D31" s="12">
        <v>0</v>
      </c>
      <c r="E31" s="11">
        <f t="shared" ref="E31:E39" si="2">D31+C31</f>
        <v>10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3.43</v>
      </c>
      <c r="D32" s="12">
        <v>11.04</v>
      </c>
      <c r="E32" s="11">
        <f t="shared" si="2"/>
        <v>14.47</v>
      </c>
      <c r="F32" s="11" t="s">
        <v>26</v>
      </c>
      <c r="G32" s="11">
        <f>15.93+12.34+15.8+13.36+10.55+6.69+3.42+6.59+8.39+6.12+13.9+12.93+12.59+6.71+12.15+12.81+13.23+13.15+6.98+6.68+14.47</f>
        <v>224.79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4</v>
      </c>
      <c r="E33" s="11">
        <f t="shared" si="2"/>
        <v>7</v>
      </c>
      <c r="F33" s="11" t="s">
        <v>26</v>
      </c>
      <c r="G33" s="11">
        <f>4+7+4+4+4+5+5+4+5+9+5+5+10+5+5+5+5+5+6+8+7</f>
        <v>117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11.718</v>
      </c>
      <c r="E35" s="11">
        <f t="shared" si="2"/>
        <v>11.718</v>
      </c>
      <c r="F35" s="11" t="s">
        <v>14</v>
      </c>
      <c r="G35" s="12">
        <f>10.746+7.857+9.018+7.0875+8.1405+2.484+6.696+7.371+10.0845+4.644+11.718</f>
        <v>85.8465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</f>
        <v>2143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466</v>
      </c>
      <c r="D38" s="12">
        <v>466</v>
      </c>
      <c r="E38" s="11">
        <f t="shared" si="2"/>
        <v>932</v>
      </c>
      <c r="F38" s="11" t="s">
        <v>26</v>
      </c>
      <c r="G38" s="11">
        <f>990+994+979+1010+1020+1012+1005+942+999+980+965+947+915+945+947+950+764+927+930+936+932</f>
        <v>20089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750*0.9</f>
        <v>675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86.86*1.82</f>
        <v>158.0852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1+1+1+1+2+2+2+2+2+4+3+3+2+1+2</f>
        <v>29</v>
      </c>
      <c r="H42" s="28"/>
      <c r="I42" s="11">
        <v>18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8" workbookViewId="0">
      <pane xSplit="2" topLeftCell="C1" activePane="topRight" state="frozen"/>
      <selection/>
      <selection pane="topRight"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140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6</v>
      </c>
      <c r="E3" s="11">
        <f t="shared" ref="E3:E8" si="0">C3+D3</f>
        <v>13.5</v>
      </c>
      <c r="F3" s="11" t="s">
        <v>14</v>
      </c>
      <c r="G3" s="11">
        <f>13+12+13.5+14.5+13.5+5+5.5+10.5+11+11.5+9.5+11+10.5+12.5+12.5+9+7+11.5+12+11.5+13.5</f>
        <v>230.5</v>
      </c>
      <c r="H3" s="11">
        <v>303</v>
      </c>
      <c r="I3" s="11">
        <f>H3-G3</f>
        <v>72.5</v>
      </c>
      <c r="J3" s="11"/>
      <c r="K3" s="11"/>
      <c r="L3" s="11"/>
      <c r="M3" s="12">
        <f>I3/9</f>
        <v>8.05555555555556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20+14+12+14+14+10+6+8+10+12+8+12+10+12+14+8+8+8+14+12+14</f>
        <v>240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59</v>
      </c>
      <c r="D5" s="12">
        <v>103</v>
      </c>
      <c r="E5" s="11">
        <f t="shared" si="0"/>
        <v>162</v>
      </c>
      <c r="F5" s="11" t="s">
        <v>14</v>
      </c>
      <c r="G5" s="11">
        <f>160+179+142+152+179+46+148+155+107+136+118+171+133+157+75+151+153+179+185+162</f>
        <v>2888</v>
      </c>
      <c r="H5" s="14">
        <v>4120</v>
      </c>
      <c r="I5" s="14">
        <f>H5-G5-G7-G6</f>
        <v>1180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2</v>
      </c>
      <c r="D7" s="12">
        <v>0</v>
      </c>
      <c r="E7" s="11">
        <f t="shared" si="0"/>
        <v>2</v>
      </c>
      <c r="F7" s="11" t="s">
        <v>14</v>
      </c>
      <c r="G7" s="11">
        <f>3+5+2+1+4+1+1+6+8+1+1+4+1+4+3+2+3+2</f>
        <v>52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69.27</v>
      </c>
      <c r="D9" s="19"/>
      <c r="E9" s="14">
        <f>30.72+31.17+64.3+31.37+30.66+30.83+30.76+31.2+30.58+30.79+69.27</f>
        <v>411.65</v>
      </c>
      <c r="F9" s="14" t="s">
        <v>14</v>
      </c>
      <c r="G9" s="14">
        <f>0.273408+0.277413+0.5787+0.276056+0.269808+0.274387+0.26146+0.25272+0.250756+0.240162+0.595722</f>
        <v>3.550592</v>
      </c>
      <c r="H9" s="14">
        <v>5.6</v>
      </c>
      <c r="I9" s="14">
        <f>H9-G9</f>
        <v>2.049408</v>
      </c>
      <c r="J9" s="20" t="s">
        <v>22</v>
      </c>
      <c r="K9" s="21">
        <v>0.86</v>
      </c>
      <c r="L9" s="14">
        <f>C9*K9/100</f>
        <v>0.595722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1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4.671</v>
      </c>
      <c r="D11" s="11">
        <v>2.889</v>
      </c>
      <c r="E11" s="11">
        <f>C11+D11</f>
        <v>7.56</v>
      </c>
      <c r="F11" s="11" t="s">
        <v>14</v>
      </c>
      <c r="G11" s="11">
        <f>6.561+6.885+5.238+5.1975+6.561+2.322+1.863+2.7675+5.67+4.8195+6.1425+8.316+3.024+6.7635+5.1435+3.186+2.511+4.3605+8.2485+6.831+7.56</f>
        <v>109.971</v>
      </c>
      <c r="H11" s="11"/>
      <c r="I11" s="11">
        <f>G11/(G3*0.1865)</f>
        <v>2.55816414950597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13.7264</v>
      </c>
      <c r="D12" s="11">
        <v>0</v>
      </c>
      <c r="E12" s="11">
        <f t="shared" ref="E12:E23" si="1">D12+C12</f>
        <v>13.7264</v>
      </c>
      <c r="F12" s="11" t="s">
        <v>14</v>
      </c>
      <c r="G12" s="11">
        <f>9.9728+12.0888+14.6464+14.8672+14.9224+16.2104+6.808+11.6288+17.1488+13.5056+9.66+12.8616+11.2976+14.2416+14.536+8.096+8.8688+11.8312+13.4504+13.7264</f>
        <v>250.3688</v>
      </c>
      <c r="H12" s="11"/>
      <c r="I12" s="11">
        <f>G12/(G3*0.1865)</f>
        <v>5.82412170767593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245</v>
      </c>
      <c r="D13" s="12">
        <v>235</v>
      </c>
      <c r="E13" s="11">
        <f t="shared" si="1"/>
        <v>480</v>
      </c>
      <c r="F13" s="11" t="s">
        <v>26</v>
      </c>
      <c r="G13" s="11">
        <f>413+417+468+470+422+163+77+376+425+287+382+409+339+445+471+210+337+383+456+400+480</f>
        <v>7830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401.44</v>
      </c>
      <c r="D14" s="12">
        <v>368.81</v>
      </c>
      <c r="E14" s="11">
        <f t="shared" si="1"/>
        <v>770.25</v>
      </c>
      <c r="F14" s="11" t="s">
        <v>26</v>
      </c>
      <c r="G14" s="11">
        <f>876.24+1066.42+862.71+737.14+1030.59+99.19+540.9+505.27+860.01+956.99+969.28+908.75+915.25+774.92+493.16+1041.1+854.9+884.96+1021.54+770.25</f>
        <v>16169.57</v>
      </c>
      <c r="H14" s="11"/>
      <c r="I14" s="11"/>
      <c r="J14" s="11">
        <f>(C14*K14+L14*D14)/1000</f>
        <v>2.2642087</v>
      </c>
      <c r="K14" s="11">
        <v>2.93</v>
      </c>
      <c r="L14" s="11">
        <v>2.95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</f>
        <v>48.7404537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20</v>
      </c>
      <c r="D16" s="12">
        <v>12</v>
      </c>
      <c r="E16" s="11">
        <f t="shared" si="1"/>
        <v>32</v>
      </c>
      <c r="F16" s="11" t="s">
        <v>14</v>
      </c>
      <c r="G16" s="11">
        <f>32+28+32+36+32+6+8+28+28+24+24+32+20+32+32+16+20+28+28+28+32</f>
        <v>546</v>
      </c>
      <c r="H16" s="11"/>
      <c r="I16" s="11">
        <f>G16/(G3*0.1865)</f>
        <v>12.7011450803417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0.075</v>
      </c>
      <c r="D17" s="29">
        <v>0.025</v>
      </c>
      <c r="E17" s="11">
        <f t="shared" si="1"/>
        <v>0.1</v>
      </c>
      <c r="F17" s="11" t="s">
        <v>14</v>
      </c>
      <c r="G17" s="11">
        <f>0.15+0.15+0.15+0.01+0.375+0.15+0.1</f>
        <v>1.085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</f>
        <v>22.24</v>
      </c>
      <c r="H18" s="28"/>
      <c r="I18" s="28">
        <f>G18/(G3*0.1865)</f>
        <v>0.517350671404395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</f>
        <v>19.85</v>
      </c>
      <c r="H19" s="28"/>
      <c r="I19" s="28">
        <f>G19/(G3*0.1865)</f>
        <v>0.461754083964804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4</v>
      </c>
      <c r="D20" s="29">
        <v>4</v>
      </c>
      <c r="E20" s="11">
        <f t="shared" si="1"/>
        <v>8</v>
      </c>
      <c r="F20" s="11" t="s">
        <v>35</v>
      </c>
      <c r="G20" s="11">
        <f>5+5+9+7+4+2+8+9+7+5+9+5+6+6+3+9+3+6+8+8</f>
        <v>124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1</v>
      </c>
      <c r="E21" s="11">
        <f t="shared" si="1"/>
        <v>1</v>
      </c>
      <c r="F21" s="11" t="s">
        <v>35</v>
      </c>
      <c r="G21" s="11">
        <f>1+1+1+2+1+1+2+2+1</f>
        <v>12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664</v>
      </c>
      <c r="D22" s="29">
        <v>616</v>
      </c>
      <c r="E22" s="11">
        <f t="shared" si="1"/>
        <v>1280</v>
      </c>
      <c r="F22" s="11" t="s">
        <v>26</v>
      </c>
      <c r="G22" s="11">
        <f>1223+1182+1152+1139+321+289+1208+1196+796+1155+1080+1206+1156+1090+761+1119+1178+1268+1306+1280</f>
        <v>21105</v>
      </c>
      <c r="H22" s="11">
        <v>24</v>
      </c>
      <c r="I22" s="28">
        <f>E22/H22</f>
        <v>53.3333333333333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828</v>
      </c>
      <c r="D23" s="29">
        <v>785</v>
      </c>
      <c r="E23" s="11">
        <f t="shared" si="1"/>
        <v>1613</v>
      </c>
      <c r="F23" s="11" t="s">
        <v>26</v>
      </c>
      <c r="G23" s="11">
        <f>1518+1509+1506+1518+362+251+1348+1505+1018+1419+1323+1490+1467+1415+788+1437+1496+1580+1650+1613</f>
        <v>26213</v>
      </c>
      <c r="H23" s="28"/>
      <c r="I23" s="28">
        <f>E23/H22</f>
        <v>67.2083333333333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28.2</v>
      </c>
      <c r="D24" s="29">
        <v>26.84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142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3.43</v>
      </c>
      <c r="D32" s="12">
        <v>11.11</v>
      </c>
      <c r="E32" s="11">
        <f t="shared" si="2"/>
        <v>14.54</v>
      </c>
      <c r="F32" s="11" t="s">
        <v>26</v>
      </c>
      <c r="G32" s="11">
        <f>15.93+12.34+15.8+13.36+10.55+6.69+3.42+6.59+8.39+6.12+13.9+12.93+12.59+6.71+12.15+12.81+13.23+13.15+6.98+6.68+14.47+14.54</f>
        <v>239.33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4</v>
      </c>
      <c r="E33" s="11">
        <f t="shared" si="2"/>
        <v>7</v>
      </c>
      <c r="F33" s="11" t="s">
        <v>26</v>
      </c>
      <c r="G33" s="11">
        <f>4+7+4+4+4+5+5+4+5+9+5+5+10+5+5+5+5+5+6+8+7+7</f>
        <v>124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</f>
        <v>85.8465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</v>
      </c>
      <c r="D37" s="12">
        <v>12</v>
      </c>
      <c r="E37" s="11">
        <f t="shared" si="2"/>
        <v>15</v>
      </c>
      <c r="F37" s="11" t="s">
        <v>26</v>
      </c>
      <c r="G37" s="11">
        <f>89+159+208+194+187+193+198+173+188+75+149+107+89+15+16+84+8+8+3+15</f>
        <v>2158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467</v>
      </c>
      <c r="D38" s="12">
        <v>467</v>
      </c>
      <c r="E38" s="11">
        <f t="shared" si="2"/>
        <v>934</v>
      </c>
      <c r="F38" s="11" t="s">
        <v>26</v>
      </c>
      <c r="G38" s="11">
        <f>990+994+979+1010+1020+1012+1005+942+999+980+965+947+915+945+947+950+764+927+930+936+932+934</f>
        <v>21023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750*0.8</f>
        <v>600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86.86*2.05</f>
        <v>178.063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3</v>
      </c>
      <c r="E42" s="11">
        <f>D42+C42</f>
        <v>3</v>
      </c>
      <c r="F42" s="11" t="s">
        <v>35</v>
      </c>
      <c r="G42" s="11">
        <f>1+1+1+1+2+2+2+2+2+4+3+3+2+1+2+3</f>
        <v>32</v>
      </c>
      <c r="H42" s="28"/>
      <c r="I42" s="11">
        <v>22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6" workbookViewId="0">
      <pane xSplit="2" topLeftCell="E1" activePane="topRight" state="frozen"/>
      <selection/>
      <selection pane="topRight" activeCell="E35" sqref="E3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143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7</v>
      </c>
      <c r="E3" s="11">
        <f t="shared" ref="E3:E8" si="0">C3+D3</f>
        <v>14</v>
      </c>
      <c r="F3" s="11" t="s">
        <v>14</v>
      </c>
      <c r="G3" s="11">
        <f>13+12+13.5+14.5+13.5+5+5.5+10.5+11+11.5+9.5+11+10.5+12.5+12.5+9+7+11.5+12+11.5+13.5+14</f>
        <v>244.5</v>
      </c>
      <c r="H3" s="11">
        <v>303</v>
      </c>
      <c r="I3" s="11">
        <f>H3-G3</f>
        <v>58.5</v>
      </c>
      <c r="J3" s="11"/>
      <c r="K3" s="11"/>
      <c r="L3" s="11"/>
      <c r="M3" s="12">
        <f>I3/8</f>
        <v>7.3125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20+14+12+14+14+10+6+8+10+12+8+12+10+12+14+8+8+8+14+12+14+12</f>
        <v>252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82</v>
      </c>
      <c r="D5" s="12">
        <v>90</v>
      </c>
      <c r="E5" s="11">
        <f t="shared" si="0"/>
        <v>172</v>
      </c>
      <c r="F5" s="11" t="s">
        <v>14</v>
      </c>
      <c r="G5" s="11">
        <f>160+179+142+152+179+46+148+155+107+136+118+171+133+157+75+151+153+179+185+162+172</f>
        <v>3060</v>
      </c>
      <c r="H5" s="14">
        <v>4120</v>
      </c>
      <c r="I5" s="14">
        <f>H5-G5-G7-G6</f>
        <v>1003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5</v>
      </c>
      <c r="D7" s="12">
        <v>0</v>
      </c>
      <c r="E7" s="11">
        <f t="shared" si="0"/>
        <v>5</v>
      </c>
      <c r="F7" s="11" t="s">
        <v>14</v>
      </c>
      <c r="G7" s="11">
        <f>3+5+2+1+4+1+1+6+8+1+1+4+1+4+3+2+3+2+5</f>
        <v>57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30.95</v>
      </c>
      <c r="D9" s="19"/>
      <c r="E9" s="14">
        <f>30.72+31.17+64.3+31.37+30.66+30.83+30.76+31.2+30.58+30.79+69.27+30.95</f>
        <v>442.6</v>
      </c>
      <c r="F9" s="14" t="s">
        <v>14</v>
      </c>
      <c r="G9" s="14">
        <f>0.273408+0.277413+0.5787+0.276056+0.269808+0.274387+0.26146+0.25272+0.250756+0.240162+0.595722+0.27855</f>
        <v>3.829142</v>
      </c>
      <c r="H9" s="14">
        <v>5.6</v>
      </c>
      <c r="I9" s="14">
        <f>H9-G9</f>
        <v>1.770858</v>
      </c>
      <c r="J9" s="20" t="s">
        <v>22</v>
      </c>
      <c r="K9" s="21">
        <v>0.9</v>
      </c>
      <c r="L9" s="14">
        <f>C9*K9/100</f>
        <v>0.27855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8.4915</v>
      </c>
      <c r="D11" s="11">
        <v>0</v>
      </c>
      <c r="E11" s="11">
        <f>C11+D11</f>
        <v>8.4915</v>
      </c>
      <c r="F11" s="11" t="s">
        <v>14</v>
      </c>
      <c r="G11" s="11">
        <f>6.561+6.885+5.238+5.1975+6.561+2.322+1.863+2.7675+5.67+4.8195+6.1425+8.316+3.024+6.7635+5.1435+3.186+2.511+4.3605+8.2485+6.831+7.56+8.4915</f>
        <v>118.4625</v>
      </c>
      <c r="H11" s="11"/>
      <c r="I11" s="11">
        <f>G11/(G3*0.1865)</f>
        <v>2.59790457079886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14.1312</v>
      </c>
      <c r="D12" s="11">
        <v>0</v>
      </c>
      <c r="E12" s="11">
        <f t="shared" ref="E12:E23" si="1">D12+C12</f>
        <v>14.1312</v>
      </c>
      <c r="F12" s="11" t="s">
        <v>14</v>
      </c>
      <c r="G12" s="11">
        <f>9.9728+12.0888+14.6464+14.8672+14.9224+16.2104+6.808+11.6288+17.1488+13.5056+9.66+12.8616+11.2976+14.2416+14.536+8.096+8.8688+11.8312+13.4504+13.7264+14.1312</f>
        <v>264.5</v>
      </c>
      <c r="H12" s="11"/>
      <c r="I12" s="11">
        <f>G12/(G3*0.1865)</f>
        <v>5.80053400001097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230</v>
      </c>
      <c r="D13" s="12">
        <v>202</v>
      </c>
      <c r="E13" s="11">
        <f t="shared" si="1"/>
        <v>432</v>
      </c>
      <c r="F13" s="11" t="s">
        <v>26</v>
      </c>
      <c r="G13" s="11">
        <f>413+417+468+470+422+163+77+376+425+287+382+409+339+445+471+210+337+383+456+400+480+432</f>
        <v>8262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458.72</v>
      </c>
      <c r="D14" s="12">
        <v>486.01</v>
      </c>
      <c r="E14" s="11">
        <f t="shared" si="1"/>
        <v>944.73</v>
      </c>
      <c r="F14" s="11" t="s">
        <v>26</v>
      </c>
      <c r="G14" s="11">
        <f>876.24+1066.42+862.71+737.14+1030.59+99.19+540.9+505.27+860.01+956.99+969.28+908.75+915.25+774.92+493.16+1041.1+854.9+884.96+1021.54+770.25+944.73</f>
        <v>17114.3</v>
      </c>
      <c r="H14" s="11"/>
      <c r="I14" s="11"/>
      <c r="J14" s="11">
        <f>(C14*K14+L14*D14)/1000</f>
        <v>2.8482245</v>
      </c>
      <c r="K14" s="11">
        <v>3.02</v>
      </c>
      <c r="L14" s="11">
        <v>3.01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</f>
        <v>51.5886782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16</v>
      </c>
      <c r="D16" s="12">
        <v>18</v>
      </c>
      <c r="E16" s="11">
        <f t="shared" si="1"/>
        <v>34</v>
      </c>
      <c r="F16" s="11" t="s">
        <v>14</v>
      </c>
      <c r="G16" s="11">
        <f>32+28+32+36+32+6+8+28+28+24+24+32+20+32+32+16+20+28+28+28+32+34</f>
        <v>580</v>
      </c>
      <c r="H16" s="11"/>
      <c r="I16" s="11">
        <f>G16/(G3*0.1865)</f>
        <v>12.7195074480392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</f>
        <v>1.085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</f>
        <v>22.24</v>
      </c>
      <c r="H18" s="28"/>
      <c r="I18" s="28">
        <f>G18/(G3*0.1865)</f>
        <v>0.487727320076536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</f>
        <v>19.85</v>
      </c>
      <c r="H19" s="28"/>
      <c r="I19" s="28">
        <f>G19/(G3*0.1865)</f>
        <v>0.435314177316513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2</v>
      </c>
      <c r="E20" s="11">
        <f t="shared" si="1"/>
        <v>5</v>
      </c>
      <c r="F20" s="11" t="s">
        <v>35</v>
      </c>
      <c r="G20" s="11">
        <f>5+5+9+7+4+2+8+9+7+5+9+5+6+6+3+9+3+6+8+8+5</f>
        <v>129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1</v>
      </c>
      <c r="E21" s="11">
        <f t="shared" si="1"/>
        <v>1</v>
      </c>
      <c r="F21" s="11" t="s">
        <v>35</v>
      </c>
      <c r="G21" s="11">
        <f>1+1+1+2+1+1+2+2+1+1</f>
        <v>13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621</v>
      </c>
      <c r="D22" s="29">
        <v>642</v>
      </c>
      <c r="E22" s="11">
        <f t="shared" si="1"/>
        <v>1263</v>
      </c>
      <c r="F22" s="11" t="s">
        <v>26</v>
      </c>
      <c r="G22" s="11">
        <f>1223+1182+1152+1139+321+289+1208+1196+796+1155+1080+1206+1156+1090+761+1119+1178+1268+1306+1280+1263</f>
        <v>22368</v>
      </c>
      <c r="H22" s="11">
        <v>24</v>
      </c>
      <c r="I22" s="28">
        <f>E22/H22</f>
        <v>52.625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781</v>
      </c>
      <c r="D23" s="29">
        <v>796</v>
      </c>
      <c r="E23" s="11">
        <f t="shared" si="1"/>
        <v>1577</v>
      </c>
      <c r="F23" s="11" t="s">
        <v>26</v>
      </c>
      <c r="G23" s="11">
        <f>1518+1509+1506+1518+362+251+1348+1505+1018+1419+1323+1490+1467+1415+788+1437+1496+1580+1650+1613+1577</f>
        <v>27790</v>
      </c>
      <c r="H23" s="28"/>
      <c r="I23" s="28">
        <f>E23/H22</f>
        <v>65.7083333333333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28.2</v>
      </c>
      <c r="D24" s="29">
        <v>26.84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144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11.35</v>
      </c>
      <c r="D32" s="12">
        <v>10.35</v>
      </c>
      <c r="E32" s="11">
        <f t="shared" si="2"/>
        <v>21.7</v>
      </c>
      <c r="F32" s="11" t="s">
        <v>26</v>
      </c>
      <c r="G32" s="11">
        <f>15.93+12.34+15.8+13.36+10.55+6.69+3.42+6.59+8.39+6.12+13.9+12.93+12.59+6.71+12.15+12.81+13.23+13.15+6.98+6.68+14.47+14.54+21.7</f>
        <v>261.03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7</v>
      </c>
      <c r="D33" s="12">
        <v>4</v>
      </c>
      <c r="E33" s="11">
        <f t="shared" si="2"/>
        <v>11</v>
      </c>
      <c r="F33" s="11" t="s">
        <v>26</v>
      </c>
      <c r="G33" s="11">
        <f>4+7+4+4+4+5+5+4+5+9+5+5+10+5+5+5+5+5+6+8+7+7+11</f>
        <v>135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13.0815</v>
      </c>
      <c r="D35" s="11">
        <v>0</v>
      </c>
      <c r="E35" s="11">
        <f t="shared" si="2"/>
        <v>13.0815</v>
      </c>
      <c r="F35" s="11" t="s">
        <v>14</v>
      </c>
      <c r="G35" s="12">
        <f>10.746+7.857+9.018+7.0875+8.1405+2.484+6.696+7.371+10.0845+4.644+11.718+13.0815</f>
        <v>98.928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</f>
        <v>2158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469</v>
      </c>
      <c r="D38" s="12">
        <v>471</v>
      </c>
      <c r="E38" s="11">
        <f t="shared" si="2"/>
        <v>940</v>
      </c>
      <c r="F38" s="11" t="s">
        <v>26</v>
      </c>
      <c r="G38" s="11">
        <f>990+994+979+1010+1020+1012+1005+942+999+980+965+947+915+945+947+950+764+927+930+936+932+934+940</f>
        <v>21963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750*0.8</f>
        <v>600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86.86*2.05</f>
        <v>178.063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1+1+1+1+2+2+2+2+2+4+3+3+2+1+2+3+2</f>
        <v>34</v>
      </c>
      <c r="H42" s="28"/>
      <c r="I42" s="11">
        <v>22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5" workbookViewId="0">
      <pane xSplit="2" topLeftCell="C1" activePane="topRight" state="frozen"/>
      <selection/>
      <selection pane="topRight"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145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6.5</v>
      </c>
      <c r="D3" s="10">
        <v>5</v>
      </c>
      <c r="E3" s="11">
        <f t="shared" ref="E3:E8" si="0">C3+D3</f>
        <v>11.5</v>
      </c>
      <c r="F3" s="11" t="s">
        <v>14</v>
      </c>
      <c r="G3" s="11">
        <f>13+12+13.5+14.5+13.5+5+5.5+10.5+11+11.5+9.5+11+10.5+12.5+12.5+9+7+11.5+12+11.5+13.5+14+11.5</f>
        <v>256</v>
      </c>
      <c r="H3" s="11">
        <v>303</v>
      </c>
      <c r="I3" s="11">
        <f>H3-G3</f>
        <v>47</v>
      </c>
      <c r="J3" s="11"/>
      <c r="K3" s="11"/>
      <c r="L3" s="11"/>
      <c r="M3" s="12">
        <f>I3/7</f>
        <v>6.71428571428571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20+14+12+14+14+10+6+8+10+12+8+12+10+12+14+8+8+8+14+12+14+12+14</f>
        <v>266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95</v>
      </c>
      <c r="D5" s="12">
        <v>99</v>
      </c>
      <c r="E5" s="11">
        <f t="shared" si="0"/>
        <v>194</v>
      </c>
      <c r="F5" s="11" t="s">
        <v>14</v>
      </c>
      <c r="G5" s="11">
        <f>160+179+142+152+179+46+148+155+107+136+118+171+133+157+75+151+153+179+185+162+172+194</f>
        <v>3254</v>
      </c>
      <c r="H5" s="14">
        <v>4120</v>
      </c>
      <c r="I5" s="14">
        <f>H5-G5-G7-G6</f>
        <v>808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1</v>
      </c>
      <c r="E7" s="11">
        <f t="shared" si="0"/>
        <v>1</v>
      </c>
      <c r="F7" s="11" t="s">
        <v>14</v>
      </c>
      <c r="G7" s="11">
        <f>3+5+2+1+4+1+1+6+8+1+1+4+1+4+3+2+3+2+5+1</f>
        <v>58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31.16</v>
      </c>
      <c r="D9" s="19"/>
      <c r="E9" s="14">
        <f>30.72+31.17+64.3+31.37+30.66+30.83+30.76+31.2+30.58+30.79+69.27+30.95+31.16</f>
        <v>473.76</v>
      </c>
      <c r="F9" s="14" t="s">
        <v>14</v>
      </c>
      <c r="G9" s="14">
        <f>0.273408+0.277413+0.5787+0.276056+0.269808+0.274387+0.26146+0.25272+0.250756+0.240162+0.595722+0.27855+0.283556</f>
        <v>4.112698</v>
      </c>
      <c r="H9" s="14">
        <v>5.6</v>
      </c>
      <c r="I9" s="14">
        <f>H9-G9</f>
        <v>1.487302</v>
      </c>
      <c r="J9" s="20" t="s">
        <v>22</v>
      </c>
      <c r="K9" s="21">
        <v>0.91</v>
      </c>
      <c r="L9" s="14">
        <f>C9*K9/100</f>
        <v>0.283556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7.209</v>
      </c>
      <c r="D11" s="11">
        <v>3.9825</v>
      </c>
      <c r="E11" s="11">
        <f>C11+D11</f>
        <v>11.1915</v>
      </c>
      <c r="F11" s="11" t="s">
        <v>14</v>
      </c>
      <c r="G11" s="11">
        <f>6.561+6.885+5.238+5.1975+6.561+2.322+1.863+2.7675+5.67+4.8195+6.1425+8.316+3.024+6.7635+5.1435+3.186+2.511+4.3605+8.2485+6.831+7.56+8.4915+11.1915</f>
        <v>129.654</v>
      </c>
      <c r="H11" s="11"/>
      <c r="I11" s="11">
        <f>G11/(G3*0.1865)</f>
        <v>2.71560824396783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17.7376</v>
      </c>
      <c r="D12" s="11">
        <v>0</v>
      </c>
      <c r="E12" s="11">
        <f t="shared" ref="E12:E23" si="1">D12+C12</f>
        <v>17.7376</v>
      </c>
      <c r="F12" s="11" t="s">
        <v>14</v>
      </c>
      <c r="G12" s="11">
        <f>9.9728+12.0888+14.6464+14.8672+14.9224+16.2104+6.808+11.6288+17.1488+13.5056+9.66+12.8616+11.2976+14.2416+14.536+8.096+8.8688+11.8312+13.4504+13.7264+14.1312+17.7376</f>
        <v>282.2376</v>
      </c>
      <c r="H12" s="11"/>
      <c r="I12" s="11">
        <f>G12/(G3*0.1865)</f>
        <v>5.91147788203753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199</v>
      </c>
      <c r="D13" s="12">
        <v>190</v>
      </c>
      <c r="E13" s="11">
        <f t="shared" si="1"/>
        <v>389</v>
      </c>
      <c r="F13" s="11" t="s">
        <v>26</v>
      </c>
      <c r="G13" s="11">
        <f>413+417+468+470+422+163+77+376+425+287+382+409+339+445+471+210+337+383+456+400+480+432+389</f>
        <v>8651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515.63</v>
      </c>
      <c r="D14" s="12">
        <v>524.81</v>
      </c>
      <c r="E14" s="11">
        <f t="shared" si="1"/>
        <v>1040.44</v>
      </c>
      <c r="F14" s="11" t="s">
        <v>26</v>
      </c>
      <c r="G14" s="11">
        <f>876.24+1066.42+862.71+737.14+1030.59+99.19+540.9+505.27+860.01+956.99+969.28+908.75+915.25+774.92+493.16+1041.1+854.9+884.96+1021.54+770.25+944.73+1040.44</f>
        <v>18154.74</v>
      </c>
      <c r="H14" s="11"/>
      <c r="I14" s="11"/>
      <c r="J14" s="11">
        <f>(C14*K14+L14*D14)/1000</f>
        <v>3.2619171</v>
      </c>
      <c r="K14" s="11">
        <v>3.12</v>
      </c>
      <c r="L14" s="11">
        <v>3.15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</f>
        <v>54.8505953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11</v>
      </c>
      <c r="D16" s="12">
        <v>15</v>
      </c>
      <c r="E16" s="11">
        <f t="shared" si="1"/>
        <v>26</v>
      </c>
      <c r="F16" s="11" t="s">
        <v>14</v>
      </c>
      <c r="G16" s="11">
        <f>32+28+32+36+32+6+8+28+28+24+24+32+20+32+32+16+20+28+28+28+32+34+26</f>
        <v>606</v>
      </c>
      <c r="H16" s="11"/>
      <c r="I16" s="11">
        <f>G16/(G3*0.1865)</f>
        <v>12.6926943699732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0.15</v>
      </c>
      <c r="D17" s="29">
        <v>0.15</v>
      </c>
      <c r="E17" s="11">
        <f t="shared" si="1"/>
        <v>0.3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2+2+2+2+0.24+2+2+2+2+2+2+2+2</f>
        <v>24.24</v>
      </c>
      <c r="H18" s="28"/>
      <c r="I18" s="28">
        <f>G18/(G3*0.1865)</f>
        <v>0.507707774798928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1.8+1.8+1.8+1.8+1.8+1.8+1.8+1.8+1.8+1.8+1.85+1.5</f>
        <v>21.35</v>
      </c>
      <c r="H19" s="28"/>
      <c r="I19" s="28">
        <f>G19/(G3*0.1865)</f>
        <v>0.447176608579089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4</v>
      </c>
      <c r="E20" s="11">
        <f t="shared" si="1"/>
        <v>7</v>
      </c>
      <c r="F20" s="11" t="s">
        <v>35</v>
      </c>
      <c r="G20" s="11">
        <f>5+5+9+7+4+2+8+9+7+5+9+5+6+6+3+9+3+6+8+8+5+7</f>
        <v>136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0</v>
      </c>
      <c r="E21" s="11">
        <f t="shared" si="1"/>
        <v>0</v>
      </c>
      <c r="F21" s="11" t="s">
        <v>35</v>
      </c>
      <c r="G21" s="11">
        <f>1+1+1+2+1+1+2+2+1+1</f>
        <v>13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639</v>
      </c>
      <c r="D22" s="29">
        <v>642</v>
      </c>
      <c r="E22" s="11">
        <f t="shared" si="1"/>
        <v>1281</v>
      </c>
      <c r="F22" s="11" t="s">
        <v>26</v>
      </c>
      <c r="G22" s="11">
        <f>1223+1182+1152+1139+321+289+1208+1196+796+1155+1080+1206+1156+1090+761+1119+1178+1268+1306+1280+1263+1281</f>
        <v>23649</v>
      </c>
      <c r="H22" s="11">
        <v>24</v>
      </c>
      <c r="I22" s="28">
        <f>E22/H22</f>
        <v>53.375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820</v>
      </c>
      <c r="D23" s="29">
        <v>817</v>
      </c>
      <c r="E23" s="11">
        <f t="shared" si="1"/>
        <v>1637</v>
      </c>
      <c r="F23" s="11" t="s">
        <v>26</v>
      </c>
      <c r="G23" s="11">
        <f>1518+1509+1506+1518+362+251+1348+1505+1018+1419+1323+1490+1467+1415+788+1437+1496+1580+1650+1613+1577+1637</f>
        <v>29427</v>
      </c>
      <c r="H23" s="28"/>
      <c r="I23" s="28">
        <f>E23/H22</f>
        <v>68.2083333333333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28.46</v>
      </c>
      <c r="D24" s="29">
        <v>30.76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146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147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10.35</v>
      </c>
      <c r="D32" s="12">
        <v>10.26</v>
      </c>
      <c r="E32" s="11">
        <f t="shared" si="2"/>
        <v>20.61</v>
      </c>
      <c r="F32" s="11" t="s">
        <v>26</v>
      </c>
      <c r="G32" s="11">
        <f>15.93+12.34+15.8+13.36+10.55+6.69+3.42+6.59+8.39+6.12+13.9+12.93+12.59+6.71+12.15+12.81+13.23+13.15+6.98+6.68+14.47+14.54+21.7+20.61</f>
        <v>281.64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3</v>
      </c>
      <c r="E33" s="11">
        <f t="shared" si="2"/>
        <v>6</v>
      </c>
      <c r="F33" s="11" t="s">
        <v>26</v>
      </c>
      <c r="G33" s="11">
        <f>4+7+4+4+4+5+5+4+5+9+5+5+10+5+5+5+5+5+6+8+7+7+11+6</f>
        <v>141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11.151</v>
      </c>
      <c r="D35" s="11">
        <v>0</v>
      </c>
      <c r="E35" s="11">
        <f t="shared" si="2"/>
        <v>11.151</v>
      </c>
      <c r="F35" s="11" t="s">
        <v>14</v>
      </c>
      <c r="G35" s="12">
        <f>10.746+7.857+9.018+7.0875+8.1405+2.484+6.696+7.371+10.0845+4.644+11.718+13.0815+11.151</f>
        <v>110.079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</f>
        <v>2158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470</v>
      </c>
      <c r="D38" s="12">
        <v>472</v>
      </c>
      <c r="E38" s="11">
        <f t="shared" si="2"/>
        <v>942</v>
      </c>
      <c r="F38" s="11" t="s">
        <v>26</v>
      </c>
      <c r="G38" s="11">
        <f>990+994+979+1010+1020+1012+1005+942+999+980+965+947+915+945+947+950+764+927+930+936+932+934+940+942</f>
        <v>22905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750*0.65</f>
        <v>487.5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</f>
        <v>173.72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3</v>
      </c>
      <c r="D42" s="29">
        <v>0</v>
      </c>
      <c r="E42" s="11">
        <f>D42+C42</f>
        <v>3</v>
      </c>
      <c r="F42" s="11" t="s">
        <v>35</v>
      </c>
      <c r="G42" s="11">
        <f>1+1+1+1+2+2+2+2+2+4+3+3+2+1+2+3+2+3</f>
        <v>37</v>
      </c>
      <c r="H42" s="28"/>
      <c r="I42" s="11">
        <v>16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1" workbookViewId="0">
      <pane xSplit="2" topLeftCell="C1" activePane="topRight" state="frozen"/>
      <selection/>
      <selection pane="topRight" activeCell="C43" sqref="C43:L4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148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3.5</v>
      </c>
      <c r="D3" s="10">
        <v>6</v>
      </c>
      <c r="E3" s="11">
        <f t="shared" ref="E3:E8" si="0">C3+D3</f>
        <v>9.5</v>
      </c>
      <c r="F3" s="11" t="s">
        <v>14</v>
      </c>
      <c r="G3" s="11">
        <f>13+12+13.5+14.5+13.5+5+5.5+10.5+11+11.5+9.5+11+10.5+12.5+12.5+9+7+11.5+12+11.5+13.5+14+11.5+9.5</f>
        <v>265.5</v>
      </c>
      <c r="H3" s="11">
        <v>303</v>
      </c>
      <c r="I3" s="11">
        <f>H3-G3</f>
        <v>37.5</v>
      </c>
      <c r="J3" s="11"/>
      <c r="K3" s="11"/>
      <c r="L3" s="11"/>
      <c r="M3" s="12">
        <f>I3/6</f>
        <v>6.25</v>
      </c>
    </row>
    <row r="4" s="1" customFormat="1" ht="56" customHeight="1" spans="1:13">
      <c r="A4" s="13">
        <v>2</v>
      </c>
      <c r="B4" s="9" t="s">
        <v>15</v>
      </c>
      <c r="C4" s="12">
        <v>10</v>
      </c>
      <c r="D4" s="12"/>
      <c r="E4" s="11">
        <f t="shared" si="0"/>
        <v>10</v>
      </c>
      <c r="F4" s="11" t="s">
        <v>14</v>
      </c>
      <c r="G4" s="11">
        <f>20+14+12+14+14+10+6+8+10+12+8+12+10+12+14+8+8+8+14+12+14+12+14+10</f>
        <v>276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27</v>
      </c>
      <c r="D5" s="12">
        <v>0</v>
      </c>
      <c r="E5" s="11">
        <f t="shared" si="0"/>
        <v>27</v>
      </c>
      <c r="F5" s="11" t="s">
        <v>14</v>
      </c>
      <c r="G5" s="11">
        <f>160+179+142+152+179+46+148+155+107+136+118+171+133+157+75+151+153+179+185+162+172+194+27</f>
        <v>3281</v>
      </c>
      <c r="H5" s="14">
        <v>4120</v>
      </c>
      <c r="I5" s="14">
        <f>H5-G5-G7-G6</f>
        <v>781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3+5+2+1+4+1+1+6+8+1+1+4+1+4+3+2+3+2+5+1</f>
        <v>58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30.37</v>
      </c>
      <c r="D9" s="19"/>
      <c r="E9" s="14">
        <f>30.72+31.17+64.3+31.37+30.66+30.83+30.76+31.2+30.58+30.79+69.27+30.95+31.16+30.37</f>
        <v>504.13</v>
      </c>
      <c r="F9" s="14" t="s">
        <v>14</v>
      </c>
      <c r="G9" s="14">
        <f>0.273408+0.277413+0.5787+0.276056+0.269808+0.274387+0.26146+0.25272+0.250756+0.240162+0.595722+0.27855+0.283556+0.267256</f>
        <v>4.379954</v>
      </c>
      <c r="H9" s="14">
        <v>5.6</v>
      </c>
      <c r="I9" s="14">
        <f>H9-G9</f>
        <v>1.220046</v>
      </c>
      <c r="J9" s="20" t="s">
        <v>22</v>
      </c>
      <c r="K9" s="21">
        <v>0.88</v>
      </c>
      <c r="L9" s="14">
        <f>C9*K9/100</f>
        <v>0.267256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4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3.807</v>
      </c>
      <c r="D11" s="11">
        <v>0.1485</v>
      </c>
      <c r="E11" s="11">
        <f>C11+D11</f>
        <v>3.9555</v>
      </c>
      <c r="F11" s="11" t="s">
        <v>14</v>
      </c>
      <c r="G11" s="11">
        <f>6.561+6.885+5.238+5.1975+6.561+2.322+1.863+2.7675+5.67+4.8195+6.1425+8.316+3.024+6.7635+5.1435+3.186+2.511+4.3605+8.2485+6.831+7.56+8.4915+11.1915+3.9555</f>
        <v>133.6095</v>
      </c>
      <c r="H11" s="11"/>
      <c r="I11" s="11">
        <f>G11/(G3*0.1865)</f>
        <v>2.69832326078066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9.3104</v>
      </c>
      <c r="D12" s="11">
        <v>0</v>
      </c>
      <c r="E12" s="11">
        <f t="shared" ref="E12:E23" si="1">D12+C12</f>
        <v>9.3104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</f>
        <v>291.548</v>
      </c>
      <c r="H12" s="11"/>
      <c r="I12" s="11">
        <f>G12/(G3*0.1865)</f>
        <v>5.88798513604257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188</v>
      </c>
      <c r="D13" s="12">
        <v>97</v>
      </c>
      <c r="E13" s="11">
        <f t="shared" si="1"/>
        <v>285</v>
      </c>
      <c r="F13" s="11" t="s">
        <v>26</v>
      </c>
      <c r="G13" s="11">
        <f>413+417+468+470+422+163+77+376+425+287+382+409+339+445+471+210+337+383+456+400+480+432+389+285</f>
        <v>8936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306.37</v>
      </c>
      <c r="D14" s="12">
        <v>356.1</v>
      </c>
      <c r="E14" s="11">
        <f t="shared" si="1"/>
        <v>662.47</v>
      </c>
      <c r="F14" s="11" t="s">
        <v>26</v>
      </c>
      <c r="G14" s="11">
        <f>876.24+1066.42+862.71+737.14+1030.59+99.19+540.9+505.27+860.01+956.99+969.28+908.75+915.25+774.92+493.16+1041.1+854.9+884.96+1021.54+770.25+944.73+1040.44+662.47</f>
        <v>18817.21</v>
      </c>
      <c r="H14" s="11"/>
      <c r="I14" s="11"/>
      <c r="J14" s="11">
        <f>(C14*K14+L14*D14)/1000</f>
        <v>2.2206865</v>
      </c>
      <c r="K14" s="11">
        <v>3.25</v>
      </c>
      <c r="L14" s="11">
        <v>3.44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</f>
        <v>57.0712818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9</v>
      </c>
      <c r="D16" s="12">
        <v>14</v>
      </c>
      <c r="E16" s="11">
        <f t="shared" si="1"/>
        <v>23</v>
      </c>
      <c r="F16" s="11" t="s">
        <v>14</v>
      </c>
      <c r="G16" s="11">
        <f>32+28+32+36+32+6+8+28+28+24+24+32+20+32+32+16+20+28+28+28+32+34+26+23</f>
        <v>629</v>
      </c>
      <c r="H16" s="11"/>
      <c r="I16" s="11">
        <f>G16/(G3*0.1865)</f>
        <v>12.7030288342598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2+2+2+2+0.24+2+2+2+2+2+2+2+2+2</f>
        <v>26.24</v>
      </c>
      <c r="H18" s="28"/>
      <c r="I18" s="28">
        <f>G18/(G3*0.1865)</f>
        <v>0.529932395247977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1.8+1.8+1.8+1.8+1.8+1.8+1.8+1.8+1.8+1.8+1.85+1.5+1.5</f>
        <v>22.85</v>
      </c>
      <c r="H19" s="28"/>
      <c r="I19" s="28">
        <f>G19/(G3*0.1865)</f>
        <v>0.461469330465559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2</v>
      </c>
      <c r="E20" s="11">
        <f t="shared" si="1"/>
        <v>5</v>
      </c>
      <c r="F20" s="11" t="s">
        <v>35</v>
      </c>
      <c r="G20" s="11">
        <f>5+5+9+7+4+2+8+9+7+5+9+5+6+6+3+9+3+6+8+8+5+7+5</f>
        <v>141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3</v>
      </c>
      <c r="D21" s="29">
        <v>1</v>
      </c>
      <c r="E21" s="11">
        <f t="shared" si="1"/>
        <v>4</v>
      </c>
      <c r="F21" s="11" t="s">
        <v>35</v>
      </c>
      <c r="G21" s="11">
        <f>1+1+1+2+1+1+2+2+1+1+4</f>
        <v>17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265</v>
      </c>
      <c r="D22" s="29">
        <v>223</v>
      </c>
      <c r="E22" s="11">
        <f t="shared" si="1"/>
        <v>488</v>
      </c>
      <c r="F22" s="11" t="s">
        <v>26</v>
      </c>
      <c r="G22" s="11">
        <f>1223+1182+1152+1139+321+289+1208+1196+796+1155+1080+1206+1156+1090+761+1119+1178+1268+1306+1280+1263+1281+488</f>
        <v>24137</v>
      </c>
      <c r="H22" s="11">
        <v>9.5</v>
      </c>
      <c r="I22" s="28">
        <f>E22/H22</f>
        <v>51.3684210526316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319</v>
      </c>
      <c r="D23" s="29">
        <v>297</v>
      </c>
      <c r="E23" s="11">
        <f t="shared" si="1"/>
        <v>616</v>
      </c>
      <c r="F23" s="11" t="s">
        <v>26</v>
      </c>
      <c r="G23" s="11">
        <f>1518+1509+1506+1518+362+251+1348+1505+1018+1419+1323+1490+1467+1415+788+1437+1496+1580+1650+1613+1577+1637+616</f>
        <v>30043</v>
      </c>
      <c r="H23" s="28"/>
      <c r="I23" s="28">
        <f>E23/H22</f>
        <v>64.8421052631579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29.91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149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150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151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10.3</v>
      </c>
      <c r="D32" s="12">
        <v>0</v>
      </c>
      <c r="E32" s="11">
        <f t="shared" si="2"/>
        <v>10.3</v>
      </c>
      <c r="F32" s="11" t="s">
        <v>26</v>
      </c>
      <c r="G32" s="11">
        <f>15.93+12.34+15.8+13.36+10.55+6.69+3.42+6.59+8.39+6.12+13.9+12.93+12.59+6.71+12.15+12.81+13.23+13.15+6.98+6.68+14.47+14.54+21.7+20.61+10.3</f>
        <v>291.94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4</v>
      </c>
      <c r="E33" s="11">
        <f t="shared" si="2"/>
        <v>4</v>
      </c>
      <c r="F33" s="11" t="s">
        <v>26</v>
      </c>
      <c r="G33" s="11">
        <f>4+7+4+4+4+5+5+4+5+9+5+5+10+5+5+5+5+5+6+8+7+7+11+6+4</f>
        <v>145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12.177</v>
      </c>
      <c r="D35" s="11">
        <v>0</v>
      </c>
      <c r="E35" s="11">
        <f t="shared" si="2"/>
        <v>12.177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</f>
        <v>2158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407</v>
      </c>
      <c r="D38" s="12">
        <v>491</v>
      </c>
      <c r="E38" s="11">
        <f t="shared" si="2"/>
        <v>898</v>
      </c>
      <c r="F38" s="11" t="s">
        <v>26</v>
      </c>
      <c r="G38" s="11">
        <f>990+994+979+1010+1020+1012+1005+942+999+980+965+947+915+945+947+950+764+927+930+936+932+934+940+942+898</f>
        <v>23803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750*0.69</f>
        <v>517.5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86.86*1.98</f>
        <v>171.9828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2</v>
      </c>
      <c r="D42" s="29">
        <v>0</v>
      </c>
      <c r="E42" s="11">
        <f>D42+C42</f>
        <v>2</v>
      </c>
      <c r="F42" s="11" t="s">
        <v>35</v>
      </c>
      <c r="G42" s="11">
        <f>1+1+1+1+2+2+2+2+2+4+3+3+2+1+2+3+2+3+2</f>
        <v>39</v>
      </c>
      <c r="H42" s="28"/>
      <c r="I42" s="11">
        <v>9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20" workbookViewId="0">
      <pane xSplit="2" topLeftCell="C1" activePane="topRight" state="frozen"/>
      <selection/>
      <selection pane="topRight" activeCell="K19" sqref="K19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152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0.5</v>
      </c>
      <c r="D3" s="10">
        <v>4.5</v>
      </c>
      <c r="E3" s="11">
        <f t="shared" ref="E3:E8" si="0">C3+D3</f>
        <v>5</v>
      </c>
      <c r="F3" s="11" t="s">
        <v>14</v>
      </c>
      <c r="G3" s="11">
        <f>13+12+13.5+14.5+13.5+5+5.5+10.5+11+11.5+9.5+11+10.5+12.5+12.5+9+7+11.5+12+11.5+13.5+14+11.5+9.5+5</f>
        <v>270.5</v>
      </c>
      <c r="H3" s="11">
        <v>303</v>
      </c>
      <c r="I3" s="11">
        <f>H3-G3</f>
        <v>32.5</v>
      </c>
      <c r="J3" s="11"/>
      <c r="K3" s="11"/>
      <c r="L3" s="11"/>
      <c r="M3" s="12">
        <f>I3/5</f>
        <v>6.5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20+14+12+14+14+10+6+8+10+12+8+12+10+12+14+8+8+8+14+12+14+12+14+10+8</f>
        <v>284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78</v>
      </c>
      <c r="D5" s="12">
        <v>89</v>
      </c>
      <c r="E5" s="11">
        <f t="shared" si="0"/>
        <v>167</v>
      </c>
      <c r="F5" s="11" t="s">
        <v>14</v>
      </c>
      <c r="G5" s="11">
        <f>160+179+142+152+179+46+148+155+107+136+118+171+133+157+75+151+153+179+185+162+172+194+27+167</f>
        <v>3448</v>
      </c>
      <c r="H5" s="14">
        <v>4120</v>
      </c>
      <c r="I5" s="14">
        <f>H5-G5-G7-G6</f>
        <v>611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3</v>
      </c>
      <c r="E7" s="11">
        <f t="shared" si="0"/>
        <v>3</v>
      </c>
      <c r="F7" s="11" t="s">
        <v>14</v>
      </c>
      <c r="G7" s="11">
        <f>3+5+2+1+4+1+1+6+8+1+1+4+1+4+3+2+3+2+5+1+3</f>
        <v>61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30.32</v>
      </c>
      <c r="D9" s="19"/>
      <c r="E9" s="14">
        <f>30.72+31.17+64.3+31.37+30.66+30.83+30.76+31.2+30.58+30.79+69.27+30.95+31.16+30.37+30.32</f>
        <v>534.45</v>
      </c>
      <c r="F9" s="14" t="s">
        <v>14</v>
      </c>
      <c r="G9" s="14">
        <f>0.273408+0.277413+0.5787+0.276056+0.269808+0.274387+0.26146+0.25272+0.250756+0.240162+0.595722+0.27855+0.283556+0.267256+0.251656</f>
        <v>4.63161</v>
      </c>
      <c r="H9" s="14">
        <v>5.6</v>
      </c>
      <c r="I9" s="14">
        <f>H9-G9</f>
        <v>0.96839</v>
      </c>
      <c r="J9" s="20" t="s">
        <v>22</v>
      </c>
      <c r="K9" s="21">
        <v>0.83</v>
      </c>
      <c r="L9" s="14">
        <f>C9*K9/100</f>
        <v>0.251656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3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2.7135</v>
      </c>
      <c r="D11" s="11">
        <v>0</v>
      </c>
      <c r="E11" s="11">
        <f>C11+D11</f>
        <v>2.7135</v>
      </c>
      <c r="F11" s="11" t="s">
        <v>14</v>
      </c>
      <c r="G11" s="11">
        <f>6.561+6.885+5.238+5.1975+6.561+2.322+1.863+2.7675+5.67+4.8195+6.1425+8.316+3.024+6.7635+5.1435+3.186+2.511+4.3605+8.2485+6.831+7.56+8.4915+11.1915+3.9555+2.7135</f>
        <v>136.323</v>
      </c>
      <c r="H11" s="11"/>
      <c r="I11" s="11">
        <f>G11/(G3*0.1865)</f>
        <v>2.70223446799443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6.532</v>
      </c>
      <c r="D12" s="11">
        <v>0</v>
      </c>
      <c r="E12" s="11">
        <f t="shared" ref="E12:E23" si="1">D12+C12</f>
        <v>6.532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</f>
        <v>298.08</v>
      </c>
      <c r="H12" s="11"/>
      <c r="I12" s="11">
        <f>G12/(G3*0.1865)</f>
        <v>5.90862913976203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48</v>
      </c>
      <c r="D13" s="12">
        <v>222</v>
      </c>
      <c r="E13" s="11">
        <f t="shared" si="1"/>
        <v>270</v>
      </c>
      <c r="F13" s="11" t="s">
        <v>26</v>
      </c>
      <c r="G13" s="11">
        <f>413+417+468+470+422+163+77+376+425+287+382+409+339+445+471+210+337+383+456+400+480+432+389+285+270</f>
        <v>9206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240.81</v>
      </c>
      <c r="D14" s="12">
        <v>323.8</v>
      </c>
      <c r="E14" s="11">
        <f t="shared" si="1"/>
        <v>564.61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</f>
        <v>19381.82</v>
      </c>
      <c r="H14" s="11"/>
      <c r="I14" s="11"/>
      <c r="J14" s="11">
        <f>(C14*K14+L14*D14)/1000</f>
        <v>1.8269283</v>
      </c>
      <c r="K14" s="11">
        <v>3.23</v>
      </c>
      <c r="L14" s="11">
        <v>3.24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</f>
        <v>58.8982101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0</v>
      </c>
      <c r="D16" s="12">
        <v>16</v>
      </c>
      <c r="E16" s="11">
        <f t="shared" si="1"/>
        <v>16</v>
      </c>
      <c r="F16" s="11" t="s">
        <v>14</v>
      </c>
      <c r="G16" s="11">
        <f>32+28+32+36+32+6+8+28+28+24+24+32+20+32+32+16+20+28+28+28+32+34+26+23+16</f>
        <v>645</v>
      </c>
      <c r="H16" s="11"/>
      <c r="I16" s="11">
        <f>G16/(G3*0.1865)</f>
        <v>12.7853790765785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</f>
        <v>26.24</v>
      </c>
      <c r="H18" s="28"/>
      <c r="I18" s="28">
        <f>G18/(G3*0.1865)</f>
        <v>0.520136972045611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</f>
        <v>22.85</v>
      </c>
      <c r="H19" s="28"/>
      <c r="I19" s="28">
        <f>G19/(G3*0.1865)</f>
        <v>0.452939398294292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5</v>
      </c>
      <c r="D20" s="29">
        <v>2</v>
      </c>
      <c r="E20" s="11">
        <f t="shared" si="1"/>
        <v>7</v>
      </c>
      <c r="F20" s="11" t="s">
        <v>35</v>
      </c>
      <c r="G20" s="11">
        <f>5+5+9+7+4+2+8+9+7+5+9+5+6+6+3+9+3+6+8+8+5+7+5+7</f>
        <v>148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2</v>
      </c>
      <c r="D21" s="29">
        <v>1</v>
      </c>
      <c r="E21" s="11">
        <f t="shared" si="1"/>
        <v>3</v>
      </c>
      <c r="F21" s="11" t="s">
        <v>35</v>
      </c>
      <c r="G21" s="11">
        <f>1+1+1+2+1+1+2+2+1+1+4+3</f>
        <v>20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595</v>
      </c>
      <c r="D22" s="29">
        <v>593</v>
      </c>
      <c r="E22" s="11">
        <f t="shared" si="1"/>
        <v>1188</v>
      </c>
      <c r="F22" s="11" t="s">
        <v>26</v>
      </c>
      <c r="G22" s="11">
        <f>1223+1182+1152+1139+321+289+1208+1196+796+1155+1080+1206+1156+1090+761+1119+1178+1268+1306+1280+1263+1281+488+1188</f>
        <v>25325</v>
      </c>
      <c r="H22" s="11">
        <v>24</v>
      </c>
      <c r="I22" s="28">
        <f>E22/H22</f>
        <v>49.5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651</v>
      </c>
      <c r="D23" s="29">
        <v>769</v>
      </c>
      <c r="E23" s="11">
        <f t="shared" si="1"/>
        <v>1420</v>
      </c>
      <c r="F23" s="11" t="s">
        <v>26</v>
      </c>
      <c r="G23" s="11">
        <f>1518+1509+1506+1518+362+251+1348+1505+1018+1419+1323+1490+1467+1415+788+1437+1496+1580+1650+1613+1577+1637+616+1420</f>
        <v>31463</v>
      </c>
      <c r="H23" s="28"/>
      <c r="I23" s="28">
        <f>E23/H22</f>
        <v>59.1666666666667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33.13</v>
      </c>
      <c r="D24" s="29">
        <v>26.7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153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154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155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0</v>
      </c>
      <c r="E32" s="11">
        <f t="shared" si="2"/>
        <v>0</v>
      </c>
      <c r="F32" s="11" t="s">
        <v>26</v>
      </c>
      <c r="G32" s="11">
        <f>15.93+12.34+15.8+13.36+10.55+6.69+3.42+6.59+8.39+6.12+13.9+12.93+12.59+6.71+12.15+12.81+13.23+13.15+6.98+6.68+14.47+14.54+21.7+20.61+10.3</f>
        <v>291.94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0</v>
      </c>
      <c r="E33" s="11">
        <f t="shared" si="2"/>
        <v>0</v>
      </c>
      <c r="F33" s="11" t="s">
        <v>26</v>
      </c>
      <c r="G33" s="11">
        <f>4+7+4+4+4+5+5+4+5+9+5+5+10+5+5+5+5+5+6+8+7+7+11+6+4</f>
        <v>145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</f>
        <v>2158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469</v>
      </c>
      <c r="D38" s="12">
        <v>485</v>
      </c>
      <c r="E38" s="11">
        <f t="shared" si="2"/>
        <v>954</v>
      </c>
      <c r="F38" s="11" t="s">
        <v>26</v>
      </c>
      <c r="G38" s="11">
        <f>990+994+979+1010+1020+1012+1005+942+999+980+965+947+915+945+947+950+764+927+930+936+932+934+940+942+898+954</f>
        <v>24757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750*0.68</f>
        <v>510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86.86*2.01</f>
        <v>174.5886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3</v>
      </c>
      <c r="D42" s="29">
        <v>0</v>
      </c>
      <c r="E42" s="11">
        <f>D42+C42</f>
        <v>3</v>
      </c>
      <c r="F42" s="11" t="s">
        <v>35</v>
      </c>
      <c r="G42" s="11">
        <f>1+1+1+1+2+2+2+2+2+4+3+3+2+1+2+3+2+3+2+3</f>
        <v>42</v>
      </c>
      <c r="H42" s="28"/>
      <c r="I42" s="11">
        <v>12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9" workbookViewId="0">
      <pane xSplit="2" topLeftCell="C1" activePane="topRight" state="frozen"/>
      <selection/>
      <selection pane="topRight" activeCell="C25" sqref="C25:L25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156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7.5</v>
      </c>
      <c r="D3" s="10">
        <v>6.5</v>
      </c>
      <c r="E3" s="11">
        <f t="shared" ref="E3:E8" si="0">C3+D3</f>
        <v>14</v>
      </c>
      <c r="F3" s="11" t="s">
        <v>14</v>
      </c>
      <c r="G3" s="11">
        <f>13+12+13.5+14.5+13.5+5+5.5+10.5+11+11.5+9.5+11+10.5+12.5+12.5+9+7+11.5+12+11.5+13.5+14+11.5+9.5+5+14</f>
        <v>284.5</v>
      </c>
      <c r="H3" s="11">
        <v>303</v>
      </c>
      <c r="I3" s="11">
        <f>H3-G3</f>
        <v>18.5</v>
      </c>
      <c r="J3" s="11"/>
      <c r="K3" s="11"/>
      <c r="L3" s="11"/>
      <c r="M3" s="12">
        <f>I3/4</f>
        <v>4.625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20+14+12+14+14+10+6+8+10+12+8+12+10+12+14+8+8+8+14+12+14+12+14+10+8+8</f>
        <v>292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58</v>
      </c>
      <c r="D5" s="12">
        <v>99</v>
      </c>
      <c r="E5" s="11">
        <f t="shared" si="0"/>
        <v>157</v>
      </c>
      <c r="F5" s="11" t="s">
        <v>14</v>
      </c>
      <c r="G5" s="11">
        <f>160+179+142+152+179+46+148+155+107+136+118+171+133+157+75+151+153+179+185+162+172+194+27+167+157</f>
        <v>3605</v>
      </c>
      <c r="H5" s="14">
        <v>4120</v>
      </c>
      <c r="I5" s="14">
        <f>H5-G5-G7-G6</f>
        <v>449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3</v>
      </c>
      <c r="D7" s="12">
        <v>2</v>
      </c>
      <c r="E7" s="11">
        <f t="shared" si="0"/>
        <v>5</v>
      </c>
      <c r="F7" s="11" t="s">
        <v>14</v>
      </c>
      <c r="G7" s="11">
        <f>3+5+2+1+4+1+1+6+8+1+1+4+1+4+3+2+3+2+5+1+3+5</f>
        <v>66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31.08</v>
      </c>
      <c r="D9" s="19"/>
      <c r="E9" s="14">
        <f>30.72+31.17+64.3+31.37+30.66+30.83+30.76+31.2+30.58+30.79+69.27+30.95+31.16+30.37+30.32+31.08</f>
        <v>565.53</v>
      </c>
      <c r="F9" s="14" t="s">
        <v>14</v>
      </c>
      <c r="G9" s="14">
        <f>0.273408+0.277413+0.5787+0.276056+0.269808+0.274387+0.26146+0.25272+0.250756+0.240162+0.595722+0.27855+0.283556+0.267256+0.251656+0.27972</f>
        <v>4.91133</v>
      </c>
      <c r="H9" s="14">
        <v>5.6</v>
      </c>
      <c r="I9" s="14">
        <f>H9-G9</f>
        <v>0.68867</v>
      </c>
      <c r="J9" s="20" t="s">
        <v>22</v>
      </c>
      <c r="K9" s="21">
        <v>0.9</v>
      </c>
      <c r="L9" s="14">
        <f>C9*K9/100</f>
        <v>0.27972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2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4.3605</v>
      </c>
      <c r="D11" s="11">
        <v>0</v>
      </c>
      <c r="E11" s="11">
        <f>C11+D11</f>
        <v>4.3605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</f>
        <v>140.6835</v>
      </c>
      <c r="H11" s="11"/>
      <c r="I11" s="11">
        <f>G11/(G3*0.1865)</f>
        <v>2.65144154883456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13.7816</v>
      </c>
      <c r="D12" s="11">
        <v>0</v>
      </c>
      <c r="E12" s="11">
        <f t="shared" ref="E12:E23" si="1">D12+C12</f>
        <v>13.7816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</f>
        <v>311.8616</v>
      </c>
      <c r="H12" s="11"/>
      <c r="I12" s="11">
        <f>G12/(G3*0.1865)</f>
        <v>5.87761040723342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215</v>
      </c>
      <c r="D13" s="12">
        <v>189</v>
      </c>
      <c r="E13" s="11">
        <f t="shared" si="1"/>
        <v>404</v>
      </c>
      <c r="F13" s="11" t="s">
        <v>26</v>
      </c>
      <c r="G13" s="11">
        <f>413+417+468+470+422+163+77+376+425+287+382+409+339+445+471+210+337+383+456+400+480+432+389+285+270+404</f>
        <v>9610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527.28</v>
      </c>
      <c r="D14" s="12">
        <v>364.78</v>
      </c>
      <c r="E14" s="11">
        <f t="shared" si="1"/>
        <v>892.06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</f>
        <v>20273.88</v>
      </c>
      <c r="H14" s="11"/>
      <c r="I14" s="11"/>
      <c r="J14" s="11">
        <f>(C14*K14+L14*D14)/1000</f>
        <v>2.919787</v>
      </c>
      <c r="K14" s="11">
        <v>3.04</v>
      </c>
      <c r="L14" s="11">
        <v>3.61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</f>
        <v>61.8179971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15</v>
      </c>
      <c r="E16" s="11">
        <f t="shared" si="1"/>
        <v>30</v>
      </c>
      <c r="F16" s="11" t="s">
        <v>14</v>
      </c>
      <c r="G16" s="11">
        <f>32+28+32+36+32+6+8+28+28+24+24+32+20+32+32+16+20+28+28+28+32+34+26+23+16+30</f>
        <v>675</v>
      </c>
      <c r="H16" s="11"/>
      <c r="I16" s="11">
        <f>G16/(G3*0.1865)</f>
        <v>12.7216272374751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2+2+2+2+0.24+2+2+2+2+2+2+2+2+2+2</f>
        <v>28.24</v>
      </c>
      <c r="H18" s="28"/>
      <c r="I18" s="28">
        <f>G18/(G3*0.1865)</f>
        <v>0.532235189905624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1.8+1.8+1.8+1.8+1.8+1.8+1.8+1.8+1.8+1.8+1.85+1.5+1.5+1.5</f>
        <v>24.35</v>
      </c>
      <c r="H19" s="28"/>
      <c r="I19" s="28">
        <f>G19/(G3*0.1865)</f>
        <v>0.458920923307435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4</v>
      </c>
      <c r="D20" s="29">
        <v>5</v>
      </c>
      <c r="E20" s="11">
        <f t="shared" si="1"/>
        <v>9</v>
      </c>
      <c r="F20" s="11" t="s">
        <v>35</v>
      </c>
      <c r="G20" s="11">
        <f>5+5+9+7+4+2+8+9+7+5+9+5+6+6+3+9+3+6+8+8+5+7+5+7+9</f>
        <v>157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0</v>
      </c>
      <c r="D21" s="29">
        <v>2</v>
      </c>
      <c r="E21" s="11">
        <f t="shared" si="1"/>
        <v>2</v>
      </c>
      <c r="F21" s="11" t="s">
        <v>35</v>
      </c>
      <c r="G21" s="11">
        <f>1+1+1+2+1+1+2+2+1+1+4+3+2</f>
        <v>22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571</v>
      </c>
      <c r="D22" s="29">
        <v>575</v>
      </c>
      <c r="E22" s="11">
        <f t="shared" si="1"/>
        <v>1146</v>
      </c>
      <c r="F22" s="11" t="s">
        <v>26</v>
      </c>
      <c r="G22" s="11">
        <f>1223+1182+1152+1139+321+289+1208+1196+796+1155+1080+1206+1156+1090+761+1119+1178+1268+1306+1280+1263+1281+488+1188+1146</f>
        <v>26471</v>
      </c>
      <c r="H22" s="11">
        <v>24</v>
      </c>
      <c r="I22" s="28">
        <f>E22/H22</f>
        <v>47.75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734</v>
      </c>
      <c r="D23" s="29">
        <v>713</v>
      </c>
      <c r="E23" s="11">
        <f t="shared" si="1"/>
        <v>1447</v>
      </c>
      <c r="F23" s="11" t="s">
        <v>26</v>
      </c>
      <c r="G23" s="11">
        <f>1518+1509+1506+1518+362+251+1348+1505+1018+1419+1323+1490+1467+1415+788+1437+1496+1580+1650+1613+1577+1637+616+1420+1447</f>
        <v>32910</v>
      </c>
      <c r="H23" s="28"/>
      <c r="I23" s="28">
        <f>E23/H22</f>
        <v>60.2916666666667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25.4</v>
      </c>
      <c r="D24" s="29">
        <v>26.05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153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157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158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0</v>
      </c>
      <c r="E32" s="11">
        <f t="shared" si="2"/>
        <v>0</v>
      </c>
      <c r="F32" s="11" t="s">
        <v>26</v>
      </c>
      <c r="G32" s="11">
        <f>15.93+12.34+15.8+13.36+10.55+6.69+3.42+6.59+8.39+6.12+13.9+12.93+12.59+6.71+12.15+12.81+13.23+13.15+6.98+6.68+14.47+14.54+21.7+20.61+10.3</f>
        <v>291.94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0</v>
      </c>
      <c r="E33" s="11">
        <f t="shared" si="2"/>
        <v>0</v>
      </c>
      <c r="F33" s="11" t="s">
        <v>26</v>
      </c>
      <c r="G33" s="11">
        <f>4+7+4+4+4+5+5+4+5+9+5+5+10+5+5+5+5+5+6+8+7+7+11+6+4</f>
        <v>145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</f>
        <v>2158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490</v>
      </c>
      <c r="D38" s="12">
        <v>503</v>
      </c>
      <c r="E38" s="11">
        <f t="shared" si="2"/>
        <v>993</v>
      </c>
      <c r="F38" s="11" t="s">
        <v>26</v>
      </c>
      <c r="G38" s="11">
        <f>990+994+979+1010+1020+1012+1005+942+999+980+965+947+915+945+947+950+764+927+930+936+932+934+940+942+898+954+993</f>
        <v>25750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750*0.47</f>
        <v>352.5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86.86*1.99</f>
        <v>172.8514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1+1+1+1+2+2+2+2+2+4+3+3+2+1+2+3+2+3+2+3</f>
        <v>42</v>
      </c>
      <c r="H42" s="28"/>
      <c r="I42" s="11">
        <v>12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workbookViewId="0">
      <pane xSplit="2" topLeftCell="C1" activePane="topRight" state="frozen"/>
      <selection/>
      <selection pane="topRight" activeCell="C26" sqref="C26:L26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159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3.5</v>
      </c>
      <c r="D3" s="10">
        <v>7.5</v>
      </c>
      <c r="E3" s="11">
        <f t="shared" ref="E3:E8" si="0">C3+D3</f>
        <v>11</v>
      </c>
      <c r="F3" s="11" t="s">
        <v>14</v>
      </c>
      <c r="G3" s="11">
        <f>13+12+13.5+14.5+13.5+5+5.5+10.5+11+11.5+9.5+11+10.5+12.5+12.5+9+7+11.5+12+11.5+13.5+14+11.5+9.5+5+14+11</f>
        <v>295.5</v>
      </c>
      <c r="H3" s="11">
        <v>303</v>
      </c>
      <c r="I3" s="11">
        <f>H3-G3</f>
        <v>7.5</v>
      </c>
      <c r="J3" s="11"/>
      <c r="K3" s="11"/>
      <c r="L3" s="11"/>
      <c r="M3" s="12">
        <f>I3/3</f>
        <v>2.5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20+14+12+14+14+10+6+8+10+12+8+12+10+12+14+8+8+8+14+12+14+12+14+10+8+8+12</f>
        <v>304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54</v>
      </c>
      <c r="D5" s="12">
        <v>99</v>
      </c>
      <c r="E5" s="11">
        <f t="shared" si="0"/>
        <v>153</v>
      </c>
      <c r="F5" s="11" t="s">
        <v>14</v>
      </c>
      <c r="G5" s="11">
        <f>160+179+142+152+179+46+148+155+107+136+118+171+133+157+75+151+153+179+185+162+172+194+27+167+157+153</f>
        <v>3758</v>
      </c>
      <c r="H5" s="14">
        <v>4120</v>
      </c>
      <c r="I5" s="14">
        <f>H5-G5-G7-G6</f>
        <v>293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2</v>
      </c>
      <c r="D7" s="12">
        <v>1</v>
      </c>
      <c r="E7" s="11">
        <f t="shared" si="0"/>
        <v>3</v>
      </c>
      <c r="F7" s="11" t="s">
        <v>14</v>
      </c>
      <c r="G7" s="11">
        <f>3+5+2+1+4+1+1+6+8+1+1+4+1+4+3+2+3+2+5+1+3+5+3</f>
        <v>69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</f>
        <v>3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31.72</v>
      </c>
      <c r="D9" s="19"/>
      <c r="E9" s="14">
        <f>30.72+31.17+64.3+31.37+30.66+30.83+30.76+31.2+30.58+30.79+69.27+30.95+31.16+30.37+30.32+31.08+31.72</f>
        <v>597.25</v>
      </c>
      <c r="F9" s="14" t="s">
        <v>14</v>
      </c>
      <c r="G9" s="14">
        <f>0.273408+0.277413+0.5787+0.276056+0.269808+0.274387+0.26146+0.25272+0.250756+0.240162+0.595722+0.27855+0.283556+0.267256+0.251656+0.27972+0.279136</f>
        <v>5.190466</v>
      </c>
      <c r="H9" s="14">
        <v>5.6</v>
      </c>
      <c r="I9" s="14">
        <f>H9-G9</f>
        <v>0.409534</v>
      </c>
      <c r="J9" s="20" t="s">
        <v>22</v>
      </c>
      <c r="K9" s="21">
        <v>0.88</v>
      </c>
      <c r="L9" s="14">
        <f>C9*K9/100</f>
        <v>0.279136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1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7.0335</v>
      </c>
      <c r="D11" s="11">
        <v>1.431</v>
      </c>
      <c r="E11" s="11">
        <f>C11+D11</f>
        <v>8.4645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</f>
        <v>149.148</v>
      </c>
      <c r="H11" s="11"/>
      <c r="I11" s="11">
        <f>G11/(G3*0.1865)</f>
        <v>2.70633224915284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11.4448</v>
      </c>
      <c r="D12" s="11">
        <v>0</v>
      </c>
      <c r="E12" s="11">
        <f t="shared" ref="E12:E23" si="1">D12+C12</f>
        <v>11.4448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</f>
        <v>323.3064</v>
      </c>
      <c r="H12" s="11"/>
      <c r="I12" s="11">
        <f>G12/(G3*0.1865)</f>
        <v>5.86648521386481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238</v>
      </c>
      <c r="D13" s="12">
        <v>181</v>
      </c>
      <c r="E13" s="11">
        <f t="shared" si="1"/>
        <v>419</v>
      </c>
      <c r="F13" s="11" t="s">
        <v>26</v>
      </c>
      <c r="G13" s="11">
        <f>413+417+468+470+422+163+77+376+425+287+382+409+339+445+471+210+337+383+456+400+480+432+389+285+270+404+419</f>
        <v>10029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407.03</v>
      </c>
      <c r="D14" s="12">
        <v>370.1</v>
      </c>
      <c r="E14" s="11">
        <f t="shared" si="1"/>
        <v>777.13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</f>
        <v>21051.01</v>
      </c>
      <c r="H14" s="11"/>
      <c r="I14" s="11"/>
      <c r="J14" s="11">
        <f>(C14*K14+L14*D14)/1000</f>
        <v>2.7262571</v>
      </c>
      <c r="K14" s="11">
        <v>3.37</v>
      </c>
      <c r="L14" s="11">
        <v>3.66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</f>
        <v>64.5442542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13</v>
      </c>
      <c r="E16" s="11">
        <f t="shared" si="1"/>
        <v>28</v>
      </c>
      <c r="F16" s="11" t="s">
        <v>14</v>
      </c>
      <c r="G16" s="11">
        <f>32+28+32+36+32+6+8+28+28+24+24+32+20+32+32+16+20+28+28+28+32+34+26+23+16+30+28</f>
        <v>703</v>
      </c>
      <c r="H16" s="11"/>
      <c r="I16" s="11">
        <f>G16/(G3*0.1865)</f>
        <v>12.7561319706228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2+2+2+2+0.24+2+2+2+2+2+2+2+2+2+2</f>
        <v>28.24</v>
      </c>
      <c r="H18" s="28"/>
      <c r="I18" s="28">
        <f>G18/(G3*0.1865)</f>
        <v>0.512422712447209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1.8+1.8+1.8+1.8+1.8+1.8+1.8+1.8+1.8+1.8+1.85+1.5+1.5+1.5</f>
        <v>24.35</v>
      </c>
      <c r="H19" s="28"/>
      <c r="I19" s="28">
        <f>G19/(G3*0.1865)</f>
        <v>0.441837572524417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4</v>
      </c>
      <c r="E20" s="11">
        <f t="shared" si="1"/>
        <v>7</v>
      </c>
      <c r="F20" s="11" t="s">
        <v>35</v>
      </c>
      <c r="G20" s="11">
        <f>5+5+9+7+4+2+8+9+7+5+9+5+6+6+3+9+3+6+8+8+5+7+5+7+9+7</f>
        <v>164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3</v>
      </c>
      <c r="D21" s="29">
        <v>4</v>
      </c>
      <c r="E21" s="11">
        <f t="shared" si="1"/>
        <v>7</v>
      </c>
      <c r="F21" s="11" t="s">
        <v>35</v>
      </c>
      <c r="G21" s="11">
        <f>1+1+1+2+1+1+2+2+1+1+4+3+2+7</f>
        <v>29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595</v>
      </c>
      <c r="D22" s="29">
        <v>543</v>
      </c>
      <c r="E22" s="11">
        <f t="shared" si="1"/>
        <v>1138</v>
      </c>
      <c r="F22" s="11" t="s">
        <v>26</v>
      </c>
      <c r="G22" s="11">
        <f>1223+1182+1152+1139+321+289+1208+1196+796+1155+1080+1206+1156+1090+761+1119+1178+1268+1306+1280+1263+1281+488+1188+1146+1138</f>
        <v>27609</v>
      </c>
      <c r="H22" s="11">
        <v>24</v>
      </c>
      <c r="I22" s="28">
        <f>E22/H22</f>
        <v>47.4166666666667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786</v>
      </c>
      <c r="D23" s="29">
        <v>716</v>
      </c>
      <c r="E23" s="11">
        <f t="shared" si="1"/>
        <v>1502</v>
      </c>
      <c r="F23" s="11" t="s">
        <v>26</v>
      </c>
      <c r="G23" s="11">
        <f>1518+1509+1506+1518+362+251+1348+1505+1018+1419+1323+1490+1467+1415+788+1437+1496+1580+1650+1613+1577+1637+616+1420+1447+1502</f>
        <v>34412</v>
      </c>
      <c r="H23" s="28"/>
      <c r="I23" s="28">
        <f>E23/H22</f>
        <v>62.5833333333333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24.4</v>
      </c>
      <c r="D24" s="29">
        <v>22.6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160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161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162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163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</f>
        <v>85.31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0</v>
      </c>
      <c r="E32" s="11">
        <f t="shared" si="2"/>
        <v>0</v>
      </c>
      <c r="F32" s="11" t="s">
        <v>26</v>
      </c>
      <c r="G32" s="11">
        <f>15.93+12.34+15.8+13.36+10.55+6.69+3.42+6.59+8.39+6.12+13.9+12.93+12.59+6.71+12.15+12.81+13.23+13.15+6.98+6.68+14.47+14.54+21.7+20.61+10.3</f>
        <v>291.94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0</v>
      </c>
      <c r="E33" s="11">
        <f t="shared" si="2"/>
        <v>0</v>
      </c>
      <c r="F33" s="11" t="s">
        <v>26</v>
      </c>
      <c r="G33" s="11">
        <f>4+7+4+4+4+5+5+4+5+9+5+5+10+5+5+5+5+5+6+8+7+7+11+6+4</f>
        <v>145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2</v>
      </c>
      <c r="D37" s="12">
        <v>0</v>
      </c>
      <c r="E37" s="11">
        <f t="shared" si="2"/>
        <v>2</v>
      </c>
      <c r="F37" s="11" t="s">
        <v>26</v>
      </c>
      <c r="G37" s="11">
        <f>89+159+208+194+187+193+198+173+188+75+149+107+89+15+16+84+8+8+3+15+2</f>
        <v>2160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497</v>
      </c>
      <c r="D38" s="12">
        <v>500</v>
      </c>
      <c r="E38" s="11">
        <f t="shared" si="2"/>
        <v>997</v>
      </c>
      <c r="F38" s="11" t="s">
        <v>26</v>
      </c>
      <c r="G38" s="11">
        <f>990+994+979+1010+1020+1012+1005+942+999+980+965+947+915+945+947+950+764+927+930+936+932+934+940+942+898+954+993+997</f>
        <v>26747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750*0.26</f>
        <v>195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86.86*2.04</f>
        <v>177.1944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1+1+1+1+2+2+2+2+2+4+3+3+2+1+2+3+2+3+2+3</f>
        <v>42</v>
      </c>
      <c r="H42" s="28"/>
      <c r="I42" s="11">
        <v>12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6" workbookViewId="0">
      <pane xSplit="2" topLeftCell="C1" activePane="topRight" state="frozen"/>
      <selection/>
      <selection pane="topRight"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164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8</v>
      </c>
      <c r="D3" s="10">
        <v>7.5</v>
      </c>
      <c r="E3" s="11">
        <f t="shared" ref="E3:E8" si="0">C3+D3</f>
        <v>15.5</v>
      </c>
      <c r="F3" s="11" t="s">
        <v>14</v>
      </c>
      <c r="G3" s="11">
        <f>13+12+13.5+14.5+13.5+5+5.5+10.5+11+11.5+9.5+11+10.5+12.5+12.5+9+7+11.5+12+11.5+13.5+14+11.5+9.5+5+14+11+15.5</f>
        <v>311</v>
      </c>
      <c r="H3" s="11">
        <v>303</v>
      </c>
      <c r="I3" s="11">
        <f>H3-G3</f>
        <v>-8</v>
      </c>
      <c r="J3" s="11"/>
      <c r="K3" s="11"/>
      <c r="L3" s="11"/>
      <c r="M3" s="12">
        <f>I3/2</f>
        <v>-4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20+14+12+14+14+10+6+8+10+12+8+12+10+12+14+8+8+8+14+12+14+12+14+10+8+8+12+14</f>
        <v>318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94</v>
      </c>
      <c r="D5" s="12">
        <v>87</v>
      </c>
      <c r="E5" s="11">
        <f t="shared" si="0"/>
        <v>181</v>
      </c>
      <c r="F5" s="11" t="s">
        <v>14</v>
      </c>
      <c r="G5" s="11">
        <f>160+179+142+152+179+46+148+155+107+136+118+171+133+157+75+151+153+179+185+162+172+194+27+167+157+153+181</f>
        <v>3939</v>
      </c>
      <c r="H5" s="14">
        <v>4120</v>
      </c>
      <c r="I5" s="14">
        <f>H5-G5-G7-G6</f>
        <v>112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3+5+2+1+4+1+1+6+8+1+1+4+1+4+3+2+3+2+5+1+3+5+3</f>
        <v>69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1</v>
      </c>
      <c r="E8" s="11">
        <f t="shared" si="0"/>
        <v>1</v>
      </c>
      <c r="F8" s="11" t="s">
        <v>14</v>
      </c>
      <c r="G8" s="11">
        <f>1+1+1+1</f>
        <v>4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31.63</v>
      </c>
      <c r="D9" s="19"/>
      <c r="E9" s="14">
        <f>30.72+31.17+64.3+31.37+30.66+30.83+30.76+31.2+30.58+30.79+69.27+30.95+31.16+30.37+30.32+31.08+31.72+31.63</f>
        <v>628.88</v>
      </c>
      <c r="F9" s="14" t="s">
        <v>14</v>
      </c>
      <c r="G9" s="14">
        <f>0.273408+0.277413+0.5787+0.276056+0.269808+0.274387+0.26146+0.25272+0.250756+0.240162+0.595722+0.27855+0.283556+0.267256+0.251656+0.27972+0.279136+0.268855</f>
        <v>5.459321</v>
      </c>
      <c r="H9" s="14">
        <v>5.6</v>
      </c>
      <c r="I9" s="14">
        <f>H9-G9</f>
        <v>0.140679</v>
      </c>
      <c r="J9" s="20" t="s">
        <v>22</v>
      </c>
      <c r="K9" s="21">
        <v>0.85</v>
      </c>
      <c r="L9" s="14">
        <f>C9*K9/100</f>
        <v>0.268855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5.4405</v>
      </c>
      <c r="D11" s="11">
        <v>0</v>
      </c>
      <c r="E11" s="11">
        <f>C11+D11</f>
        <v>5.4405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</f>
        <v>154.5885</v>
      </c>
      <c r="H11" s="11"/>
      <c r="I11" s="11">
        <f>G11/(G3*0.1865)</f>
        <v>2.66525003663698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11.316</v>
      </c>
      <c r="D12" s="11">
        <v>0</v>
      </c>
      <c r="E12" s="11">
        <f t="shared" ref="E12:E23" si="1">D12+C12</f>
        <v>11.316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</f>
        <v>334.6224</v>
      </c>
      <c r="H12" s="11"/>
      <c r="I12" s="11">
        <f>G12/(G3*0.1865)</f>
        <v>5.76920252062447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214</v>
      </c>
      <c r="D13" s="12">
        <v>207</v>
      </c>
      <c r="E13" s="11">
        <f t="shared" si="1"/>
        <v>421</v>
      </c>
      <c r="F13" s="11" t="s">
        <v>26</v>
      </c>
      <c r="G13" s="11">
        <f>413+417+468+470+422+163+77+376+425+287+382+409+339+445+471+210+337+383+456+400+480+432+389+285+270+404+419+421</f>
        <v>10450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414.81</v>
      </c>
      <c r="D14" s="12">
        <v>488.17</v>
      </c>
      <c r="E14" s="11">
        <f t="shared" si="1"/>
        <v>902.98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</f>
        <v>21953.99</v>
      </c>
      <c r="H14" s="11"/>
      <c r="I14" s="11"/>
      <c r="J14" s="11">
        <f>(C14*K14+L14*D14)/1000</f>
        <v>2.9549454</v>
      </c>
      <c r="K14" s="11">
        <v>3.24</v>
      </c>
      <c r="L14" s="11">
        <v>3.3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</f>
        <v>67.4991996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18</v>
      </c>
      <c r="E16" s="11">
        <f t="shared" si="1"/>
        <v>33</v>
      </c>
      <c r="F16" s="11" t="s">
        <v>14</v>
      </c>
      <c r="G16" s="11">
        <f>32+28+32+36+32+6+8+28+28+24+24+32+20+32+32+16+20+28+28+28+32+34+26+23+16+30+28+33</f>
        <v>736</v>
      </c>
      <c r="H16" s="11"/>
      <c r="I16" s="11">
        <f>G16/(G3*0.1865)</f>
        <v>12.6893270001638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2+2+2+2+0.24+2+2+2+2+2+2+2+2+2+2+2</f>
        <v>30.24</v>
      </c>
      <c r="H18" s="28"/>
      <c r="I18" s="28">
        <f>G18/(G3*0.1865)</f>
        <v>0.52136582674586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1.8+1.8+1.8+1.8+1.8+1.8+1.8+1.8+1.8+1.8+1.85+1.5+1.5+1.5+1.5</f>
        <v>25.85</v>
      </c>
      <c r="H19" s="28"/>
      <c r="I19" s="28">
        <f>G19/(G3*0.1865)</f>
        <v>0.445678129013905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3</v>
      </c>
      <c r="E20" s="11">
        <f t="shared" si="1"/>
        <v>5</v>
      </c>
      <c r="F20" s="11" t="s">
        <v>35</v>
      </c>
      <c r="G20" s="11">
        <f>5+5+9+7+4+2+8+9+7+5+9+5+6+6+3+9+3+6+8+8+5+7+5+7+9+7+5</f>
        <v>169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4</v>
      </c>
      <c r="D21" s="29">
        <v>4</v>
      </c>
      <c r="E21" s="11">
        <f t="shared" si="1"/>
        <v>8</v>
      </c>
      <c r="F21" s="11" t="s">
        <v>35</v>
      </c>
      <c r="G21" s="11">
        <f>1+1+1+2+1+1+2+2+1+1+4+3+2+7+8</f>
        <v>37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555</v>
      </c>
      <c r="D22" s="29">
        <v>553</v>
      </c>
      <c r="E22" s="11">
        <f t="shared" si="1"/>
        <v>1108</v>
      </c>
      <c r="F22" s="11" t="s">
        <v>26</v>
      </c>
      <c r="G22" s="11">
        <f>1223+1182+1152+1139+321+289+1208+1196+796+1155+1080+1206+1156+1090+761+1119+1178+1268+1306+1280+1263+1281+488+1188+1146+1138+1108</f>
        <v>28717</v>
      </c>
      <c r="H22" s="11">
        <v>24</v>
      </c>
      <c r="I22" s="28">
        <f>E22/H22</f>
        <v>46.1666666666667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710</v>
      </c>
      <c r="D23" s="29">
        <v>724</v>
      </c>
      <c r="E23" s="11">
        <f t="shared" si="1"/>
        <v>1434</v>
      </c>
      <c r="F23" s="11" t="s">
        <v>26</v>
      </c>
      <c r="G23" s="11">
        <f>1518+1509+1506+1518+362+251+1348+1505+1018+1419+1323+1490+1467+1415+788+1437+1496+1580+1650+1613+1577+1637+616+1420+1447+1502+1434</f>
        <v>35846</v>
      </c>
      <c r="H23" s="28"/>
      <c r="I23" s="28">
        <f>E23/H22</f>
        <v>59.75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24</v>
      </c>
      <c r="D24" s="29">
        <v>22.6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165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166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167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20.45</v>
      </c>
      <c r="E31" s="11">
        <f t="shared" ref="E31:E39" si="2">D31+C31</f>
        <v>20.45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0</v>
      </c>
      <c r="D32" s="12">
        <v>6.37</v>
      </c>
      <c r="E32" s="11">
        <f t="shared" si="2"/>
        <v>6.37</v>
      </c>
      <c r="F32" s="11" t="s">
        <v>26</v>
      </c>
      <c r="G32" s="11">
        <f>15.93+12.34+15.8+13.36+10.55+6.69+3.42+6.59+8.39+6.12+13.9+12.93+12.59+6.71+12.15+12.81+13.23+13.15+6.98+6.68+14.47+14.54+21.7+20.61+10.3+6.37</f>
        <v>298.31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0</v>
      </c>
      <c r="D33" s="12">
        <v>3</v>
      </c>
      <c r="E33" s="11">
        <f t="shared" si="2"/>
        <v>3</v>
      </c>
      <c r="F33" s="11" t="s">
        <v>26</v>
      </c>
      <c r="G33" s="11">
        <f>4+7+4+4+4+5+5+4+5+9+5+5+10+5+5+5+5+5+6+8+7+7+11+6+4+3</f>
        <v>148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89+159+208+194+187+193+198+173+188+75+149+107+89+15+16+84+8+8+3+15+2</f>
        <v>2160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496</v>
      </c>
      <c r="D38" s="12">
        <v>356</v>
      </c>
      <c r="E38" s="11">
        <f t="shared" si="2"/>
        <v>852</v>
      </c>
      <c r="F38" s="11" t="s">
        <v>26</v>
      </c>
      <c r="G38" s="11">
        <f>990+994+979+1010+1020+1012+1005+942+999+980+965+947+915+945+947+950+764+927+930+936+932+934+940+942+898+954+993+997+852</f>
        <v>27599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86.86*0.88</f>
        <v>76.4368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0</v>
      </c>
      <c r="E42" s="11">
        <f>D42+C42</f>
        <v>0</v>
      </c>
      <c r="F42" s="11" t="s">
        <v>35</v>
      </c>
      <c r="G42" s="11">
        <f>1+1+1+1+2+2+2+2+2+4+3+3+2+1+2+3+2+3+2+3</f>
        <v>42</v>
      </c>
      <c r="H42" s="28"/>
      <c r="I42" s="11">
        <v>12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workbookViewId="0">
      <pane xSplit="2" topLeftCell="C1" activePane="topRight" state="frozen"/>
      <selection/>
      <selection pane="topRight" activeCell="M3" sqref="M3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168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6</v>
      </c>
      <c r="D3" s="10">
        <v>5</v>
      </c>
      <c r="E3" s="11">
        <f t="shared" ref="E3:E8" si="0">C3+D3</f>
        <v>11</v>
      </c>
      <c r="F3" s="11" t="s">
        <v>14</v>
      </c>
      <c r="G3" s="11">
        <f>13+12+13.5+14.5+13.5+5+5.5+10.5+11+11.5+9.5+11+10.5+12.5+12.5+9+7+11.5+12+11.5+13.5+14+11.5+9.5+5+14+11+15.5+11</f>
        <v>322</v>
      </c>
      <c r="H3" s="11">
        <v>303</v>
      </c>
      <c r="I3" s="11">
        <f>H3-G3</f>
        <v>-19</v>
      </c>
      <c r="J3" s="11"/>
      <c r="K3" s="11"/>
      <c r="L3" s="11"/>
      <c r="M3" s="12">
        <f>I3/1</f>
        <v>-19</v>
      </c>
    </row>
    <row r="4" s="1" customFormat="1" ht="56" customHeight="1" spans="1:13">
      <c r="A4" s="13">
        <v>2</v>
      </c>
      <c r="B4" s="9" t="s">
        <v>15</v>
      </c>
      <c r="C4" s="12">
        <v>14</v>
      </c>
      <c r="D4" s="12"/>
      <c r="E4" s="11">
        <f t="shared" si="0"/>
        <v>14</v>
      </c>
      <c r="F4" s="11" t="s">
        <v>14</v>
      </c>
      <c r="G4" s="11">
        <f>20+14+12+14+14+10+6+8+10+12+8+12+10+12+14+8+8+8+14+12+14+12+14+10+8+8+12+14+14</f>
        <v>332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19</v>
      </c>
      <c r="D5" s="12">
        <v>60</v>
      </c>
      <c r="E5" s="11">
        <f t="shared" si="0"/>
        <v>79</v>
      </c>
      <c r="F5" s="11" t="s">
        <v>14</v>
      </c>
      <c r="G5" s="11">
        <f>160+179+142+152+179+46+148+155+107+136+118+171+133+157+75+151+153+179+185+162+172+194+27+167+157+153+181+79</f>
        <v>4018</v>
      </c>
      <c r="H5" s="14">
        <v>4120</v>
      </c>
      <c r="I5" s="14">
        <f>H5-G5-G7-G6</f>
        <v>33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3+5+2+1+4+1+1+6+8+1+1+4+1+4+3+2+3+2+5+1+3+5+3</f>
        <v>69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6</v>
      </c>
      <c r="E8" s="11">
        <f t="shared" si="0"/>
        <v>6</v>
      </c>
      <c r="F8" s="11" t="s">
        <v>14</v>
      </c>
      <c r="G8" s="11">
        <f>1+1+1+1+6</f>
        <v>10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31.51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0.86</v>
      </c>
      <c r="L9" s="14">
        <f>C9*K9/100</f>
        <v>0.270986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7.5195</v>
      </c>
      <c r="D11" s="11">
        <v>4.2255</v>
      </c>
      <c r="E11" s="11">
        <f>C11+D11</f>
        <v>11.745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</f>
        <v>166.3335</v>
      </c>
      <c r="H11" s="11"/>
      <c r="I11" s="11">
        <f>G11/(G3*0.1865)</f>
        <v>2.76977836244651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13.7816</v>
      </c>
      <c r="D12" s="11">
        <v>0</v>
      </c>
      <c r="E12" s="11">
        <f t="shared" ref="E12:E23" si="1">D12+C12</f>
        <v>13.7816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</f>
        <v>348.404</v>
      </c>
      <c r="H12" s="11"/>
      <c r="I12" s="11">
        <f>G12/(G3*0.1865)</f>
        <v>5.80160857908847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188</v>
      </c>
      <c r="D13" s="12">
        <v>127</v>
      </c>
      <c r="E13" s="11">
        <f t="shared" si="1"/>
        <v>315</v>
      </c>
      <c r="F13" s="11" t="s">
        <v>26</v>
      </c>
      <c r="G13" s="11">
        <f>413+417+468+470+422+163+77+376+425+287+382+409+339+445+471+210+337+383+456+400+480+432+389+285+270+404+419+421+315</f>
        <v>10765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529.56</v>
      </c>
      <c r="D14" s="12">
        <v>479.75</v>
      </c>
      <c r="E14" s="11">
        <f t="shared" si="1"/>
        <v>1009.31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</f>
        <v>22963.3</v>
      </c>
      <c r="H14" s="11"/>
      <c r="I14" s="11"/>
      <c r="J14" s="11">
        <f>(C14*K14+L14*D14)/1000</f>
        <v>2.9855652</v>
      </c>
      <c r="K14" s="11">
        <v>2.92</v>
      </c>
      <c r="L14" s="11">
        <v>3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</f>
        <v>70.4847648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13</v>
      </c>
      <c r="E16" s="11">
        <f t="shared" si="1"/>
        <v>28</v>
      </c>
      <c r="F16" s="11" t="s">
        <v>14</v>
      </c>
      <c r="G16" s="11">
        <f>32+28+32+36+32+6+8+28+28+24+24+32+20+32+32+16+20+28+28+28+32+34+26+23+16+30+28+33+28</f>
        <v>764</v>
      </c>
      <c r="H16" s="11"/>
      <c r="I16" s="11">
        <f>G16/(G3*0.1865)</f>
        <v>12.7220954823239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2+2+2+2+0.24+2+2+2+2+2+2+2+2+2+2+2</f>
        <v>30.24</v>
      </c>
      <c r="H18" s="28"/>
      <c r="I18" s="28">
        <f>G18/(G3*0.1865)</f>
        <v>0.503555192912927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1.8+1.8+1.8+1.8+1.8+1.8+1.8+1.8+1.8+1.8+1.85+1.5+1.5+1.5+1.5</f>
        <v>25.85</v>
      </c>
      <c r="H19" s="28"/>
      <c r="I19" s="28">
        <f>G19/(G3*0.1865)</f>
        <v>0.430453099761877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5</v>
      </c>
      <c r="D20" s="29">
        <v>1</v>
      </c>
      <c r="E20" s="11">
        <f t="shared" si="1"/>
        <v>6</v>
      </c>
      <c r="F20" s="11" t="s">
        <v>35</v>
      </c>
      <c r="G20" s="11">
        <f>5+5+9+7+4+2+8+9+7+5+9+5+6+6+3+9+3+6+8+8+5+7+5+7+9+7+5+6</f>
        <v>175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>
        <v>2</v>
      </c>
      <c r="D21" s="29">
        <v>1</v>
      </c>
      <c r="E21" s="11">
        <f t="shared" si="1"/>
        <v>3</v>
      </c>
      <c r="F21" s="11" t="s">
        <v>35</v>
      </c>
      <c r="G21" s="11">
        <f>1+1+1+2+1+1+2+2+1+1+4+3+2+7+8+3</f>
        <v>40</v>
      </c>
      <c r="H21" s="28"/>
      <c r="I21" s="28"/>
      <c r="J21" s="28"/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153</v>
      </c>
      <c r="D22" s="29">
        <v>608</v>
      </c>
      <c r="E22" s="11">
        <f t="shared" si="1"/>
        <v>761</v>
      </c>
      <c r="F22" s="11" t="s">
        <v>26</v>
      </c>
      <c r="G22" s="11">
        <f>1223+1182+1152+1139+321+289+1208+1196+796+1155+1080+1206+1156+1090+761+1119+1178+1268+1306+1280+1263+1281+488+1188+1146+1138+1108+761</f>
        <v>29478</v>
      </c>
      <c r="H22" s="11">
        <v>13.5</v>
      </c>
      <c r="I22" s="28">
        <f>E22/H22</f>
        <v>56.3703703703704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233</v>
      </c>
      <c r="D23" s="29">
        <v>583</v>
      </c>
      <c r="E23" s="11">
        <f t="shared" si="1"/>
        <v>816</v>
      </c>
      <c r="F23" s="11" t="s">
        <v>26</v>
      </c>
      <c r="G23" s="11">
        <f>1518+1509+1506+1518+362+251+1348+1505+1018+1419+1323+1490+1467+1415+788+1437+1496+1580+1650+1613+1577+1637+616+1420+1447+1502+1434+816</f>
        <v>36662</v>
      </c>
      <c r="H23" s="28"/>
      <c r="I23" s="28">
        <f>E23/H22</f>
        <v>60.4444444444444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24</v>
      </c>
      <c r="D24" s="29">
        <v>22.6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165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166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169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5.28</v>
      </c>
      <c r="D32" s="12">
        <v>5.32</v>
      </c>
      <c r="E32" s="11">
        <f t="shared" si="2"/>
        <v>10.6</v>
      </c>
      <c r="F32" s="11" t="s">
        <v>26</v>
      </c>
      <c r="G32" s="11">
        <f>15.93+12.34+15.8+13.36+10.55+6.69+3.42+6.59+8.39+6.12+13.9+12.93+12.59+6.71+12.15+12.81+13.23+13.15+6.98+6.68+14.47+14.54+21.7+20.61+10.3+6.37+10.6</f>
        <v>308.91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5</v>
      </c>
      <c r="D33" s="12">
        <v>3</v>
      </c>
      <c r="E33" s="11">
        <f t="shared" si="2"/>
        <v>8</v>
      </c>
      <c r="F33" s="11" t="s">
        <v>26</v>
      </c>
      <c r="G33" s="11">
        <f>4+7+4+4+4+5+5+4+5+9+5+5+10+5+5+5+5+5+6+8+7+7+11+6+4+3+8</f>
        <v>156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89+159+208+194+187+193+198+173+188+75+149+107+89+15+16+84+8+8+3+15+2</f>
        <v>2160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210</v>
      </c>
      <c r="D38" s="12">
        <v>222</v>
      </c>
      <c r="E38" s="11">
        <f t="shared" si="2"/>
        <v>432</v>
      </c>
      <c r="F38" s="11" t="s">
        <v>26</v>
      </c>
      <c r="G38" s="11">
        <f>990+994+979+1010+1020+1012+1005+942+999+980+965+947+915+945+947+950+764+927+930+936+932+934+940+942+898+954+993+997+852+432</f>
        <v>28031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32"/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86.86*0.88</f>
        <v>76.4368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2</v>
      </c>
      <c r="D42" s="29">
        <v>0</v>
      </c>
      <c r="E42" s="11">
        <f>D42+C42</f>
        <v>2</v>
      </c>
      <c r="F42" s="11" t="s">
        <v>35</v>
      </c>
      <c r="G42" s="11">
        <f>1+1+1+1+2+2+2+2+2+4+3+3+2+1+2+3+2+3+2+3+2</f>
        <v>44</v>
      </c>
      <c r="H42" s="28"/>
      <c r="I42" s="11">
        <v>12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4" workbookViewId="0">
      <pane xSplit="2" topLeftCell="C1" activePane="topRight" state="frozen"/>
      <selection/>
      <selection pane="topRight" activeCell="G7" sqref="G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170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0.5</v>
      </c>
      <c r="D3" s="10">
        <v>8</v>
      </c>
      <c r="E3" s="11">
        <f t="shared" ref="E3:E8" si="0">C3+D3</f>
        <v>8.5</v>
      </c>
      <c r="F3" s="11" t="s">
        <v>14</v>
      </c>
      <c r="G3" s="11">
        <f>13+12+13.5+14.5+13.5+5+5.5+10.5+11+11.5+9.5+11+10.5+12.5+12.5+9+7+11.5+12+11.5+13.5+14+11.5+9.5+5+14+11+15.5+11+8.5</f>
        <v>330.5</v>
      </c>
      <c r="H3" s="11">
        <v>303</v>
      </c>
      <c r="I3" s="11">
        <f>H3-G3</f>
        <v>-27.5</v>
      </c>
      <c r="J3" s="11"/>
      <c r="K3" s="11"/>
      <c r="L3" s="11"/>
      <c r="M3" s="12">
        <f>I3/1</f>
        <v>-27.5</v>
      </c>
    </row>
    <row r="4" s="1" customFormat="1" ht="56" customHeight="1" spans="1:13">
      <c r="A4" s="13">
        <v>2</v>
      </c>
      <c r="B4" s="9" t="s">
        <v>15</v>
      </c>
      <c r="C4" s="12">
        <v>0</v>
      </c>
      <c r="D4" s="12"/>
      <c r="E4" s="11">
        <f t="shared" si="0"/>
        <v>0</v>
      </c>
      <c r="F4" s="11" t="s">
        <v>14</v>
      </c>
      <c r="G4" s="11">
        <f>20+14+12+14+14+10+6+8+10+12+8+12+10+12+14+8+8+8+14+12+14+12+14+10+8+8+12+14+14</f>
        <v>332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97</v>
      </c>
      <c r="D5" s="12">
        <v>87</v>
      </c>
      <c r="E5" s="11">
        <f t="shared" si="0"/>
        <v>184</v>
      </c>
      <c r="F5" s="11" t="s">
        <v>14</v>
      </c>
      <c r="G5" s="11">
        <f>160+179+142+152+179+46+148+155+107+136+118+171+133+157+75+151+153+179+185+162+172+194+27+167+157+153+181+79+184</f>
        <v>4202</v>
      </c>
      <c r="H5" s="14">
        <v>4120</v>
      </c>
      <c r="I5" s="14">
        <f>H5-G5-G7-G6</f>
        <v>-151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3+5+2+1+4+1+1+6+8+1+1+4+1+4+3+2+3+2+5+1+3+5+3</f>
        <v>69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1+1+1+1+6</f>
        <v>10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6.831</v>
      </c>
      <c r="D11" s="11">
        <v>4.023</v>
      </c>
      <c r="E11" s="11">
        <f>C11+D11</f>
        <v>10.854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</f>
        <v>177.1875</v>
      </c>
      <c r="H11" s="11"/>
      <c r="I11" s="11">
        <f>G11/(G3*0.1865)</f>
        <v>2.87463547391433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9.5864</v>
      </c>
      <c r="D12" s="11">
        <v>0</v>
      </c>
      <c r="E12" s="11">
        <f t="shared" ref="E12:E23" si="1">D12+C12</f>
        <v>9.5864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</f>
        <v>357.9904</v>
      </c>
      <c r="H12" s="11"/>
      <c r="I12" s="11">
        <f>G12/(G3*0.1865)</f>
        <v>5.80792608485802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114</v>
      </c>
      <c r="D13" s="12">
        <v>211</v>
      </c>
      <c r="E13" s="11">
        <f t="shared" si="1"/>
        <v>325</v>
      </c>
      <c r="F13" s="11" t="s">
        <v>26</v>
      </c>
      <c r="G13" s="11">
        <f>413+417+468+470+422+163+77+376+425+287+382+409+339+445+471+210+337+383+456+400+480+432+389+285+270+404+419+421+315+325</f>
        <v>11090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533.47</v>
      </c>
      <c r="D14" s="12">
        <v>499.3</v>
      </c>
      <c r="E14" s="11">
        <f t="shared" si="1"/>
        <v>1032.77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</f>
        <v>23996.07</v>
      </c>
      <c r="H14" s="11"/>
      <c r="I14" s="11"/>
      <c r="J14" s="11">
        <f>(C14*K14+L14*D14)/1000</f>
        <v>2.8271887</v>
      </c>
      <c r="K14" s="11">
        <v>2.81</v>
      </c>
      <c r="L14" s="11">
        <v>2.66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</f>
        <v>73.3119535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0</v>
      </c>
      <c r="D16" s="12">
        <v>18</v>
      </c>
      <c r="E16" s="11">
        <f t="shared" si="1"/>
        <v>18</v>
      </c>
      <c r="F16" s="11" t="s">
        <v>14</v>
      </c>
      <c r="G16" s="11">
        <f>32+28+32+36+32+6+8+28+28+24+24+32+20+32+32+16+20+28+28+28+32+34+26+23+16+30+28+33+28+18</f>
        <v>782</v>
      </c>
      <c r="H16" s="11"/>
      <c r="I16" s="11">
        <f>G16/(G3*0.1865)</f>
        <v>12.6869273543619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2+2+2+2+0.24+2+2+2+2+2+2+2+2+2+2+2</f>
        <v>30.24</v>
      </c>
      <c r="H18" s="28"/>
      <c r="I18" s="28">
        <f>G18/(G3*0.1865)</f>
        <v>0.490604454214712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1.8+1.8+1.8+1.8+1.8+1.8+1.8+1.8+1.8+1.8+1.85+1.5+1.5+1.5+1.5</f>
        <v>25.85</v>
      </c>
      <c r="H19" s="28"/>
      <c r="I19" s="28">
        <f>G19/(G3*0.1865)</f>
        <v>0.41938244515378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3</v>
      </c>
      <c r="E20" s="11">
        <f t="shared" si="1"/>
        <v>6</v>
      </c>
      <c r="F20" s="11" t="s">
        <v>35</v>
      </c>
      <c r="G20" s="11">
        <f>5+5+9+7+4+2+8+9+7+5+9+5+6+6+3+9+3+6+8+8+5+7+5+7+9+7+5+6+6</f>
        <v>181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29" t="s">
        <v>171</v>
      </c>
      <c r="D21" s="29" t="s">
        <v>171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11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605</v>
      </c>
      <c r="D22" s="29">
        <v>616</v>
      </c>
      <c r="E22" s="11">
        <f t="shared" si="1"/>
        <v>1221</v>
      </c>
      <c r="F22" s="11" t="s">
        <v>26</v>
      </c>
      <c r="G22" s="11">
        <f>1223+1182+1152+1139+321+289+1208+1196+796+1155+1080+1206+1156+1090+761+1119+1178+1268+1306+1280+1263+1281+488+1188+1146+1138+1108+761+1221</f>
        <v>30699</v>
      </c>
      <c r="H22" s="11">
        <v>24</v>
      </c>
      <c r="I22" s="28">
        <f>E22/H22</f>
        <v>50.875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759</v>
      </c>
      <c r="D23" s="29">
        <v>770</v>
      </c>
      <c r="E23" s="11">
        <f t="shared" si="1"/>
        <v>1529</v>
      </c>
      <c r="F23" s="11" t="s">
        <v>26</v>
      </c>
      <c r="G23" s="11">
        <f>1518+1509+1506+1518+362+251+1348+1505+1018+1419+1323+1490+1467+1415+788+1437+1496+1580+1650+1613+1577+1637+616+1420+1447+1502+1434+816+1529</f>
        <v>38191</v>
      </c>
      <c r="H23" s="28"/>
      <c r="I23" s="28">
        <f>E23/H22</f>
        <v>63.7083333333333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25.7</v>
      </c>
      <c r="D24" s="29"/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174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175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5.31</v>
      </c>
      <c r="D32" s="12">
        <v>5.25</v>
      </c>
      <c r="E32" s="11">
        <f t="shared" si="2"/>
        <v>10.56</v>
      </c>
      <c r="F32" s="11" t="s">
        <v>26</v>
      </c>
      <c r="G32" s="11">
        <f>15.93+12.34+15.8+13.36+10.55+6.69+3.42+6.59+8.39+6.12+13.9+12.93+12.59+6.71+12.15+12.81+13.23+13.15+6.98+6.68+14.47+14.54+21.7+20.61+10.3+6.37+10.6+10.56</f>
        <v>319.47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3</v>
      </c>
      <c r="E33" s="11">
        <f t="shared" si="2"/>
        <v>5</v>
      </c>
      <c r="F33" s="11" t="s">
        <v>26</v>
      </c>
      <c r="G33" s="11">
        <f>4+7+4+4+4+5+5+4+5+9+5+5+10+5+5+5+5+5+6+8+7+7+11+6+4+3+8+5</f>
        <v>161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</f>
        <v>122.256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20</v>
      </c>
      <c r="D37" s="12">
        <v>0</v>
      </c>
      <c r="E37" s="11">
        <f t="shared" si="2"/>
        <v>20</v>
      </c>
      <c r="F37" s="11" t="s">
        <v>26</v>
      </c>
      <c r="G37" s="11">
        <f>89+159+208+194+187+193+198+173+188+75+149+107+89+15+16+84+8+8+3+15+2+20</f>
        <v>2180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130</v>
      </c>
      <c r="D38" s="12">
        <v>276</v>
      </c>
      <c r="E38" s="11">
        <f t="shared" si="2"/>
        <v>406</v>
      </c>
      <c r="F38" s="11" t="s">
        <v>26</v>
      </c>
      <c r="G38" s="11">
        <f>990+994+979+1010+1020+1012+1005+942+999+980+965+947+915+945+947+950+764+927+930+936+932+934+940+942+898+954+993+997+852+432+406</f>
        <v>28437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750*0.05</f>
        <v>37.5</v>
      </c>
      <c r="J40" s="48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86.86*0.7</f>
        <v>60.802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2</v>
      </c>
      <c r="D42" s="29">
        <v>2</v>
      </c>
      <c r="E42" s="11">
        <f>D42+C42</f>
        <v>4</v>
      </c>
      <c r="F42" s="11" t="s">
        <v>35</v>
      </c>
      <c r="G42" s="11">
        <f>1+1+1+1+2+2+2+2+2+4+3+3+2+1+2+3+2+3+2+3+2+4</f>
        <v>48</v>
      </c>
      <c r="H42" s="28"/>
      <c r="I42" s="11">
        <v>18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8" workbookViewId="0">
      <pane xSplit="2" topLeftCell="C1" activePane="topRight" state="frozen"/>
      <selection/>
      <selection pane="topRight" activeCell="C27" sqref="C27:L2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177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5.5</v>
      </c>
      <c r="D3" s="10">
        <v>5.5</v>
      </c>
      <c r="E3" s="11">
        <f t="shared" ref="E3:E8" si="0">C3+D3</f>
        <v>11</v>
      </c>
      <c r="F3" s="11" t="s">
        <v>14</v>
      </c>
      <c r="G3" s="11">
        <f>13+12+13.5+14.5+13.5+5+5.5+10.5+11+11.5+9.5+11+10.5+12.5+12.5+9+7+11.5+12+11.5+13.5+14+11.5+9.5+5+14+11+15.5+11+8.5+11</f>
        <v>341.5</v>
      </c>
      <c r="H3" s="11">
        <v>303</v>
      </c>
      <c r="I3" s="11">
        <f>H3-G3</f>
        <v>-38.5</v>
      </c>
      <c r="J3" s="11"/>
      <c r="K3" s="11"/>
      <c r="L3" s="11"/>
      <c r="M3" s="12">
        <f>I3/1</f>
        <v>-38.5</v>
      </c>
    </row>
    <row r="4" s="1" customFormat="1" ht="56" customHeight="1" spans="1:13">
      <c r="A4" s="13">
        <v>2</v>
      </c>
      <c r="B4" s="9" t="s">
        <v>15</v>
      </c>
      <c r="C4" s="12">
        <v>18</v>
      </c>
      <c r="D4" s="12"/>
      <c r="E4" s="11">
        <f t="shared" si="0"/>
        <v>18</v>
      </c>
      <c r="F4" s="11" t="s">
        <v>14</v>
      </c>
      <c r="G4" s="11">
        <f>20+14+12+14+14+10+6+8+10+12+8+12+10+12+14+8+8+8+14+12+14+12+14+10+8+8+12+14+14+0+18</f>
        <v>350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160+179+142+152+179+46+148+155+107+136+118+171+133+157+75+151+153+179+185+162+172+194+27+167+157+153+181+79+184</f>
        <v>4202</v>
      </c>
      <c r="H5" s="14">
        <v>4120</v>
      </c>
      <c r="I5" s="14">
        <f>H5-G5-G7-G6</f>
        <v>-309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68</v>
      </c>
      <c r="D7" s="12">
        <v>90</v>
      </c>
      <c r="E7" s="11">
        <f t="shared" si="0"/>
        <v>158</v>
      </c>
      <c r="F7" s="11" t="s">
        <v>14</v>
      </c>
      <c r="G7" s="11">
        <f>3+5+2+1+4+1+1+6+8+1+1+4+1+4+3+2+3+2+5+1+3+5+3+91+67</f>
        <v>227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1+1+1+1+6+1</f>
        <v>11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3.105</v>
      </c>
      <c r="D11" s="11">
        <v>0</v>
      </c>
      <c r="E11" s="11">
        <f>C11+D11</f>
        <v>3.105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6.561+6.885+5.238+5.1975+6.561+2.322+1.863+2.7675+5.67+4.8195+6.1425+8.316+3.024+6.7635+5.1435+3.186+2.511+4.3605+8.2485+6.831+7.56+8.4915+11.1915+3.9555+2.7135+4.3605+8.4645+5.4405+11.745+10.854+3.105</f>
        <v>180.2925</v>
      </c>
      <c r="H11" s="11"/>
      <c r="I11" s="11">
        <f>G11/(G3*0.1865)</f>
        <v>2.83079302399523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14.0944</v>
      </c>
      <c r="D12" s="11">
        <v>0</v>
      </c>
      <c r="E12" s="11">
        <f t="shared" ref="E12:E20" si="1">D12+C12</f>
        <v>14.0944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9.9728+12.0888+14.6464+14.8672+14.9224+16.2104+6.808+11.6288+17.1488+13.5056+9.66+12.8616+11.2976+14.2416+14.536+8.096+8.8688+11.8312+13.4504+13.7264+14.1312+17.7376+9.3104+6.532+13.7816+11.4448+11.316+13.7816+9.5864+14.0944</f>
        <v>372.0848</v>
      </c>
      <c r="H12" s="11"/>
      <c r="I12" s="11">
        <f>G12/(G3*0.1865)</f>
        <v>5.84214571418478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197</v>
      </c>
      <c r="D13" s="12">
        <v>191</v>
      </c>
      <c r="E13" s="11">
        <f t="shared" si="1"/>
        <v>388</v>
      </c>
      <c r="F13" s="11" t="s">
        <v>26</v>
      </c>
      <c r="G13" s="11">
        <f>413+417+468+470+422+163+77+376+425+287+382+409+339+445+471+210+337+383+456+400+480+432+389+285+270+404+419+421+315+325+388</f>
        <v>11478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422.56</v>
      </c>
      <c r="D14" s="12">
        <v>401.56</v>
      </c>
      <c r="E14" s="11">
        <f t="shared" si="1"/>
        <v>824.12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876.24+1066.42+862.71+737.14+1030.59+99.19+540.9+505.27+860.01+956.99+969.28+908.75+915.25+774.92+493.16+1041.1+854.9+884.96+1021.54+770.25+944.73+1040.44+662.47+564.61+892.06+777.13+902.98+1009.31+1032.77+824.12</f>
        <v>24820.19</v>
      </c>
      <c r="H14" s="11"/>
      <c r="I14" s="11"/>
      <c r="J14" s="11">
        <f>(C14*K14+L14*D14)/1000</f>
        <v>2.3774812</v>
      </c>
      <c r="K14" s="11">
        <v>2.88</v>
      </c>
      <c r="L14" s="11">
        <v>2.89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+2.3774812</f>
        <v>75.6894347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12</v>
      </c>
      <c r="E16" s="11">
        <f t="shared" si="1"/>
        <v>27</v>
      </c>
      <c r="F16" s="11" t="s">
        <v>14</v>
      </c>
      <c r="G16" s="11">
        <f>32+28+32+36+32+6+8+28+28+24+24+32+20+32+32+16+20+28+28+28+32+34+26+23+16+30+28+33+28+18+27</f>
        <v>809</v>
      </c>
      <c r="H16" s="11"/>
      <c r="I16" s="11">
        <f>G16/(G3*0.1865)</f>
        <v>12.7022009035991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2+2+2+2+0.24+2+2+2+2+2+2+2+2+2+2+2+2</f>
        <v>32.24</v>
      </c>
      <c r="H18" s="28"/>
      <c r="I18" s="28">
        <f>G18/(G3*0.1865)</f>
        <v>0.506203902511786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1.8+1.8+1.8+1.8+1.8+1.8+1.8+1.8+1.8+1.8+1.85+1.5+1.5+1.5+1.5+1.5</f>
        <v>27.35</v>
      </c>
      <c r="H19" s="28"/>
      <c r="I19" s="28">
        <f>G19/(G3*0.1865)</f>
        <v>0.429425457000538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3</v>
      </c>
      <c r="D20" s="29">
        <v>3</v>
      </c>
      <c r="E20" s="11">
        <f t="shared" si="1"/>
        <v>6</v>
      </c>
      <c r="F20" s="11" t="s">
        <v>35</v>
      </c>
      <c r="G20" s="11">
        <f>5+5+9+7+4+2+8+9+7+5+9+5+6+6+3+9+3+6+8+8+5+7+5+7+9+7+5+6+6+6</f>
        <v>187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11" t="s">
        <v>171</v>
      </c>
      <c r="D21" s="11" t="s">
        <v>171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27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572</v>
      </c>
      <c r="D22" s="29">
        <v>594</v>
      </c>
      <c r="E22" s="11">
        <f>D22+C22</f>
        <v>1166</v>
      </c>
      <c r="F22" s="11" t="s">
        <v>26</v>
      </c>
      <c r="G22" s="11">
        <f>1223+1182+1152+1139+321+289+1208+1196+796+1155+1080+1206+1156+1090+761+1119+1178+1268+1306+1280+1263+1281+488+1188+1146+1138+1108+761+1221+1166</f>
        <v>31865</v>
      </c>
      <c r="H22" s="11">
        <v>24</v>
      </c>
      <c r="I22" s="28">
        <f>E22/H22</f>
        <v>48.5833333333333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708</v>
      </c>
      <c r="D23" s="29">
        <v>748</v>
      </c>
      <c r="E23" s="11">
        <f>D23+C23</f>
        <v>1456</v>
      </c>
      <c r="F23" s="11" t="s">
        <v>26</v>
      </c>
      <c r="G23" s="11">
        <f>1518+1509+1506+1518+362+251+1348+1505+1018+1419+1323+1490+1467+1415+788+1437+1496+1580+1650+1613+1577+1637+616+1420+1447+1502+1434+816+1529+1456</f>
        <v>39647</v>
      </c>
      <c r="H23" s="28"/>
      <c r="I23" s="28">
        <f>E23/H22</f>
        <v>60.6666666666667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25.7</v>
      </c>
      <c r="D24" s="29">
        <v>23.28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 t="s">
        <v>178</v>
      </c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179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5.25</v>
      </c>
      <c r="D32" s="12">
        <v>5.33</v>
      </c>
      <c r="E32" s="11">
        <f t="shared" si="2"/>
        <v>10.58</v>
      </c>
      <c r="F32" s="11" t="s">
        <v>26</v>
      </c>
      <c r="G32" s="11">
        <f>15.93+12.34+15.8+13.36+10.55+6.69+3.42+6.59+8.39+6.12+13.9+12.93+12.59+6.71+12.15+12.81+13.23+13.15+6.98+6.68+14.47+14.54+21.7+20.61+10.3+6.37+10.6+10.56+10.58</f>
        <v>330.05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5</v>
      </c>
      <c r="D33" s="12">
        <v>5</v>
      </c>
      <c r="E33" s="11">
        <f t="shared" si="2"/>
        <v>10</v>
      </c>
      <c r="F33" s="11" t="s">
        <v>26</v>
      </c>
      <c r="G33" s="11">
        <f>4+7+4+4+4+5+5+4+5+9+5+5+10+5+5+5+5+5+6+8+7+7+11+6+4+3+8+5+10</f>
        <v>171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11.394</v>
      </c>
      <c r="D35" s="11">
        <v>0</v>
      </c>
      <c r="E35" s="11">
        <f t="shared" si="2"/>
        <v>11.394</v>
      </c>
      <c r="F35" s="11" t="s">
        <v>14</v>
      </c>
      <c r="G35" s="12">
        <f>10.746+7.857+9.018+7.0875+8.1405+2.484+6.696+7.371+10.0845+4.644+11.718+13.0815+11.151+12.177+11.394</f>
        <v>133.65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89+159+208+194+187+193+198+173+188+75+149+107+89+15+16+84+8+8+3+15+2+20</f>
        <v>2180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282</v>
      </c>
      <c r="D38" s="12">
        <v>241</v>
      </c>
      <c r="E38" s="11">
        <f t="shared" si="2"/>
        <v>523</v>
      </c>
      <c r="F38" s="11" t="s">
        <v>26</v>
      </c>
      <c r="G38" s="11">
        <f>990+994+979+1010+1020+1012+1005+942+999+980+965+947+915+945+947+950+764+927+930+936+932+934+940+942+898+954+993+997+852+432+406+523</f>
        <v>28960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27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86.86*0.7</f>
        <v>60.802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1+1+1+1+2+2+2+2+2+4+3+3+2+1+2+3+2+3+2+3+2+4+2</f>
        <v>50</v>
      </c>
      <c r="H42" s="28"/>
      <c r="I42" s="11">
        <v>20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6" workbookViewId="0">
      <pane xSplit="2" topLeftCell="C1" activePane="topRight" state="frozen"/>
      <selection/>
      <selection pane="topRight" activeCell="O12" sqref="O12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180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4.5</v>
      </c>
      <c r="D3" s="10">
        <v>7.5</v>
      </c>
      <c r="E3" s="11">
        <f t="shared" ref="E3:E8" si="0">C3+D3</f>
        <v>12</v>
      </c>
      <c r="F3" s="11" t="s">
        <v>14</v>
      </c>
      <c r="G3" s="11">
        <f>13+12+13.5+14.5+13.5+5+5.5+10.5+11+11.5+9.5+11+10.5+12.5+12.5+9+7+11.5+12+11.5+13.5+14+11.5+9.5+5+14+11+15.5+11+8.5+11+12</f>
        <v>353.5</v>
      </c>
      <c r="H3" s="11">
        <v>303</v>
      </c>
      <c r="I3" s="11">
        <f>H3-G3</f>
        <v>-50.5</v>
      </c>
      <c r="J3" s="11"/>
      <c r="K3" s="11"/>
      <c r="L3" s="11"/>
      <c r="M3" s="12">
        <f>I3/1</f>
        <v>-50.5</v>
      </c>
    </row>
    <row r="4" s="1" customFormat="1" ht="56" customHeight="1" spans="1:13">
      <c r="A4" s="13">
        <v>2</v>
      </c>
      <c r="B4" s="9" t="s">
        <v>15</v>
      </c>
      <c r="C4" s="12">
        <v>12</v>
      </c>
      <c r="D4" s="12"/>
      <c r="E4" s="11">
        <f t="shared" si="0"/>
        <v>12</v>
      </c>
      <c r="F4" s="11" t="s">
        <v>14</v>
      </c>
      <c r="G4" s="11">
        <f>20+14+12+14+14+10+6+8+10+12+8+12+10+12+14+8+8+8+14+12+14+12+14+10+8+8+12+14+14+0+18+12</f>
        <v>362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160+179+142+152+179+46+148+155+107+136+118+171+133+157+75+151+153+179+185+162+172+194+27+167+157+153+181+79+184</f>
        <v>4202</v>
      </c>
      <c r="H5" s="14">
        <v>4120</v>
      </c>
      <c r="I5" s="14">
        <f>H5-G5-G7-G6</f>
        <v>-482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89</v>
      </c>
      <c r="D7" s="12">
        <v>84</v>
      </c>
      <c r="E7" s="11">
        <f t="shared" si="0"/>
        <v>173</v>
      </c>
      <c r="F7" s="11" t="s">
        <v>14</v>
      </c>
      <c r="G7" s="11">
        <f>3+5+2+1+4+1+1+6+8+1+1+4+1+4+3+2+3+2+5+1+3+5+3+91+173+67</f>
        <v>400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1</v>
      </c>
      <c r="D8" s="12">
        <v>0</v>
      </c>
      <c r="E8" s="11">
        <f t="shared" si="0"/>
        <v>1</v>
      </c>
      <c r="F8" s="11" t="s">
        <v>14</v>
      </c>
      <c r="G8" s="11">
        <f>1+1+1+1+6+1+1</f>
        <v>12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8.478</v>
      </c>
      <c r="D11" s="11">
        <v>2.0385</v>
      </c>
      <c r="E11" s="11">
        <f>C11+D11</f>
        <v>10.5165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6.561+6.885+5.238+5.1975+6.561+2.322+1.863+2.7675+5.67+4.8195+6.1425+8.316+3.024+6.7635+5.1435+3.186+2.511+4.3605+8.2485+6.831+7.56+8.4915+11.1915+3.9555+2.7135+4.3605+8.4645+5.4405+11.745+10.854+3.105+10.5165</f>
        <v>190.809</v>
      </c>
      <c r="H11" s="11"/>
      <c r="I11" s="11">
        <f>G11/(G3*0.1865)</f>
        <v>2.89421374155799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12.9536</v>
      </c>
      <c r="D12" s="11">
        <v>0</v>
      </c>
      <c r="E12" s="11">
        <f t="shared" ref="E12:E20" si="1">D12+C12</f>
        <v>12.9536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9.9728+12.0888+14.6464+14.8672+14.9224+16.2104+6.808+11.6288+17.1488+13.5056+9.66+12.8616+11.2976+14.2416+14.536+8.096+8.8688+11.8312+13.4504+13.7264+14.1312+17.7376+9.3104+6.532+13.7816+11.4448+11.316+13.7816+9.5864+14.0944+12.9536</f>
        <v>385.0384</v>
      </c>
      <c r="H12" s="11"/>
      <c r="I12" s="11">
        <f>G12/(G3*0.1865)</f>
        <v>5.8403085195536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168</v>
      </c>
      <c r="D13" s="12">
        <v>191</v>
      </c>
      <c r="E13" s="11">
        <f t="shared" si="1"/>
        <v>359</v>
      </c>
      <c r="F13" s="11" t="s">
        <v>26</v>
      </c>
      <c r="G13" s="11">
        <f>413+417+468+470+422+163+77+376+425+287+382+409+339+445+471+210+337+383+456+400+480+432+389+285+270+404+419+421+315+325+388+359</f>
        <v>11837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364.49</v>
      </c>
      <c r="D14" s="12">
        <v>432.12</v>
      </c>
      <c r="E14" s="11">
        <f t="shared" si="1"/>
        <v>796.61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876.24+1066.42+862.71+737.14+1030.59+99.19+540.9+505.27+860.01+956.99+969.28+908.75+915.25+774.92+493.16+1041.1+854.9+884.96+1021.54+770.25+944.73+1040.44+662.47+564.61+892.06+777.13+902.98+1009.31+1032.77+824.12+796.61</f>
        <v>25616.8</v>
      </c>
      <c r="H14" s="11"/>
      <c r="I14" s="11"/>
      <c r="J14" s="11">
        <f>(C14*K14+L14*D14)/1000</f>
        <v>2.3149031</v>
      </c>
      <c r="K14" s="11">
        <v>2.83</v>
      </c>
      <c r="L14" s="11">
        <v>2.97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+2.3774812+2.3149031</f>
        <v>78.0043378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16</v>
      </c>
      <c r="E16" s="11">
        <f t="shared" si="1"/>
        <v>31</v>
      </c>
      <c r="F16" s="11" t="s">
        <v>14</v>
      </c>
      <c r="G16" s="11">
        <f>32+28+32+36+32+6+8+28+28+24+24+32+20+32+32+16+20+28+28+28+32+34+26+23+16+30+28+33+28+18+27+31</f>
        <v>840</v>
      </c>
      <c r="H16" s="11"/>
      <c r="I16" s="11">
        <f>G16/(G3*0.1865)</f>
        <v>12.7412205027473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2+2+2+2+0.24+2+2+2+2+2+2+2+2+2+2+2+2</f>
        <v>32.24</v>
      </c>
      <c r="H18" s="28"/>
      <c r="I18" s="28">
        <f>G18/(G3*0.1865)</f>
        <v>0.489020177391159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1.8+1.8+1.8+1.8+1.8+1.8+1.8+1.8+1.8+1.8+1.85+1.5+1.5+1.5+1.5+1.5</f>
        <v>27.35</v>
      </c>
      <c r="H19" s="28"/>
      <c r="I19" s="28">
        <f>G19/(G3*0.1865)</f>
        <v>0.414848072321595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2</v>
      </c>
      <c r="E20" s="11">
        <f t="shared" si="1"/>
        <v>4</v>
      </c>
      <c r="F20" s="11" t="s">
        <v>35</v>
      </c>
      <c r="G20" s="11">
        <f>5+5+9+7+4+2+8+9+7+5+9+5+6+6+3+9+3+6+8+8+5+7+5+7+9+7+5+6+6+6+4</f>
        <v>191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11" t="s">
        <v>171</v>
      </c>
      <c r="D21" s="11" t="s">
        <v>171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27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588</v>
      </c>
      <c r="D22" s="29">
        <v>598</v>
      </c>
      <c r="E22" s="11">
        <f>D22+C22</f>
        <v>1186</v>
      </c>
      <c r="F22" s="11" t="s">
        <v>26</v>
      </c>
      <c r="G22" s="11">
        <f>1223+1182+1152+1139+321+289+1208+1196+796+1155+1080+1206+1156+1090+761+1119+1178+1268+1306+1280+1263+1281+488+1188+1146+1138+1108+761+1221+1166+1186</f>
        <v>33051</v>
      </c>
      <c r="H22" s="11">
        <v>24</v>
      </c>
      <c r="I22" s="28">
        <f>E22/H22</f>
        <v>49.4166666666667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740</v>
      </c>
      <c r="D23" s="29">
        <v>751</v>
      </c>
      <c r="E23" s="11">
        <f>D23+C23</f>
        <v>1491</v>
      </c>
      <c r="F23" s="11" t="s">
        <v>26</v>
      </c>
      <c r="G23" s="11">
        <f>1518+1509+1506+1518+362+251+1348+1505+1018+1419+1323+1490+1467+1415+788+1437+1496+1580+1650+1613+1577+1637+616+1420+1447+1502+1434+816+1529+1456+1491</f>
        <v>41138</v>
      </c>
      <c r="H23" s="28"/>
      <c r="I23" s="28">
        <f>E23/H22</f>
        <v>62.125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25.7</v>
      </c>
      <c r="D24" s="29">
        <v>25.25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141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181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5.26</v>
      </c>
      <c r="D32" s="12">
        <v>5.34</v>
      </c>
      <c r="E32" s="11">
        <f t="shared" si="2"/>
        <v>10.6</v>
      </c>
      <c r="F32" s="11" t="s">
        <v>26</v>
      </c>
      <c r="G32" s="11">
        <f>15.93+12.34+15.8+13.36+10.55+6.69+3.42+6.59+8.39+6.12+13.9+12.93+12.59+6.71+12.15+12.81+13.23+13.15+6.98+6.68+14.47+14.54+21.7+20.61+10.3+6.37+10.6+10.56+10.58+10.6</f>
        <v>340.65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2</v>
      </c>
      <c r="D33" s="12">
        <v>3</v>
      </c>
      <c r="E33" s="11">
        <f t="shared" si="2"/>
        <v>5</v>
      </c>
      <c r="F33" s="11" t="s">
        <v>26</v>
      </c>
      <c r="G33" s="11">
        <f>4+7+4+4+4+5+5+4+5+9+5+5+10+5+5+5+5+5+6+8+7+7+11+6+4+3+8+5+10+5</f>
        <v>176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10.746+7.857+9.018+7.0875+8.1405+2.484+6.696+7.371+10.0845+4.644+11.718+13.0815+11.151+12.177+11.394</f>
        <v>133.65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0</v>
      </c>
      <c r="D37" s="12">
        <v>0</v>
      </c>
      <c r="E37" s="11">
        <f t="shared" si="2"/>
        <v>0</v>
      </c>
      <c r="F37" s="11" t="s">
        <v>26</v>
      </c>
      <c r="G37" s="11">
        <f>89+159+208+194+187+193+198+173+188+75+149+107+89+15+16+84+8+8+3+15+2+20</f>
        <v>2180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196</v>
      </c>
      <c r="D38" s="12">
        <v>205</v>
      </c>
      <c r="E38" s="11">
        <f t="shared" si="2"/>
        <v>401</v>
      </c>
      <c r="F38" s="11" t="s">
        <v>26</v>
      </c>
      <c r="G38" s="11">
        <f>990+994+979+1010+1020+1012+1005+942+999+980+965+947+915+945+947+950+764+927+930+936+932+934+940+942+898+954+993+997+852+432+406+523+401</f>
        <v>29361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27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86.86*0.7</f>
        <v>60.802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2</v>
      </c>
      <c r="E42" s="11">
        <f>D42+C42</f>
        <v>2</v>
      </c>
      <c r="F42" s="11" t="s">
        <v>35</v>
      </c>
      <c r="G42" s="11">
        <f>1+1+1+1+2+2+2+2+2+4+3+3+2+1+2+3+2+3+2+3+2+4+2+2</f>
        <v>52</v>
      </c>
      <c r="H42" s="28"/>
      <c r="I42" s="11">
        <v>22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16" workbookViewId="0">
      <pane xSplit="2" topLeftCell="C1" activePane="topRight" state="frozen"/>
      <selection/>
      <selection pane="topRight" activeCell="J38" sqref="J3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182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7</v>
      </c>
      <c r="D3" s="10">
        <v>7</v>
      </c>
      <c r="E3" s="11">
        <f t="shared" ref="E3:E8" si="0">C3+D3</f>
        <v>14</v>
      </c>
      <c r="F3" s="11" t="s">
        <v>14</v>
      </c>
      <c r="G3" s="11">
        <f>13+12+13.5+14.5+13.5+5+5.5+10.5+11+11.5+9.5+11+10.5+12.5+12.5+9+7+11.5+12+11.5+13.5+14+11.5+9.5+5+14+11+15.5+11+8.5+11+12+14</f>
        <v>367.5</v>
      </c>
      <c r="H3" s="11">
        <v>303</v>
      </c>
      <c r="I3" s="11">
        <f>H3-G3</f>
        <v>-64.5</v>
      </c>
      <c r="J3" s="11"/>
      <c r="K3" s="11"/>
      <c r="L3" s="11"/>
      <c r="M3" s="12">
        <f>I3/1</f>
        <v>-64.5</v>
      </c>
    </row>
    <row r="4" s="1" customFormat="1" ht="56" customHeight="1" spans="1:13">
      <c r="A4" s="13">
        <v>2</v>
      </c>
      <c r="B4" s="9" t="s">
        <v>15</v>
      </c>
      <c r="C4" s="12">
        <v>16</v>
      </c>
      <c r="D4" s="12"/>
      <c r="E4" s="11">
        <f t="shared" si="0"/>
        <v>16</v>
      </c>
      <c r="F4" s="11" t="s">
        <v>14</v>
      </c>
      <c r="G4" s="11">
        <f>20+14+12+14+14+10+6+8+10+12+8+12+10+12+14+8+8+8+14+12+14+12+14+10+8+8+12+14+14+0+18+12+16</f>
        <v>378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160+179+142+152+179+46+148+155+107+136+118+171+133+157+75+151+153+179+185+162+172+194+27+167+157+153+181+79+184+0</f>
        <v>4202</v>
      </c>
      <c r="H5" s="14">
        <v>4120</v>
      </c>
      <c r="I5" s="14">
        <f>H5-G5-G7-G6</f>
        <v>-662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86</v>
      </c>
      <c r="D7" s="12">
        <v>94</v>
      </c>
      <c r="E7" s="11">
        <f t="shared" si="0"/>
        <v>180</v>
      </c>
      <c r="F7" s="11" t="s">
        <v>14</v>
      </c>
      <c r="G7" s="11">
        <f>3+5+2+1+4+1+1+6+8+1+1+4+1+4+3+2+3+2+5+1+3+5+3+91+173+67+180</f>
        <v>580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1+1+1+1+6+1+1</f>
        <v>12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3.0915</v>
      </c>
      <c r="D11" s="11">
        <v>1.836</v>
      </c>
      <c r="E11" s="11">
        <f>C11+D11</f>
        <v>4.9275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6.561+6.885+5.238+5.1975+6.561+2.322+1.863+2.7675+5.67+4.8195+6.1425+8.316+3.024+6.7635+5.1435+3.186+2.511+4.3605+8.2485+6.831+7.56+8.4915+11.1915+3.9555+2.7135+4.3605+8.4645+5.4405+11.745+10.854+3.105+10.5165+4.9275</f>
        <v>195.7365</v>
      </c>
      <c r="H11" s="11"/>
      <c r="I11" s="11">
        <f>G11/(G3*0.1865)</f>
        <v>2.85585161678613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15.0696</v>
      </c>
      <c r="D12" s="11">
        <v>0</v>
      </c>
      <c r="E12" s="11">
        <f t="shared" ref="E12:E20" si="1">D12+C12</f>
        <v>15.0696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9.9728+12.0888+14.6464+14.8672+14.9224+16.2104+6.808+11.6288+17.1488+13.5056+9.66+12.8616+11.2976+14.2416+14.536+8.096+8.8688+11.8312+13.4504+13.7264+14.1312+17.7376+9.3104+6.532+13.7816+11.4448+11.316+13.7816+9.5864+14.0944+12.9536+15.0696</f>
        <v>400.108</v>
      </c>
      <c r="H12" s="11"/>
      <c r="I12" s="11">
        <f>G12/(G3*0.1865)</f>
        <v>5.8376903576444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211</v>
      </c>
      <c r="D13" s="12">
        <v>211</v>
      </c>
      <c r="E13" s="11">
        <f t="shared" si="1"/>
        <v>422</v>
      </c>
      <c r="F13" s="11" t="s">
        <v>26</v>
      </c>
      <c r="G13" s="11">
        <f>413+417+468+470+422+163+77+376+425+287+382+409+339+445+471+210+337+383+456+400+480+432+389+285+270+404+419+421+315+325+388+359+422</f>
        <v>12259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490.64</v>
      </c>
      <c r="D14" s="12">
        <v>0</v>
      </c>
      <c r="E14" s="11">
        <f t="shared" si="1"/>
        <v>490.64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876.24+1066.42+862.71+737.14+1030.59+99.19+540.9+505.27+860.01+956.99+969.28+908.75+915.25+774.92+493.16+1041.1+854.9+884.96+1021.54+770.25+944.73+1040.44+662.47+564.61+892.06+777.13+902.98+1009.31+1032.77+824.12+796.61+490.64</f>
        <v>26107.44</v>
      </c>
      <c r="H14" s="11"/>
      <c r="I14" s="11"/>
      <c r="J14" s="11">
        <f>(C14*K14+L14*D14)/1000</f>
        <v>1.4130432</v>
      </c>
      <c r="K14" s="11">
        <v>2.88</v>
      </c>
      <c r="L14" s="11">
        <v>0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+2.3774812+2.3149031+1.4130432</f>
        <v>79.417381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15</v>
      </c>
      <c r="D16" s="12">
        <v>18</v>
      </c>
      <c r="E16" s="11">
        <f t="shared" si="1"/>
        <v>33</v>
      </c>
      <c r="F16" s="11" t="s">
        <v>14</v>
      </c>
      <c r="G16" s="11">
        <f>32+28+32+36+32+6+8+28+28+24+24+32+20+32+32+16+20+28+28+28+32+34+26+23+16+30+28+33+28+18+27+31+33</f>
        <v>873</v>
      </c>
      <c r="H16" s="11"/>
      <c r="I16" s="11">
        <f>G16/(G3*0.1865)</f>
        <v>12.737320129124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2</v>
      </c>
      <c r="D18" s="29">
        <v>0</v>
      </c>
      <c r="E18" s="11">
        <f t="shared" si="1"/>
        <v>2</v>
      </c>
      <c r="F18" s="11" t="s">
        <v>14</v>
      </c>
      <c r="G18" s="11">
        <f>2+2+2+2+0.24+2+2+2+2+2+2+2+2+2+2+2+2+2</f>
        <v>34.24</v>
      </c>
      <c r="H18" s="28"/>
      <c r="I18" s="28">
        <f>G18/(G3*0.1865)</f>
        <v>0.49957141033357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1.5</v>
      </c>
      <c r="D19" s="29">
        <v>0</v>
      </c>
      <c r="E19" s="11">
        <f t="shared" si="1"/>
        <v>1.5</v>
      </c>
      <c r="F19" s="11" t="s">
        <v>14</v>
      </c>
      <c r="G19" s="11">
        <f>1.8+1.8+1.8+1.8+1.8+1.8+1.8+1.8+1.8+1.8+1.85+1.5+1.5+1.5+1.5+1.5+1.5</f>
        <v>28.85</v>
      </c>
      <c r="H19" s="28"/>
      <c r="I19" s="28">
        <f>G19/(G3*0.1865)</f>
        <v>0.42092976600828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5</v>
      </c>
      <c r="D20" s="29">
        <v>0</v>
      </c>
      <c r="E20" s="11">
        <f t="shared" si="1"/>
        <v>5</v>
      </c>
      <c r="F20" s="11" t="s">
        <v>35</v>
      </c>
      <c r="G20" s="11">
        <f>5+5+9+7+4+2+8+9+7+5+9+5+6+6+3+9+3+6+8+8+5+7+5+7+9+7+5+6+6+6+4+5</f>
        <v>196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11" t="s">
        <v>171</v>
      </c>
      <c r="D21" s="11" t="s">
        <v>171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27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576</v>
      </c>
      <c r="D22" s="29">
        <v>603</v>
      </c>
      <c r="E22" s="11">
        <f>D22+C22</f>
        <v>1179</v>
      </c>
      <c r="F22" s="11" t="s">
        <v>26</v>
      </c>
      <c r="G22" s="11">
        <f>1223+1182+1152+1139+321+289+1208+1196+796+1155+1080+1206+1156+1090+761+1119+1178+1268+1306+1280+1263+1281+488+1188+1146+1138+1108+761+1221+1166+1186+1179</f>
        <v>34230</v>
      </c>
      <c r="H22" s="11">
        <v>24</v>
      </c>
      <c r="I22" s="28">
        <f>E22/H22</f>
        <v>49.125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725</v>
      </c>
      <c r="D23" s="29">
        <v>738</v>
      </c>
      <c r="E23" s="11">
        <f>D23+C23</f>
        <v>1463</v>
      </c>
      <c r="F23" s="11" t="s">
        <v>26</v>
      </c>
      <c r="G23" s="11">
        <f>1518+1509+1506+1518+362+251+1348+1505+1018+1419+1323+1490+1467+1415+788+1437+1496+1580+1650+1613+1577+1637+616+1420+1447+1502+1434+816+1529+1456+1491+1463</f>
        <v>42601</v>
      </c>
      <c r="H23" s="28"/>
      <c r="I23" s="28">
        <f>E23/H22</f>
        <v>60.9583333333333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25.7</v>
      </c>
      <c r="D24" s="29">
        <v>26.6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183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184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7.89</v>
      </c>
      <c r="D32" s="12">
        <v>3.27</v>
      </c>
      <c r="E32" s="11">
        <f t="shared" si="2"/>
        <v>11.16</v>
      </c>
      <c r="F32" s="11" t="s">
        <v>26</v>
      </c>
      <c r="G32" s="11">
        <f>15.93+12.34+15.8+13.36+10.55+6.69+3.42+6.59+8.39+6.12+13.9+12.93+12.59+6.71+12.15+12.81+13.23+13.15+6.98+6.68+14.47+14.54+21.7+20.61+10.3+6.37+10.6+10.56+10.58+10.6+11.16</f>
        <v>351.81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4+7+4+4+4+5+5+4+5+9+5+5+10+5+5+5+5+5+6+8+7+7+11+6+4+3+8+5+10+5+5</f>
        <v>181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10.6515</v>
      </c>
      <c r="D35" s="11">
        <v>0</v>
      </c>
      <c r="E35" s="11">
        <f t="shared" si="2"/>
        <v>10.6515</v>
      </c>
      <c r="F35" s="11" t="s">
        <v>14</v>
      </c>
      <c r="G35" s="12">
        <f>10.746+7.857+9.018+7.0875+8.1405+2.484+6.696+7.371+10.0845+4.644+11.718+13.0815+11.151+12.177+11.394+10.6515</f>
        <v>144.3015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30</v>
      </c>
      <c r="D37" s="12">
        <v>59</v>
      </c>
      <c r="E37" s="11">
        <f t="shared" si="2"/>
        <v>89</v>
      </c>
      <c r="F37" s="11" t="s">
        <v>26</v>
      </c>
      <c r="G37" s="11">
        <f>89+159+208+194+187+193+198+173+188+75+149+107+89+15+16+84+8+8+3+15+2+20+89</f>
        <v>2269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232</v>
      </c>
      <c r="D38" s="12">
        <v>459</v>
      </c>
      <c r="E38" s="11">
        <f t="shared" si="2"/>
        <v>691</v>
      </c>
      <c r="F38" s="11" t="s">
        <v>26</v>
      </c>
      <c r="G38" s="11">
        <f>990+994+979+1010+1020+1012+1005+942+999+980+965+947+915+945+947+950+764+927+930+936+932+934+940+942+898+954+993+997+852+432+406+523+401+691</f>
        <v>30052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27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86.86*0.7</f>
        <v>60.802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0</v>
      </c>
      <c r="D42" s="29">
        <v>3</v>
      </c>
      <c r="E42" s="11">
        <f>D42+C42</f>
        <v>3</v>
      </c>
      <c r="F42" s="11" t="s">
        <v>35</v>
      </c>
      <c r="G42" s="11">
        <f>1+1+1+1+2+2+2+2+2+4+3+3+2+1+2+3+2+3+2+3+2+4+2+2+3</f>
        <v>55</v>
      </c>
      <c r="H42" s="28"/>
      <c r="I42" s="11">
        <v>15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topLeftCell="A5" workbookViewId="0">
      <pane xSplit="2" topLeftCell="C1" activePane="topRight" state="frozen"/>
      <selection/>
      <selection pane="topRight" activeCell="P8" sqref="P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185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5.5</v>
      </c>
      <c r="D3" s="10">
        <v>0</v>
      </c>
      <c r="E3" s="11">
        <f t="shared" ref="E3:E8" si="0">C3+D3</f>
        <v>5.5</v>
      </c>
      <c r="F3" s="11" t="s">
        <v>14</v>
      </c>
      <c r="G3" s="11">
        <f>13+12+13.5+14.5+13.5+5+5.5+10.5+11+11.5+9.5+11+10.5+12.5+12.5+9+7+11.5+12+11.5+13.5+14+11.5+9.5+5+14+11+15.5+11+8.5+11+12+14+5.5</f>
        <v>373</v>
      </c>
      <c r="H3" s="11">
        <v>303</v>
      </c>
      <c r="I3" s="11">
        <f>H3-G3</f>
        <v>-70</v>
      </c>
      <c r="J3" s="11"/>
      <c r="K3" s="11"/>
      <c r="L3" s="11"/>
      <c r="M3" s="12">
        <f>I3/1</f>
        <v>-70</v>
      </c>
    </row>
    <row r="4" s="1" customFormat="1" ht="56" customHeight="1" spans="1:13">
      <c r="A4" s="13">
        <v>2</v>
      </c>
      <c r="B4" s="9" t="s">
        <v>15</v>
      </c>
      <c r="C4" s="12">
        <v>8</v>
      </c>
      <c r="D4" s="12"/>
      <c r="E4" s="11">
        <f t="shared" si="0"/>
        <v>8</v>
      </c>
      <c r="F4" s="11" t="s">
        <v>14</v>
      </c>
      <c r="G4" s="11">
        <f>20+14+12+14+14+10+6+8+10+12+8+12+10+12+14+8+8+8+14+12+14+12+14+10+8+8+12+14+14+0+18+12+16+8</f>
        <v>386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160+179+142+152+179+46+148+155+107+136+118+171+133+157+75+151+153+179+185+162+172+194+27+167+157+153+181+79+184+0</f>
        <v>4202</v>
      </c>
      <c r="H5" s="14">
        <v>4120</v>
      </c>
      <c r="I5" s="14">
        <f>H5-G5-G7-G6</f>
        <v>-687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25</v>
      </c>
      <c r="D7" s="12">
        <v>0</v>
      </c>
      <c r="E7" s="11">
        <f t="shared" si="0"/>
        <v>25</v>
      </c>
      <c r="F7" s="11" t="s">
        <v>14</v>
      </c>
      <c r="G7" s="11">
        <f>3+5+2+1+4+1+1+6+8+1+1+4+1+4+3+2+3+2+5+1+3+5+3+91+173+67+180+25</f>
        <v>605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1+1+1+1+6+1+1</f>
        <v>12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0</v>
      </c>
      <c r="D11" s="11">
        <v>0</v>
      </c>
      <c r="E11" s="11">
        <f>C11+D11</f>
        <v>0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6.561+6.885+5.238+5.1975+6.561+2.322+1.863+2.7675+5.67+4.8195+6.1425+8.316+3.024+6.7635+5.1435+3.186+2.511+4.3605+8.2485+6.831+7.56+8.4915+11.1915+3.9555+2.7135+4.3605+8.4645+5.4405+11.745+10.854+3.105+10.5165+4.9275</f>
        <v>195.7365</v>
      </c>
      <c r="H11" s="11"/>
      <c r="I11" s="11">
        <f>G11/(G3*0.1865)</f>
        <v>2.81374120420617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0</v>
      </c>
      <c r="D12" s="11">
        <v>0</v>
      </c>
      <c r="E12" s="11">
        <f t="shared" ref="E12:E20" si="1">D12+C12</f>
        <v>0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9.9728+12.0888+14.6464+14.8672+14.9224+16.2104+6.808+11.6288+17.1488+13.5056+9.66+12.8616+11.2976+14.2416+14.536+8.096+8.8688+11.8312+13.4504+13.7264+14.1312+17.7376+9.3104+6.532+13.7816+11.4448+11.316+13.7816+9.5864+14.0944+12.9536+15.0696</f>
        <v>400.108</v>
      </c>
      <c r="H12" s="11"/>
      <c r="I12" s="11">
        <f>G12/(G3*0.1865)</f>
        <v>5.75161181349683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161</v>
      </c>
      <c r="D13" s="12">
        <v>0</v>
      </c>
      <c r="E13" s="11">
        <f t="shared" si="1"/>
        <v>161</v>
      </c>
      <c r="F13" s="11" t="s">
        <v>26</v>
      </c>
      <c r="G13" s="11">
        <f>413+417+468+470+422+163+77+376+425+287+382+409+339+445+471+210+337+383+456+400+480+432+389+285+270+404+419+421+315+325+388+359+422+161</f>
        <v>12420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0</v>
      </c>
      <c r="D14" s="12">
        <v>0</v>
      </c>
      <c r="E14" s="11">
        <f t="shared" si="1"/>
        <v>0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876.24+1066.42+862.71+737.14+1030.59+99.19+540.9+505.27+860.01+956.99+969.28+908.75+915.25+774.92+493.16+1041.1+854.9+884.96+1021.54+770.25+944.73+1040.44+662.47+564.61+892.06+777.13+902.98+1009.31+1032.77+824.12+796.61+490.64</f>
        <v>26107.44</v>
      </c>
      <c r="H14" s="11"/>
      <c r="I14" s="11"/>
      <c r="J14" s="11">
        <f>(C14*K14+L14*D14)/1000</f>
        <v>0</v>
      </c>
      <c r="K14" s="11">
        <v>0</v>
      </c>
      <c r="L14" s="11">
        <v>0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+2.3774812+2.3149031+1.4130432</f>
        <v>79.417381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12</v>
      </c>
      <c r="D16" s="12">
        <v>0</v>
      </c>
      <c r="E16" s="11">
        <f t="shared" si="1"/>
        <v>12</v>
      </c>
      <c r="F16" s="11" t="s">
        <v>14</v>
      </c>
      <c r="G16" s="11">
        <f>32+28+32+36+32+6+8+28+28+24+24+32+20+32+32+16+20+28+28+28+32+34+26+23+16+30+28+33+28+18+27+31+33+12</f>
        <v>885</v>
      </c>
      <c r="H16" s="11"/>
      <c r="I16" s="11">
        <f>G16/(G3*0.1865)</f>
        <v>12.7220061956889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2+2+2+2+0.24+2+2+2+2+2+2+2+2+2+2+2+2+2</f>
        <v>34.24</v>
      </c>
      <c r="H18" s="28"/>
      <c r="I18" s="28">
        <f>G18/(G3*0.1865)</f>
        <v>0.492205075864845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1.8+1.8+1.8+1.8+1.8+1.8+1.8+1.8+1.8+1.8+1.85+1.5+1.5+1.5+1.5+1.5+1.5</f>
        <v>28.85</v>
      </c>
      <c r="H19" s="28"/>
      <c r="I19" s="28">
        <f>G19/(G3*0.1865)</f>
        <v>0.414723026831214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0</v>
      </c>
      <c r="D20" s="29">
        <v>7</v>
      </c>
      <c r="E20" s="11">
        <f t="shared" si="1"/>
        <v>7</v>
      </c>
      <c r="F20" s="11" t="s">
        <v>35</v>
      </c>
      <c r="G20" s="11">
        <f>5+5+9+7+4+2+8+9+7+5+9+5+6+6+3+9+3+6+8+8+5+7+5+7+9+7+5+6+6+6+4+5+7</f>
        <v>203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11" t="s">
        <v>171</v>
      </c>
      <c r="D21" s="11">
        <v>0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27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133</v>
      </c>
      <c r="D22" s="29">
        <v>0</v>
      </c>
      <c r="E22" s="11">
        <f>D22+C22</f>
        <v>133</v>
      </c>
      <c r="F22" s="11" t="s">
        <v>26</v>
      </c>
      <c r="G22" s="11">
        <f>1223+1182+1152+1139+321+289+1208+1196+796+1155+1080+1206+1156+1090+761+1119+1178+1268+1306+1280+1263+1281+488+1188+1146+1138+1108+761+1221+1166+1186+1179+133</f>
        <v>34363</v>
      </c>
      <c r="H22" s="11">
        <v>3</v>
      </c>
      <c r="I22" s="28">
        <f>E22/H22</f>
        <v>44.3333333333333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204</v>
      </c>
      <c r="D23" s="29">
        <v>0</v>
      </c>
      <c r="E23" s="11">
        <f>D23+C23</f>
        <v>204</v>
      </c>
      <c r="F23" s="11" t="s">
        <v>26</v>
      </c>
      <c r="G23" s="11">
        <f>1518+1509+1506+1518+362+251+1348+1505+1018+1419+1323+1490+1467+1415+788+1437+1496+1580+1650+1613+1577+1637+616+1420+1447+1502+1434+816+1529+1456+1491+1463+204</f>
        <v>42805</v>
      </c>
      <c r="H23" s="28"/>
      <c r="I23" s="28">
        <f>E23/H22</f>
        <v>68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25.7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186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187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5.27</v>
      </c>
      <c r="D32" s="12">
        <v>5.3</v>
      </c>
      <c r="E32" s="11">
        <f t="shared" si="2"/>
        <v>10.57</v>
      </c>
      <c r="F32" s="11" t="s">
        <v>26</v>
      </c>
      <c r="G32" s="11">
        <f>15.93+12.34+15.8+13.36+10.55+6.69+3.42+6.59+8.39+6.12+13.9+12.93+12.59+6.71+12.15+12.81+13.23+13.15+6.98+6.68+14.47+14.54+21.7+20.61+10.3+6.37+10.6+10.56+10.58+10.6+11.16+10.57</f>
        <v>362.38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7</v>
      </c>
      <c r="D33" s="12">
        <v>3</v>
      </c>
      <c r="E33" s="11">
        <f t="shared" si="2"/>
        <v>10</v>
      </c>
      <c r="F33" s="11" t="s">
        <v>26</v>
      </c>
      <c r="G33" s="11">
        <f>4+7+4+4+4+5+5+4+5+9+5+5+10+5+5+5+5+5+6+8+7+7+11+6+4+3+8+5+10+5+5+10</f>
        <v>191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10.746+7.857+9.018+7.0875+8.1405+2.484+6.696+7.371+10.0845+4.644+11.718+13.0815+11.151+12.177+11.394+10.6515</f>
        <v>144.3015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31</v>
      </c>
      <c r="D37" s="12">
        <v>166</v>
      </c>
      <c r="E37" s="11">
        <f t="shared" si="2"/>
        <v>197</v>
      </c>
      <c r="F37" s="11" t="s">
        <v>26</v>
      </c>
      <c r="G37" s="11">
        <f>89+159+208+194+187+193+198+173+188+75+149+107+89+15+16+84+8+8+3+15+2+20+89+197</f>
        <v>2466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348</v>
      </c>
      <c r="D38" s="12">
        <v>478</v>
      </c>
      <c r="E38" s="11">
        <f t="shared" si="2"/>
        <v>826</v>
      </c>
      <c r="F38" s="11" t="s">
        <v>26</v>
      </c>
      <c r="G38" s="11">
        <f>990+994+979+1010+1020+1012+1005+942+999+980+965+947+915+945+947+950+764+927+930+936+932+934+940+942+898+954+993+997+852+432+406+523+401+691+826</f>
        <v>30878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27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86.86*1.5</f>
        <v>130.29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0</v>
      </c>
      <c r="E42" s="11">
        <f>D42+C42</f>
        <v>1</v>
      </c>
      <c r="F42" s="11" t="s">
        <v>35</v>
      </c>
      <c r="G42" s="11">
        <f>1+1+1+1+2+2+2+2+2+4+3+3+2+1+2+3+2+3+2+3+2+4+2+2+3+1</f>
        <v>56</v>
      </c>
      <c r="H42" s="28"/>
      <c r="I42" s="11">
        <v>6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tabSelected="1" zoomScale="85" zoomScaleNormal="85" workbookViewId="0">
      <pane xSplit="2" topLeftCell="C1" activePane="topRight" state="frozen"/>
      <selection/>
      <selection pane="topRight" activeCell="G7" sqref="G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188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</v>
      </c>
      <c r="D3" s="10">
        <v>1.5</v>
      </c>
      <c r="E3" s="11">
        <f t="shared" ref="E3:E8" si="0">C3+D3</f>
        <v>1.5</v>
      </c>
      <c r="F3" s="11" t="s">
        <v>14</v>
      </c>
      <c r="G3" s="11">
        <f>13+12+13.5+14.5+13.5+5+5.5+10.5+11+11.5+9.5+11+10.5+12.5+12.5+9+7+11.5+12+11.5+13.5+14+11.5+9.5+5+14+11+15.5+11+8.5+11+12+14+5.5+1.5</f>
        <v>374.5</v>
      </c>
      <c r="H3" s="11">
        <v>303</v>
      </c>
      <c r="I3" s="11">
        <f>H3-G3</f>
        <v>-71.5</v>
      </c>
      <c r="J3" s="11"/>
      <c r="K3" s="11"/>
      <c r="L3" s="11"/>
      <c r="M3" s="12">
        <f>I3/1</f>
        <v>-71.5</v>
      </c>
    </row>
    <row r="4" s="1" customFormat="1" ht="56" customHeight="1" spans="1:13">
      <c r="A4" s="13">
        <v>2</v>
      </c>
      <c r="B4" s="9" t="s">
        <v>15</v>
      </c>
      <c r="C4" s="12">
        <v>4</v>
      </c>
      <c r="D4" s="12"/>
      <c r="E4" s="11">
        <f t="shared" si="0"/>
        <v>4</v>
      </c>
      <c r="F4" s="11" t="s">
        <v>14</v>
      </c>
      <c r="G4" s="11">
        <f>20+14+12+14+14+10+6+8+10+12+8+12+10+12+14+8+8+8+14+12+14+12+14+10+8+8+12+14+14+0+18+12+16+8+4</f>
        <v>390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160+179+142+152+179+46+148+155+107+136+118+171+133+157+75+151+153+179+185+162+172+194+27+167+157+153+181+79+184+0</f>
        <v>4202</v>
      </c>
      <c r="H5" s="14">
        <v>4120</v>
      </c>
      <c r="I5" s="14">
        <f>H5-G5-G7-G6</f>
        <v>-689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2</v>
      </c>
      <c r="D7" s="12">
        <v>0</v>
      </c>
      <c r="E7" s="11">
        <f t="shared" si="0"/>
        <v>2</v>
      </c>
      <c r="F7" s="11" t="s">
        <v>14</v>
      </c>
      <c r="G7" s="11">
        <f>3+5+2+1+4+1+1+6+8+1+1+4+1+4+3+2+3+2+5+1+3+5+3+91+173+67+180+25+2</f>
        <v>607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1+1+1+1+6+1+1</f>
        <v>12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0</v>
      </c>
      <c r="D11" s="11">
        <v>3.1995</v>
      </c>
      <c r="E11" s="11">
        <f>C11+D11</f>
        <v>3.1995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6.561+6.885+5.238+5.1975+6.561+2.322+1.863+2.7675+5.67+4.8195+6.1425+8.316+3.024+6.7635+5.1435+3.186+2.511+4.3605+8.2485+6.831+7.56+8.4915+11.1915+3.9555+2.7135+4.3605+8.4645+5.4405+11.745+10.854+3.105+10.5165+4.9275+3.1995</f>
        <v>198.936</v>
      </c>
      <c r="H11" s="11"/>
      <c r="I11" s="11">
        <f>G11/(G3*0.1865)</f>
        <v>2.84828028076756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0</v>
      </c>
      <c r="D12" s="11">
        <v>0</v>
      </c>
      <c r="E12" s="11">
        <f t="shared" ref="E12:E20" si="1">D12+C12</f>
        <v>0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9.9728+12.0888+14.6464+14.8672+14.9224+16.2104+6.808+11.6288+17.1488+13.5056+9.66+12.8616+11.2976+14.2416+14.536+8.096+8.8688+11.8312+13.4504+13.7264+14.1312+17.7376+9.3104+6.532+13.7816+11.4448+11.316+13.7816+9.5864+14.0944+12.9536+15.0696</f>
        <v>400.108</v>
      </c>
      <c r="H12" s="11"/>
      <c r="I12" s="11">
        <f>G12/(G3*0.1865)</f>
        <v>5.72857465002488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0</v>
      </c>
      <c r="D13" s="12">
        <v>9</v>
      </c>
      <c r="E13" s="11">
        <f t="shared" si="1"/>
        <v>9</v>
      </c>
      <c r="F13" s="11" t="s">
        <v>26</v>
      </c>
      <c r="G13" s="11">
        <f>413+417+468+470+422+163+77+376+425+287+382+409+339+445+471+210+337+383+456+400+480+432+389+285+270+404+419+421+315+325+388+359+422+161+9</f>
        <v>12429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0</v>
      </c>
      <c r="D14" s="12">
        <v>355.84</v>
      </c>
      <c r="E14" s="11">
        <f t="shared" si="1"/>
        <v>355.84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876.24+1066.42+862.71+737.14+1030.59+99.19+540.9+505.27+860.01+956.99+969.28+908.75+915.25+774.92+493.16+1041.1+854.9+884.96+1021.54+770.25+944.73+1040.44+662.47+564.61+892.06+777.13+902.98+1009.31+1032.77+824.12+796.61+490.64+355.84</f>
        <v>26463.28</v>
      </c>
      <c r="H14" s="11"/>
      <c r="I14" s="11"/>
      <c r="J14" s="11">
        <f>(C14*K14+L14*D14)/1000</f>
        <v>0.9678848</v>
      </c>
      <c r="K14" s="11">
        <v>0</v>
      </c>
      <c r="L14" s="11">
        <v>2.72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+2.3774812+2.3149031+1.4130432+0.9678848</f>
        <v>80.3852658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0</v>
      </c>
      <c r="D16" s="12">
        <v>0</v>
      </c>
      <c r="E16" s="11">
        <f t="shared" si="1"/>
        <v>0</v>
      </c>
      <c r="F16" s="11" t="s">
        <v>14</v>
      </c>
      <c r="G16" s="11">
        <f>32+28+32+36+32+6+8+28+28+24+24+32+20+32+32+16+20+28+28+28+32+34+26+23+16+30+28+33+28+18+27+31+33+12</f>
        <v>885</v>
      </c>
      <c r="H16" s="11"/>
      <c r="I16" s="11">
        <f>G16/(G3*0.1865)</f>
        <v>12.671050229618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0</v>
      </c>
      <c r="E18" s="11">
        <f t="shared" si="1"/>
        <v>0</v>
      </c>
      <c r="F18" s="11" t="s">
        <v>14</v>
      </c>
      <c r="G18" s="11">
        <f>2+2+2+2+0.24+2+2+2+2+2+2+2+2+2+2+2+2+2</f>
        <v>34.24</v>
      </c>
      <c r="H18" s="28"/>
      <c r="I18" s="28">
        <f>G18/(G3*0.1865)</f>
        <v>0.49023362696285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0</v>
      </c>
      <c r="E19" s="11">
        <f t="shared" si="1"/>
        <v>0</v>
      </c>
      <c r="F19" s="11" t="s">
        <v>14</v>
      </c>
      <c r="G19" s="11">
        <f>1.8+1.8+1.8+1.8+1.8+1.8+1.8+1.8+1.8+1.8+1.85+1.5+1.5+1.5+1.5+1.5+1.5</f>
        <v>28.85</v>
      </c>
      <c r="H19" s="28"/>
      <c r="I19" s="28">
        <f>G19/(G3*0.1865)</f>
        <v>0.413061919914667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2</v>
      </c>
      <c r="D20" s="29">
        <v>0</v>
      </c>
      <c r="E20" s="11">
        <f t="shared" si="1"/>
        <v>2</v>
      </c>
      <c r="F20" s="11" t="s">
        <v>35</v>
      </c>
      <c r="G20" s="11">
        <f>5+5+9+7+4+2+8+9+7+5+9+5+6+6+3+9+3+6+8+8+5+7+5+7+9+7+5+6+6+6+4+5+7+2</f>
        <v>205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11" t="s">
        <v>171</v>
      </c>
      <c r="D21" s="11" t="s">
        <v>171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27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0</v>
      </c>
      <c r="D22" s="29">
        <v>0</v>
      </c>
      <c r="E22" s="11">
        <f>D22+C22</f>
        <v>0</v>
      </c>
      <c r="F22" s="11" t="s">
        <v>26</v>
      </c>
      <c r="G22" s="11">
        <f>1223+1182+1152+1139+321+289+1208+1196+796+1155+1080+1206+1156+1090+761+1119+1178+1268+1306+1280+1263+1281+488+1188+1146+1138+1108+761+1221+1166+1186+1179+133</f>
        <v>34363</v>
      </c>
      <c r="H22" s="30">
        <v>0.001</v>
      </c>
      <c r="I22" s="28">
        <f>E22/H22</f>
        <v>0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0</v>
      </c>
      <c r="D23" s="29">
        <v>0</v>
      </c>
      <c r="E23" s="11">
        <f>D23+C23</f>
        <v>0</v>
      </c>
      <c r="F23" s="11" t="s">
        <v>26</v>
      </c>
      <c r="G23" s="11">
        <f>1518+1509+1506+1518+362+251+1348+1505+1018+1419+1323+1490+1467+1415+788+1437+1496+1580+1650+1613+1577+1637+616+1420+1447+1502+1434+816+1529+1456+1491+1463+204</f>
        <v>42805</v>
      </c>
      <c r="H23" s="28"/>
      <c r="I23" s="28">
        <f>E23/H22</f>
        <v>0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0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189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190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5.29</v>
      </c>
      <c r="D32" s="12">
        <v>5.31</v>
      </c>
      <c r="E32" s="11">
        <f t="shared" si="2"/>
        <v>10.6</v>
      </c>
      <c r="F32" s="11" t="s">
        <v>26</v>
      </c>
      <c r="G32" s="11">
        <f>15.93+12.34+15.8+13.36+10.55+6.69+3.42+6.59+8.39+6.12+13.9+12.93+12.59+6.71+12.15+12.81+13.23+13.15+6.98+6.68+14.47+14.54+21.7+20.61+10.3+6.37+10.6+10.56+10.58+10.6+11.16+10.57+10.6</f>
        <v>372.98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3</v>
      </c>
      <c r="E33" s="11">
        <f t="shared" si="2"/>
        <v>6</v>
      </c>
      <c r="F33" s="11" t="s">
        <v>26</v>
      </c>
      <c r="G33" s="11">
        <f>4+7+4+4+4+5+5+4+5+9+5+5+10+5+5+5+5+5+6+8+7+7+11+6+4+3+8+5+10+5+5+10+6</f>
        <v>197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7.398</v>
      </c>
      <c r="D35" s="11">
        <v>0</v>
      </c>
      <c r="E35" s="11">
        <f t="shared" si="2"/>
        <v>7.398</v>
      </c>
      <c r="F35" s="11" t="s">
        <v>14</v>
      </c>
      <c r="G35" s="12">
        <f>10.746+7.857+9.018+7.0875+8.1405+2.484+6.696+7.371+10.0845+4.644+11.718+13.0815+11.151+12.177+11.394+10.6515+7.398</f>
        <v>151.6995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159</v>
      </c>
      <c r="D37" s="12">
        <v>98</v>
      </c>
      <c r="E37" s="11">
        <f t="shared" si="2"/>
        <v>257</v>
      </c>
      <c r="F37" s="11" t="s">
        <v>26</v>
      </c>
      <c r="G37" s="11">
        <f>89+159+208+194+187+193+198+173+188+75+149+107+89+15+16+84+8+8+3+15+2+20+89+197+257</f>
        <v>2723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451</v>
      </c>
      <c r="D38" s="12">
        <v>450</v>
      </c>
      <c r="E38" s="11">
        <f t="shared" si="2"/>
        <v>901</v>
      </c>
      <c r="F38" s="11" t="s">
        <v>26</v>
      </c>
      <c r="G38" s="11">
        <f>990+994+979+1010+1020+1012+1005+942+999+980+965+947+915+945+947+950+764+927+930+936+932+934+940+942+898+954+993+997+852+432+406+523+401+691+826+901</f>
        <v>31779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27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86.86*1.86</f>
        <v>161.5596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3</v>
      </c>
      <c r="D42" s="29">
        <v>2</v>
      </c>
      <c r="E42" s="11">
        <f>D42+C42</f>
        <v>5</v>
      </c>
      <c r="F42" s="11" t="s">
        <v>35</v>
      </c>
      <c r="G42" s="11">
        <f>1+1+1+1+2+2+2+2+2+4+3+3+2+1+2+3+2+3+2+3+2+4+2+2+3+1+5</f>
        <v>61</v>
      </c>
      <c r="H42" s="28"/>
      <c r="I42" s="11">
        <v>11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"/>
  <sheetViews>
    <sheetView zoomScale="85" zoomScaleNormal="85" workbookViewId="0">
      <pane xSplit="2" topLeftCell="C1" activePane="topRight" state="frozen"/>
      <selection/>
      <selection pane="topRight" activeCell="O7" sqref="O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/>
    <col min="15" max="15" width="12.25" style="2" customWidth="1"/>
    <col min="16" max="16384" width="9" style="2"/>
  </cols>
  <sheetData>
    <row r="1" s="1" customFormat="1" ht="42" customHeight="1" spans="1:13">
      <c r="A1" s="4" t="s">
        <v>191</v>
      </c>
      <c r="B1" s="4"/>
      <c r="C1" s="5"/>
      <c r="D1" s="5"/>
      <c r="E1" s="4"/>
      <c r="F1" s="4"/>
      <c r="G1" s="4"/>
      <c r="H1" s="4"/>
      <c r="I1" s="4"/>
      <c r="J1" s="4"/>
      <c r="K1" s="4"/>
      <c r="L1" s="4"/>
      <c r="M1" s="4"/>
    </row>
    <row r="2" s="1" customFormat="1" ht="25" customHeight="1" spans="1:13">
      <c r="A2" s="6"/>
      <c r="B2" s="6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8">
        <v>1</v>
      </c>
      <c r="B3" s="9" t="s">
        <v>13</v>
      </c>
      <c r="C3" s="10">
        <v>0</v>
      </c>
      <c r="D3" s="10">
        <v>3</v>
      </c>
      <c r="E3" s="11">
        <f t="shared" ref="E3:E8" si="0">C3+D3</f>
        <v>3</v>
      </c>
      <c r="F3" s="11" t="s">
        <v>14</v>
      </c>
      <c r="G3" s="11">
        <f>13+12+13.5+14.5+13.5+5+5.5+10.5+11+11.5+9.5+11+10.5+12.5+12.5+9+7+11.5+12+11.5+13.5+14+11.5+9.5+5+14+11+15.5+11+8.5+11+12+14+5.5+1.5+3</f>
        <v>377.5</v>
      </c>
      <c r="H3" s="11">
        <v>303</v>
      </c>
      <c r="I3" s="11">
        <f>H3-G3</f>
        <v>-74.5</v>
      </c>
      <c r="J3" s="11"/>
      <c r="K3" s="11"/>
      <c r="L3" s="11"/>
      <c r="M3" s="12">
        <f>I3/1</f>
        <v>-74.5</v>
      </c>
    </row>
    <row r="4" s="1" customFormat="1" ht="56" customHeight="1" spans="1:13">
      <c r="A4" s="13">
        <v>2</v>
      </c>
      <c r="B4" s="9" t="s">
        <v>15</v>
      </c>
      <c r="C4" s="12">
        <v>2</v>
      </c>
      <c r="D4" s="12"/>
      <c r="E4" s="11">
        <f t="shared" si="0"/>
        <v>2</v>
      </c>
      <c r="F4" s="11" t="s">
        <v>14</v>
      </c>
      <c r="G4" s="11">
        <f>20+14+12+14+14+10+6+8+10+12+8+12+10+12+14+8+8+8+14+12+14+12+14+10+8+8+12+14+14+0+18+12+16+8+4+2</f>
        <v>392</v>
      </c>
      <c r="H4" s="14"/>
      <c r="I4" s="14"/>
      <c r="J4" s="11"/>
      <c r="K4" s="11"/>
      <c r="L4" s="11"/>
      <c r="M4" s="11"/>
    </row>
    <row r="5" s="1" customFormat="1" ht="56" customHeight="1" spans="1:13">
      <c r="A5" s="13">
        <v>3</v>
      </c>
      <c r="B5" s="9" t="s">
        <v>17</v>
      </c>
      <c r="C5" s="12">
        <v>0</v>
      </c>
      <c r="D5" s="12">
        <v>0</v>
      </c>
      <c r="E5" s="11">
        <f t="shared" si="0"/>
        <v>0</v>
      </c>
      <c r="F5" s="11" t="s">
        <v>14</v>
      </c>
      <c r="G5" s="11">
        <f>160+179+142+152+179+46+148+155+107+136+118+171+133+157+75+151+153+179+185+162+172+194+27+167+157+153+181+79+184+0</f>
        <v>4202</v>
      </c>
      <c r="H5" s="14">
        <v>4120</v>
      </c>
      <c r="I5" s="14">
        <f>H5-G5-G7-G6</f>
        <v>-689</v>
      </c>
      <c r="J5" s="11"/>
      <c r="K5" s="11"/>
      <c r="L5" s="11"/>
      <c r="M5" s="11"/>
    </row>
    <row r="6" s="1" customFormat="1" ht="45" customHeight="1" spans="1:13">
      <c r="A6" s="15"/>
      <c r="B6" s="9" t="s">
        <v>18</v>
      </c>
      <c r="C6" s="12">
        <v>0</v>
      </c>
      <c r="D6" s="12">
        <v>0</v>
      </c>
      <c r="E6" s="11">
        <f t="shared" si="0"/>
        <v>0</v>
      </c>
      <c r="F6" s="11" t="s">
        <v>14</v>
      </c>
      <c r="G6" s="11">
        <f>0</f>
        <v>0</v>
      </c>
      <c r="H6" s="16"/>
      <c r="I6" s="16"/>
      <c r="J6" s="11"/>
      <c r="K6" s="11"/>
      <c r="L6" s="11"/>
      <c r="M6" s="11"/>
    </row>
    <row r="7" s="1" customFormat="1" ht="45" customHeight="1" spans="1:13">
      <c r="A7" s="15"/>
      <c r="B7" s="9" t="s">
        <v>19</v>
      </c>
      <c r="C7" s="12">
        <v>0</v>
      </c>
      <c r="D7" s="12">
        <v>0</v>
      </c>
      <c r="E7" s="11">
        <f t="shared" si="0"/>
        <v>0</v>
      </c>
      <c r="F7" s="11" t="s">
        <v>14</v>
      </c>
      <c r="G7" s="11">
        <f>3+5+2+1+4+1+1+6+8+1+1+4+1+4+3+2+3+2+5+1+3+5+3+91+173+67+180+25+2</f>
        <v>607</v>
      </c>
      <c r="H7" s="16"/>
      <c r="I7" s="16"/>
      <c r="J7" s="11"/>
      <c r="K7" s="11"/>
      <c r="L7" s="11"/>
      <c r="M7" s="11"/>
    </row>
    <row r="8" s="1" customFormat="1" ht="52" customHeight="1" spans="1:13">
      <c r="A8" s="15"/>
      <c r="B8" s="9" t="s">
        <v>20</v>
      </c>
      <c r="C8" s="12">
        <v>0</v>
      </c>
      <c r="D8" s="12">
        <v>0</v>
      </c>
      <c r="E8" s="11">
        <f t="shared" si="0"/>
        <v>0</v>
      </c>
      <c r="F8" s="11" t="s">
        <v>14</v>
      </c>
      <c r="G8" s="11">
        <f>1+1+1+1+6+1+1</f>
        <v>12</v>
      </c>
      <c r="H8" s="17"/>
      <c r="I8" s="17"/>
      <c r="J8" s="11"/>
      <c r="K8" s="11"/>
      <c r="L8" s="11"/>
      <c r="M8" s="11"/>
    </row>
    <row r="9" s="1" customFormat="1" ht="22" customHeight="1" spans="1:13">
      <c r="A9" s="13">
        <v>4</v>
      </c>
      <c r="B9" s="18" t="s">
        <v>21</v>
      </c>
      <c r="C9" s="19">
        <v>0</v>
      </c>
      <c r="D9" s="19"/>
      <c r="E9" s="14">
        <f>30.72+31.17+64.3+31.37+30.66+30.83+30.76+31.2+30.58+30.79+69.27+30.95+31.16+30.37+30.32+31.08+31.72+31.63+31.51</f>
        <v>660.39</v>
      </c>
      <c r="F9" s="14" t="s">
        <v>14</v>
      </c>
      <c r="G9" s="14">
        <f>0.273408+0.277413+0.5787+0.276056+0.269808+0.274387+0.26146+0.25272+0.250756+0.240162+0.595722+0.27855+0.283556+0.267256+0.251656+0.27972+0.279136+0.268855+0.270986</f>
        <v>5.730307</v>
      </c>
      <c r="H9" s="14">
        <v>5.6</v>
      </c>
      <c r="I9" s="14">
        <f>H9-G9</f>
        <v>-0.130307</v>
      </c>
      <c r="J9" s="20" t="s">
        <v>22</v>
      </c>
      <c r="K9" s="21">
        <v>0</v>
      </c>
      <c r="L9" s="14">
        <f>C9*K9/100</f>
        <v>0</v>
      </c>
      <c r="M9" s="21"/>
    </row>
    <row r="10" s="1" customFormat="1" ht="35" customHeight="1" spans="1:13">
      <c r="A10" s="22"/>
      <c r="B10" s="23"/>
      <c r="C10" s="24"/>
      <c r="D10" s="24"/>
      <c r="E10" s="17"/>
      <c r="F10" s="17"/>
      <c r="G10" s="17"/>
      <c r="H10" s="17"/>
      <c r="I10" s="17"/>
      <c r="J10" s="11">
        <v>0</v>
      </c>
      <c r="K10" s="25"/>
      <c r="L10" s="17"/>
      <c r="M10" s="25"/>
    </row>
    <row r="11" s="1" customFormat="1" ht="25" customHeight="1" spans="1:13">
      <c r="A11" s="8">
        <v>5</v>
      </c>
      <c r="B11" s="9" t="s">
        <v>23</v>
      </c>
      <c r="C11" s="11">
        <v>2.916</v>
      </c>
      <c r="D11" s="11">
        <v>0</v>
      </c>
      <c r="E11" s="11">
        <f>C11+D11</f>
        <v>2.916</v>
      </c>
      <c r="F11" s="11" t="s">
        <v>14</v>
      </c>
      <c r="G11" s="11">
        <f>6.561+6.885+5.238+5.1975+6.561+2.322+1.863+2.7675+5.67+4.8195+6.1425+8.316+3.024+6.7635+5.1435+3.186+2.511+4.3605+8.2485+6.831+7.56+8.4915+11.1915+3.9555+2.7135+4.3605+8.4645+5.4405+11.745+10.854+3.105+10.5165+4.9275+3.1995+2.916</f>
        <v>201.852</v>
      </c>
      <c r="H11" s="11"/>
      <c r="I11" s="11">
        <f>G11/(G3*0.1865)</f>
        <v>2.86706318910569</v>
      </c>
      <c r="J11" s="11"/>
      <c r="K11" s="11"/>
      <c r="L11" s="11"/>
      <c r="M11" s="26"/>
    </row>
    <row r="12" s="1" customFormat="1" ht="25" customHeight="1" spans="1:13">
      <c r="A12" s="8">
        <v>6</v>
      </c>
      <c r="B12" s="9" t="s">
        <v>24</v>
      </c>
      <c r="C12" s="11">
        <v>16.0816</v>
      </c>
      <c r="D12" s="11">
        <v>0</v>
      </c>
      <c r="E12" s="11">
        <f t="shared" ref="E12:E20" si="1">D12+C12</f>
        <v>16.0816</v>
      </c>
      <c r="F12" s="11" t="s">
        <v>14</v>
      </c>
      <c r="G12" s="11">
        <f>9.9728+12.0888+14.6464+14.8672+14.9224+16.2104+6.808+11.6288+17.1488+13.5056+9.66+12.8616+11.2976+14.2416+14.536+8.096+8.8688+11.8312+13.4504+13.7264+14.1312+17.7376+9.3104+6.532+13.7816+11.4448+11.316+13.7816+9.5864+14.0944+12.9536+15.0696+16.0816</f>
        <v>416.1896</v>
      </c>
      <c r="H12" s="11"/>
      <c r="I12" s="11">
        <f>G12/(G3*0.1865)</f>
        <v>5.91146920441028</v>
      </c>
      <c r="J12" s="11"/>
      <c r="K12" s="11"/>
      <c r="L12" s="11"/>
      <c r="M12" s="26"/>
    </row>
    <row r="13" s="1" customFormat="1" ht="30" customHeight="1" spans="1:13">
      <c r="A13" s="8">
        <v>7</v>
      </c>
      <c r="B13" s="9" t="s">
        <v>25</v>
      </c>
      <c r="C13" s="12">
        <v>0</v>
      </c>
      <c r="D13" s="12">
        <v>145</v>
      </c>
      <c r="E13" s="11">
        <f t="shared" si="1"/>
        <v>145</v>
      </c>
      <c r="F13" s="11" t="s">
        <v>26</v>
      </c>
      <c r="G13" s="11">
        <f>413+417+468+470+422+163+77+376+425+287+382+409+339+445+471+210+337+383+456+400+480+432+389+285+270+404+419+421+315+325+388+359+422+161+9+145</f>
        <v>12574</v>
      </c>
      <c r="H13" s="11"/>
      <c r="I13" s="11"/>
      <c r="J13" s="27"/>
      <c r="K13" s="11"/>
      <c r="L13" s="11"/>
      <c r="M13" s="11"/>
    </row>
    <row r="14" s="1" customFormat="1" ht="25" customHeight="1" spans="1:13">
      <c r="A14" s="8">
        <v>8</v>
      </c>
      <c r="B14" s="9" t="s">
        <v>27</v>
      </c>
      <c r="C14" s="12">
        <v>0</v>
      </c>
      <c r="D14" s="12">
        <v>483.5</v>
      </c>
      <c r="E14" s="11">
        <f t="shared" si="1"/>
        <v>483.5</v>
      </c>
      <c r="F14" s="11" t="s">
        <v>26</v>
      </c>
      <c r="G14" s="11">
        <f>876.24+1066.42+862.71+737.14+1030.59+99.19+540.9+505.27+860.01+956.99+969.28+908.75+915.25+774.92+493.16+1041.1+854.9+884.96+1021.54+770.25+944.73+1040.44+662.47+564.61+892.06+777.13+902.98+1009.31+1032.77+824.12+796.61+490.64+355.84+483.5</f>
        <v>26946.78</v>
      </c>
      <c r="H14" s="11"/>
      <c r="I14" s="11"/>
      <c r="J14" s="11">
        <f>(C14*K14+L14*D14)/1000</f>
        <v>1.310285</v>
      </c>
      <c r="K14" s="11">
        <v>0</v>
      </c>
      <c r="L14" s="11">
        <v>2.71</v>
      </c>
      <c r="M14" s="11"/>
    </row>
    <row r="15" s="1" customFormat="1" ht="25" customHeight="1" spans="1:13">
      <c r="A15" s="8">
        <v>9</v>
      </c>
      <c r="B15" s="9" t="s">
        <v>28</v>
      </c>
      <c r="C15" s="12">
        <v>0</v>
      </c>
      <c r="D15" s="12">
        <v>0</v>
      </c>
      <c r="E15" s="11">
        <f t="shared" si="1"/>
        <v>0</v>
      </c>
      <c r="F15" s="11" t="s">
        <v>14</v>
      </c>
      <c r="G15" s="11">
        <f>0</f>
        <v>0</v>
      </c>
      <c r="H15" s="11"/>
      <c r="I15" s="11"/>
      <c r="J15" s="20" t="s">
        <v>29</v>
      </c>
      <c r="K15" s="27">
        <f>2.6926424+3.3403901+2.7734912+2.3605464+3.116121+0.2965781+1.7018001+1.5643356+2.3665536+2.7447059+2.808016+2.8936942+2.9746547+2.4668352+1.4523014+3.0941292+2.4309305+2.395426+3.0030934+2.2642087+2.8482245+3.2619171+2.2206865+1.8269283+2.919787+2.7262571+2.9549454+2.9855652+2.8271887+2.3774812+2.3149031+1.4130432+0.9678848+1.310285</f>
        <v>81.6955508</v>
      </c>
      <c r="L15" s="11"/>
      <c r="M15" s="11"/>
    </row>
    <row r="16" s="1" customFormat="1" ht="25" customHeight="1" spans="1:13">
      <c r="A16" s="8">
        <v>10</v>
      </c>
      <c r="B16" s="9" t="s">
        <v>30</v>
      </c>
      <c r="C16" s="12">
        <v>0</v>
      </c>
      <c r="D16" s="12">
        <v>16</v>
      </c>
      <c r="E16" s="11">
        <f t="shared" si="1"/>
        <v>16</v>
      </c>
      <c r="F16" s="11" t="s">
        <v>14</v>
      </c>
      <c r="G16" s="11">
        <f>32+28+32+36+32+6+8+28+28+24+24+32+20+32+32+16+20+28+28+28+32+34+26+23+16+30+28+33+28+18+27+31+33+12+16</f>
        <v>901</v>
      </c>
      <c r="H16" s="11"/>
      <c r="I16" s="11">
        <f>G16/(G3*0.1865)</f>
        <v>12.7976137634714</v>
      </c>
      <c r="J16" s="11"/>
      <c r="K16" s="11"/>
      <c r="L16" s="11"/>
      <c r="M16" s="28"/>
    </row>
    <row r="17" s="1" customFormat="1" ht="29" customHeight="1" spans="1:13">
      <c r="A17" s="8">
        <v>11</v>
      </c>
      <c r="B17" s="9" t="s">
        <v>31</v>
      </c>
      <c r="C17" s="29">
        <v>0</v>
      </c>
      <c r="D17" s="29">
        <v>0</v>
      </c>
      <c r="E17" s="11">
        <f t="shared" si="1"/>
        <v>0</v>
      </c>
      <c r="F17" s="11" t="s">
        <v>14</v>
      </c>
      <c r="G17" s="11">
        <f>0.15+0.15+0.15+0.01+0.375+0.15+0.1+0.3</f>
        <v>1.385</v>
      </c>
      <c r="H17" s="28"/>
      <c r="I17" s="28"/>
      <c r="J17" s="28"/>
      <c r="K17" s="28"/>
      <c r="L17" s="28"/>
      <c r="M17" s="11"/>
    </row>
    <row r="18" s="1" customFormat="1" ht="29" customHeight="1" spans="1:13">
      <c r="A18" s="8">
        <v>12</v>
      </c>
      <c r="B18" s="9" t="s">
        <v>32</v>
      </c>
      <c r="C18" s="12">
        <v>0</v>
      </c>
      <c r="D18" s="29">
        <v>2</v>
      </c>
      <c r="E18" s="11">
        <f t="shared" si="1"/>
        <v>2</v>
      </c>
      <c r="F18" s="11" t="s">
        <v>14</v>
      </c>
      <c r="G18" s="11">
        <f>2+2+2+2+0.24+2+2+2+2+2+2+2+2+2+2+2+2+2+2</f>
        <v>36.24</v>
      </c>
      <c r="H18" s="28"/>
      <c r="I18" s="28">
        <f>G18/(G3*0.1865)</f>
        <v>0.514745308310992</v>
      </c>
      <c r="J18" s="28"/>
      <c r="K18" s="28"/>
      <c r="L18" s="28"/>
      <c r="M18" s="11"/>
    </row>
    <row r="19" s="1" customFormat="1" ht="29" customHeight="1" spans="1:13">
      <c r="A19" s="8">
        <v>13</v>
      </c>
      <c r="B19" s="9" t="s">
        <v>33</v>
      </c>
      <c r="C19" s="12">
        <v>0</v>
      </c>
      <c r="D19" s="29">
        <v>1.5</v>
      </c>
      <c r="E19" s="11">
        <f t="shared" si="1"/>
        <v>1.5</v>
      </c>
      <c r="F19" s="11" t="s">
        <v>14</v>
      </c>
      <c r="G19" s="11">
        <f>1.8+1.8+1.8+1.8+1.8+1.8+1.8+1.8+1.8+1.8+1.85+1.5+1.5+1.5+1.5+1.5+1.5+1.5</f>
        <v>30.35</v>
      </c>
      <c r="H19" s="28"/>
      <c r="I19" s="28">
        <f>G19/(G3*0.1865)</f>
        <v>0.431084991921595</v>
      </c>
      <c r="J19" s="28"/>
      <c r="K19" s="28"/>
      <c r="L19" s="28"/>
      <c r="M19" s="11"/>
    </row>
    <row r="20" s="1" customFormat="1" ht="29" customHeight="1" spans="1:13">
      <c r="A20" s="8">
        <v>14</v>
      </c>
      <c r="B20" s="9" t="s">
        <v>34</v>
      </c>
      <c r="C20" s="29">
        <v>0</v>
      </c>
      <c r="D20" s="29">
        <v>5</v>
      </c>
      <c r="E20" s="11">
        <f t="shared" si="1"/>
        <v>5</v>
      </c>
      <c r="F20" s="11" t="s">
        <v>35</v>
      </c>
      <c r="G20" s="11">
        <f>5+5+9+7+4+2+8+9+7+5+9+5+6+6+3+9+3+6+8+8+5+7+5+7+9+7+5+6+6+6+4+5+7+2+5</f>
        <v>210</v>
      </c>
      <c r="H20" s="28"/>
      <c r="I20" s="28"/>
      <c r="J20" s="28"/>
      <c r="K20" s="28"/>
      <c r="L20" s="28"/>
      <c r="M20" s="11"/>
    </row>
    <row r="21" s="1" customFormat="1" ht="29" customHeight="1" spans="1:13">
      <c r="A21" s="8">
        <v>15</v>
      </c>
      <c r="B21" s="9" t="s">
        <v>36</v>
      </c>
      <c r="C21" s="11" t="s">
        <v>171</v>
      </c>
      <c r="D21" s="11" t="s">
        <v>171</v>
      </c>
      <c r="E21" s="11" t="s">
        <v>171</v>
      </c>
      <c r="F21" s="11" t="s">
        <v>35</v>
      </c>
      <c r="G21" s="11">
        <f>1+1+1+2+1+1+2+2+1+1+4+3+2+7+8+3</f>
        <v>40</v>
      </c>
      <c r="H21" s="28"/>
      <c r="I21" s="28"/>
      <c r="J21" s="27" t="s">
        <v>172</v>
      </c>
      <c r="K21" s="28"/>
      <c r="L21" s="28"/>
      <c r="M21" s="11"/>
    </row>
    <row r="22" s="1" customFormat="1" ht="29" customHeight="1" spans="1:13">
      <c r="A22" s="8">
        <v>16</v>
      </c>
      <c r="B22" s="9" t="s">
        <v>37</v>
      </c>
      <c r="C22" s="29">
        <v>0</v>
      </c>
      <c r="D22" s="29">
        <v>77</v>
      </c>
      <c r="E22" s="11">
        <f>D22+C22</f>
        <v>77</v>
      </c>
      <c r="F22" s="11" t="s">
        <v>26</v>
      </c>
      <c r="G22" s="11">
        <f>1223+1182+1152+1139+321+289+1208+1196+796+1155+1080+1206+1156+1090+761+1119+1178+1268+1306+1280+1263+1281+488+1188+1146+1138+1108+761+1221+1166+1186+1179+133+77</f>
        <v>34440</v>
      </c>
      <c r="H22" s="30">
        <v>1</v>
      </c>
      <c r="I22" s="28">
        <f>E22/H22</f>
        <v>77</v>
      </c>
      <c r="J22" s="28"/>
      <c r="K22" s="28"/>
      <c r="L22" s="28"/>
      <c r="M22" s="11"/>
    </row>
    <row r="23" s="1" customFormat="1" ht="29" customHeight="1" spans="1:13">
      <c r="A23" s="8">
        <v>17</v>
      </c>
      <c r="B23" s="9" t="s">
        <v>38</v>
      </c>
      <c r="C23" s="29">
        <v>0</v>
      </c>
      <c r="D23" s="29">
        <v>230</v>
      </c>
      <c r="E23" s="11">
        <f>D23+C23</f>
        <v>230</v>
      </c>
      <c r="F23" s="11" t="s">
        <v>26</v>
      </c>
      <c r="G23" s="11">
        <f>1518+1509+1506+1518+362+251+1348+1505+1018+1419+1323+1490+1467+1415+788+1437+1496+1580+1650+1613+1577+1637+616+1420+1447+1502+1434+816+1529+1456+1491+1463+204+230</f>
        <v>43035</v>
      </c>
      <c r="H23" s="28"/>
      <c r="I23" s="28">
        <f>E23/H22</f>
        <v>230</v>
      </c>
      <c r="J23" s="28"/>
      <c r="K23" s="28"/>
      <c r="L23" s="28"/>
      <c r="M23" s="11"/>
    </row>
    <row r="24" s="1" customFormat="1" ht="29" customHeight="1" spans="1:13">
      <c r="A24" s="8">
        <v>18</v>
      </c>
      <c r="B24" s="9" t="s">
        <v>39</v>
      </c>
      <c r="C24" s="29">
        <v>0</v>
      </c>
      <c r="D24" s="29">
        <v>0</v>
      </c>
      <c r="E24" s="11"/>
      <c r="F24" s="11" t="s">
        <v>40</v>
      </c>
      <c r="G24" s="11"/>
      <c r="H24" s="28"/>
      <c r="I24" s="28"/>
      <c r="J24" s="28"/>
      <c r="K24" s="28"/>
      <c r="L24" s="28"/>
      <c r="M24" s="11"/>
    </row>
    <row r="25" s="1" customFormat="1" ht="149" customHeight="1" spans="1:13">
      <c r="A25" s="8">
        <v>19</v>
      </c>
      <c r="B25" s="31" t="s">
        <v>41</v>
      </c>
      <c r="C25" s="32" t="s">
        <v>173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="1" customFormat="1" ht="130" customHeight="1" spans="1:13">
      <c r="A26" s="8">
        <v>20</v>
      </c>
      <c r="B26" s="33" t="s">
        <v>43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</row>
    <row r="27" s="1" customFormat="1" ht="130" customHeight="1" spans="1:13">
      <c r="A27" s="8">
        <v>21</v>
      </c>
      <c r="B27" s="33" t="s">
        <v>45</v>
      </c>
      <c r="C27" s="34" t="s">
        <v>192</v>
      </c>
      <c r="D27" s="34"/>
      <c r="E27" s="34"/>
      <c r="F27" s="34"/>
      <c r="G27" s="34"/>
      <c r="H27" s="34"/>
      <c r="I27" s="34"/>
      <c r="J27" s="34"/>
      <c r="K27" s="34"/>
      <c r="L27" s="35"/>
      <c r="M27" s="33"/>
    </row>
    <row r="28" s="1" customFormat="1" ht="14" customHeight="1" spans="1:13">
      <c r="C28" s="36"/>
      <c r="D28" s="36"/>
    </row>
    <row r="29" s="1" customFormat="1" ht="25" customHeight="1" spans="1:13">
      <c r="A29" s="4" t="s">
        <v>193</v>
      </c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="1" customFormat="1" ht="25" customHeight="1" spans="1:13">
      <c r="A30" s="6" t="s">
        <v>48</v>
      </c>
      <c r="B30" s="6" t="s">
        <v>49</v>
      </c>
      <c r="C30" s="7" t="s">
        <v>2</v>
      </c>
      <c r="D30" s="7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8">
        <v>1</v>
      </c>
      <c r="B31" s="9" t="s">
        <v>50</v>
      </c>
      <c r="C31" s="12">
        <v>0</v>
      </c>
      <c r="D31" s="12">
        <v>0</v>
      </c>
      <c r="E31" s="11">
        <f t="shared" ref="E31:E39" si="2">D31+C31</f>
        <v>0</v>
      </c>
      <c r="F31" s="11" t="s">
        <v>26</v>
      </c>
      <c r="G31" s="11">
        <f>30.73+23.95+20.63+10+20.45</f>
        <v>105.76</v>
      </c>
      <c r="H31" s="11"/>
      <c r="I31" s="11"/>
      <c r="J31" s="28"/>
      <c r="K31" s="28"/>
      <c r="L31" s="28"/>
      <c r="M31" s="11"/>
    </row>
    <row r="32" s="1" customFormat="1" ht="25" customHeight="1" spans="1:13">
      <c r="A32" s="8">
        <v>2</v>
      </c>
      <c r="B32" s="9" t="s">
        <v>51</v>
      </c>
      <c r="C32" s="12">
        <v>4.51</v>
      </c>
      <c r="D32" s="12">
        <v>3.24</v>
      </c>
      <c r="E32" s="11">
        <f t="shared" si="2"/>
        <v>7.75</v>
      </c>
      <c r="F32" s="11" t="s">
        <v>26</v>
      </c>
      <c r="G32" s="11">
        <f>15.93+12.34+15.8+13.36+10.55+6.69+3.42+6.59+8.39+6.12+13.9+12.93+12.59+6.71+12.15+12.81+13.23+13.15+6.98+6.68+14.47+14.54+21.7+20.61+10.3+6.37+10.6+10.56+10.58+10.6+11.16+10.57+10.6+7.75</f>
        <v>380.73</v>
      </c>
      <c r="H32" s="11"/>
      <c r="I32" s="11"/>
      <c r="J32" s="28"/>
      <c r="K32" s="28"/>
      <c r="L32" s="28"/>
      <c r="M32" s="26"/>
    </row>
    <row r="33" s="1" customFormat="1" ht="25" customHeight="1" spans="1:13">
      <c r="A33" s="8">
        <v>3</v>
      </c>
      <c r="B33" s="9" t="s">
        <v>52</v>
      </c>
      <c r="C33" s="12">
        <v>3</v>
      </c>
      <c r="D33" s="12">
        <v>2</v>
      </c>
      <c r="E33" s="11">
        <f t="shared" si="2"/>
        <v>5</v>
      </c>
      <c r="F33" s="11" t="s">
        <v>26</v>
      </c>
      <c r="G33" s="11">
        <f>4+7+4+4+4+5+5+4+5+9+5+5+10+5+5+5+5+5+6+8+7+7+11+6+4+3+8+5+10+5+5+10+6+5</f>
        <v>202</v>
      </c>
      <c r="H33" s="11"/>
      <c r="I33" s="11"/>
      <c r="J33" s="28"/>
      <c r="K33" s="28"/>
      <c r="L33" s="28"/>
      <c r="M33" s="26"/>
    </row>
    <row r="34" s="1" customFormat="1" ht="25" customHeight="1" spans="1:13">
      <c r="A34" s="8">
        <v>4</v>
      </c>
      <c r="B34" s="9" t="s">
        <v>53</v>
      </c>
      <c r="C34" s="12">
        <v>0</v>
      </c>
      <c r="D34" s="12">
        <v>0</v>
      </c>
      <c r="E34" s="11">
        <f t="shared" si="2"/>
        <v>0</v>
      </c>
      <c r="F34" s="11" t="s">
        <v>26</v>
      </c>
      <c r="G34" s="11">
        <f>0</f>
        <v>0</v>
      </c>
      <c r="H34" s="11"/>
      <c r="I34" s="11"/>
      <c r="J34" s="28"/>
      <c r="K34" s="28"/>
      <c r="L34" s="28"/>
      <c r="M34" s="26"/>
    </row>
    <row r="35" s="1" customFormat="1" ht="25" customHeight="1" spans="1:13">
      <c r="A35" s="8">
        <v>5</v>
      </c>
      <c r="B35" s="9" t="s">
        <v>23</v>
      </c>
      <c r="C35" s="11">
        <v>0</v>
      </c>
      <c r="D35" s="11">
        <v>0</v>
      </c>
      <c r="E35" s="11">
        <f t="shared" si="2"/>
        <v>0</v>
      </c>
      <c r="F35" s="11" t="s">
        <v>14</v>
      </c>
      <c r="G35" s="12">
        <f>10.746+7.857+9.018+7.0875+8.1405+2.484+6.696+7.371+10.0845+4.644+11.718+13.0815+11.151+12.177+11.394+10.6515+7.398</f>
        <v>151.6995</v>
      </c>
      <c r="H35" s="11"/>
      <c r="I35" s="11"/>
      <c r="J35" s="28"/>
      <c r="K35" s="28"/>
      <c r="L35" s="28"/>
      <c r="M35" s="28"/>
    </row>
    <row r="36" s="1" customFormat="1" ht="25" customHeight="1" spans="1:13">
      <c r="A36" s="8">
        <v>6</v>
      </c>
      <c r="B36" s="9" t="s">
        <v>54</v>
      </c>
      <c r="C36" s="12">
        <v>0</v>
      </c>
      <c r="D36" s="12">
        <v>0</v>
      </c>
      <c r="E36" s="11">
        <f t="shared" si="2"/>
        <v>0</v>
      </c>
      <c r="F36" s="11" t="s">
        <v>14</v>
      </c>
      <c r="G36" s="11">
        <f>0+0</f>
        <v>0</v>
      </c>
      <c r="H36" s="11"/>
      <c r="I36" s="11"/>
      <c r="J36" s="28"/>
      <c r="K36" s="28"/>
      <c r="L36" s="28"/>
      <c r="M36" s="28"/>
    </row>
    <row r="37" s="1" customFormat="1" ht="25" customHeight="1" spans="1:13">
      <c r="A37" s="8">
        <v>7</v>
      </c>
      <c r="B37" s="9" t="s">
        <v>55</v>
      </c>
      <c r="C37" s="12">
        <v>37</v>
      </c>
      <c r="D37" s="12">
        <v>199</v>
      </c>
      <c r="E37" s="11">
        <f t="shared" si="2"/>
        <v>236</v>
      </c>
      <c r="F37" s="11" t="s">
        <v>26</v>
      </c>
      <c r="G37" s="11">
        <f>89+159+208+194+187+193+198+173+188+75+149+107+89+15+16+84+8+8+3+15+2+20+89+197+257+236</f>
        <v>2959</v>
      </c>
      <c r="H37" s="11"/>
      <c r="I37" s="11"/>
      <c r="J37" s="37"/>
      <c r="K37" s="28"/>
      <c r="L37" s="11"/>
      <c r="M37" s="28"/>
    </row>
    <row r="38" s="1" customFormat="1" ht="27" customHeight="1" spans="1:13">
      <c r="A38" s="8">
        <v>8</v>
      </c>
      <c r="B38" s="9" t="s">
        <v>56</v>
      </c>
      <c r="C38" s="12">
        <v>245</v>
      </c>
      <c r="D38" s="12">
        <v>497</v>
      </c>
      <c r="E38" s="11">
        <f t="shared" si="2"/>
        <v>742</v>
      </c>
      <c r="F38" s="11" t="s">
        <v>26</v>
      </c>
      <c r="G38" s="11">
        <f>990+994+979+1010+1020+1012+1005+942+999+980+965+947+915+945+947+950+764+927+930+936+932+934+940+942+898+954+993+997+852+432+406+523+401+691+826+901+742</f>
        <v>32521</v>
      </c>
      <c r="H38" s="11"/>
      <c r="I38" s="11"/>
      <c r="J38" s="38"/>
      <c r="K38" s="28"/>
      <c r="L38" s="11"/>
      <c r="M38" s="28"/>
    </row>
    <row r="39" s="1" customFormat="1" ht="25" customHeight="1" spans="1:13">
      <c r="A39" s="8">
        <v>9</v>
      </c>
      <c r="B39" s="9" t="s">
        <v>57</v>
      </c>
      <c r="C39" s="12">
        <v>0</v>
      </c>
      <c r="D39" s="12">
        <v>0</v>
      </c>
      <c r="E39" s="39">
        <f t="shared" si="2"/>
        <v>0</v>
      </c>
      <c r="F39" s="11" t="s">
        <v>26</v>
      </c>
      <c r="G39" s="11">
        <f t="shared" ref="G39:G41" si="3">0</f>
        <v>0</v>
      </c>
      <c r="H39" s="11"/>
      <c r="I39" s="11"/>
      <c r="J39" s="38"/>
      <c r="K39" s="40"/>
      <c r="L39" s="11"/>
      <c r="M39" s="28"/>
    </row>
    <row r="40" s="1" customFormat="1" ht="25" customHeight="1" spans="1:13">
      <c r="A40" s="8">
        <v>10</v>
      </c>
      <c r="B40" s="9" t="s">
        <v>58</v>
      </c>
      <c r="C40" s="11">
        <v>0</v>
      </c>
      <c r="D40" s="11">
        <v>0</v>
      </c>
      <c r="E40" s="11">
        <f>C40+D40</f>
        <v>0</v>
      </c>
      <c r="F40" s="11" t="s">
        <v>26</v>
      </c>
      <c r="G40" s="11">
        <f t="shared" si="3"/>
        <v>0</v>
      </c>
      <c r="H40" s="28"/>
      <c r="I40" s="29">
        <f>750*0</f>
        <v>0</v>
      </c>
      <c r="J40" s="27" t="s">
        <v>176</v>
      </c>
      <c r="K40" s="34"/>
      <c r="L40" s="32"/>
      <c r="M40" s="41"/>
    </row>
    <row r="41" s="1" customFormat="1" ht="25" customHeight="1" spans="1:13">
      <c r="A41" s="8">
        <v>11</v>
      </c>
      <c r="B41" s="9" t="s">
        <v>59</v>
      </c>
      <c r="C41" s="11">
        <v>0</v>
      </c>
      <c r="D41" s="11">
        <v>0</v>
      </c>
      <c r="E41" s="11">
        <f>C41+D41</f>
        <v>0</v>
      </c>
      <c r="F41" s="11" t="s">
        <v>26</v>
      </c>
      <c r="G41" s="11">
        <f t="shared" si="3"/>
        <v>0</v>
      </c>
      <c r="H41" s="28"/>
      <c r="I41" s="29">
        <f>86.86*1.86</f>
        <v>161.5596</v>
      </c>
      <c r="J41" s="32"/>
      <c r="K41" s="34"/>
      <c r="L41" s="32"/>
      <c r="M41" s="41"/>
    </row>
    <row r="42" s="1" customFormat="1" ht="25" customHeight="1" spans="1:13">
      <c r="A42" s="8">
        <v>12</v>
      </c>
      <c r="B42" s="9" t="s">
        <v>60</v>
      </c>
      <c r="C42" s="29">
        <v>1</v>
      </c>
      <c r="D42" s="29">
        <v>2</v>
      </c>
      <c r="E42" s="11">
        <f>D42+C42</f>
        <v>3</v>
      </c>
      <c r="F42" s="11" t="s">
        <v>35</v>
      </c>
      <c r="G42" s="11">
        <f>1+1+1+1+2+2+2+2+2+4+3+3+2+1+2+3+2+3+2+3+2+4+2+2+3+1+5+3</f>
        <v>64</v>
      </c>
      <c r="H42" s="28"/>
      <c r="I42" s="11">
        <v>14</v>
      </c>
      <c r="J42" s="32"/>
      <c r="K42" s="32"/>
      <c r="L42" s="32"/>
      <c r="M42" s="41"/>
    </row>
    <row r="43" s="1" customFormat="1" ht="78" customHeight="1" spans="1:13">
      <c r="A43" s="8">
        <v>13</v>
      </c>
      <c r="B43" s="42" t="s">
        <v>45</v>
      </c>
      <c r="C43" s="43" t="s">
        <v>114</v>
      </c>
      <c r="D43" s="44"/>
      <c r="E43" s="44"/>
      <c r="F43" s="44"/>
      <c r="G43" s="44"/>
      <c r="H43" s="44"/>
      <c r="I43" s="44"/>
      <c r="J43" s="44"/>
      <c r="K43" s="44"/>
      <c r="L43" s="45"/>
      <c r="M43" s="46"/>
    </row>
    <row r="44" s="1" customFormat="1" spans="1:13">
      <c r="A44" s="41" t="s">
        <v>62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s="1" customFormat="1" spans="1:13">
      <c r="A45" s="4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="1" customFormat="1" spans="1:13">
      <c r="A46" s="4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="1" customFormat="1" spans="1:13">
      <c r="A47" s="4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="1" customFormat="1" spans="1:13">
      <c r="A48" s="4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</row>
    <row r="49" s="1" customFormat="1" spans="1:13">
      <c r="A49" s="4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</row>
    <row r="50" s="1" customFormat="1" spans="1:13">
      <c r="A50" s="41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</row>
    <row r="51" s="1" customFormat="1" spans="1:13">
      <c r="A51" s="41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</row>
    <row r="52" s="1" customFormat="1" ht="12" customHeight="1" spans="1:13">
      <c r="A52" s="41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</row>
    <row r="53" s="1" customFormat="1" hidden="1" spans="1:13">
      <c r="A53" s="41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</row>
    <row r="54" s="1" customFormat="1" hidden="1" spans="1:13">
      <c r="A54" s="4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</row>
    <row r="55" s="2" customFormat="1" spans="1:13">
      <c r="A55" s="41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</row>
    <row r="63" s="1" customFormat="1" spans="1:13">
      <c r="C63" s="36"/>
      <c r="D63" s="36"/>
      <c r="L63" s="1" t="s">
        <v>63</v>
      </c>
    </row>
  </sheetData>
  <mergeCells count="23">
    <mergeCell ref="A1:M1"/>
    <mergeCell ref="C25:L25"/>
    <mergeCell ref="C26:L26"/>
    <mergeCell ref="C27:L27"/>
    <mergeCell ref="A29:M29"/>
    <mergeCell ref="C43:L43"/>
    <mergeCell ref="A5:A8"/>
    <mergeCell ref="A9:A10"/>
    <mergeCell ref="A44:A55"/>
    <mergeCell ref="B9:B10"/>
    <mergeCell ref="C9:C10"/>
    <mergeCell ref="D9:D10"/>
    <mergeCell ref="E9:E10"/>
    <mergeCell ref="F9:F10"/>
    <mergeCell ref="G9:G10"/>
    <mergeCell ref="H5:H8"/>
    <mergeCell ref="H9:H10"/>
    <mergeCell ref="I5:I8"/>
    <mergeCell ref="I9:I10"/>
    <mergeCell ref="K9:K10"/>
    <mergeCell ref="L9:L10"/>
    <mergeCell ref="M9:M10"/>
    <mergeCell ref="B44:M5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12.26</vt:lpstr>
      <vt:lpstr>12.27</vt:lpstr>
      <vt:lpstr>12.28</vt:lpstr>
      <vt:lpstr>12.29</vt:lpstr>
      <vt:lpstr>12.30</vt:lpstr>
      <vt:lpstr>12.31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  <vt:lpstr>1.12</vt:lpstr>
      <vt:lpstr>1.13</vt:lpstr>
      <vt:lpstr>1.14</vt:lpstr>
      <vt:lpstr>1.15</vt:lpstr>
      <vt:lpstr>1.16</vt:lpstr>
      <vt:lpstr>1.17</vt:lpstr>
      <vt:lpstr>1.18</vt:lpstr>
      <vt:lpstr>1.19</vt:lpstr>
      <vt:lpstr>1.20</vt:lpstr>
      <vt:lpstr>1.21</vt:lpstr>
      <vt:lpstr>1.22</vt:lpstr>
      <vt:lpstr>1.23</vt:lpstr>
      <vt:lpstr>1.24</vt:lpstr>
      <vt:lpstr>1.25</vt:lpstr>
      <vt:lpstr>1.26</vt:lpstr>
      <vt:lpstr>1.27</vt:lpstr>
      <vt:lpstr>1.28</vt:lpstr>
      <vt:lpstr>1.29</vt:lpstr>
      <vt:lpstr>1.30</vt:lpstr>
      <vt:lpstr>1.31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2026-09-11T07:23:13Z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B3AED734012B491493DC61EFFAB92019_11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