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.xml" ContentType="application/vnd.openxmlformats-officedocument.spreadsheetml.comments+xml"/>
  <Override PartName="/xl/comments30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800" windowHeight="12375" firstSheet="10" activeTab="29"/>
  </bookViews>
  <sheets>
    <sheet name="8.31" sheetId="1" r:id="rId1"/>
    <sheet name="9.1" sheetId="2" r:id="rId2"/>
    <sheet name="9.2" sheetId="3" r:id="rId3"/>
    <sheet name="9.3" sheetId="4" r:id="rId4"/>
    <sheet name="9.4" sheetId="5" r:id="rId5"/>
    <sheet name="9.5" sheetId="6" r:id="rId6"/>
    <sheet name="9.6" sheetId="7" r:id="rId7"/>
    <sheet name="9.7" sheetId="8" r:id="rId8"/>
    <sheet name="9.8" sheetId="9" r:id="rId9"/>
    <sheet name="9.9" sheetId="10" r:id="rId10"/>
    <sheet name="9.10" sheetId="11" r:id="rId11"/>
    <sheet name="9.11" sheetId="12" r:id="rId12"/>
    <sheet name="9.12" sheetId="13" r:id="rId13"/>
    <sheet name="9.13" sheetId="14" r:id="rId14"/>
    <sheet name="9.14" sheetId="15" r:id="rId15"/>
    <sheet name="9.15" sheetId="16" r:id="rId16"/>
    <sheet name="9.16" sheetId="17" r:id="rId17"/>
    <sheet name="9.17" sheetId="18" r:id="rId18"/>
    <sheet name="9.18" sheetId="19" r:id="rId19"/>
    <sheet name="9.19" sheetId="20" r:id="rId20"/>
    <sheet name="9.20" sheetId="21" r:id="rId21"/>
    <sheet name="9.21" sheetId="22" r:id="rId22"/>
    <sheet name="9.22" sheetId="23" r:id="rId23"/>
    <sheet name="9.23" sheetId="24" r:id="rId24"/>
    <sheet name="9.24" sheetId="25" r:id="rId25"/>
    <sheet name="9.25" sheetId="26" r:id="rId26"/>
    <sheet name="9.26" sheetId="27" r:id="rId27"/>
    <sheet name="9.27" sheetId="28" r:id="rId28"/>
    <sheet name="9.28" sheetId="29" r:id="rId29"/>
    <sheet name="9.29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9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10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1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1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1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1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1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1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1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1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19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20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2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2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2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2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2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2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2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2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29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comments30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10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M11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2" authorId="0">
      <text>
        <r>
          <rPr>
            <sz val="10"/>
            <rFont val="宋体"/>
            <charset val="134"/>
          </rPr>
          <t>admin:
消耗</t>
        </r>
      </text>
    </comment>
    <comment ref="H13" authorId="1">
      <text>
        <r>
          <rPr>
            <sz val="10"/>
            <rFont val="宋体"/>
            <charset val="134"/>
          </rPr>
          <t>实际到合成立数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K16" authorId="1">
      <text>
        <r>
          <rPr>
            <sz val="10"/>
            <rFont val="宋体"/>
            <charset val="134"/>
          </rPr>
          <t>金属锂合计</t>
        </r>
      </text>
    </comment>
    <comment ref="M16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碳酸锂消耗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  <comment ref="G24" authorId="1">
      <text>
        <r>
          <rPr>
            <sz val="10"/>
            <rFont val="宋体"/>
            <charset val="134"/>
          </rPr>
          <t xml:space="preserve">从8月22日开是累计计数
</t>
        </r>
      </text>
    </comment>
  </commentList>
</comments>
</file>

<file path=xl/sharedStrings.xml><?xml version="1.0" encoding="utf-8"?>
<sst xmlns="http://schemas.openxmlformats.org/spreadsheetml/2006/main" count="3450" uniqueCount="209">
  <si>
    <t>103车间8月31日生产情况</t>
  </si>
  <si>
    <t>生产情况</t>
  </si>
  <si>
    <t>白班</t>
  </si>
  <si>
    <t>夜班</t>
  </si>
  <si>
    <t>合计</t>
  </si>
  <si>
    <t>单位</t>
  </si>
  <si>
    <t>月累计</t>
  </si>
  <si>
    <t>月计划</t>
  </si>
  <si>
    <t>剩余计划</t>
  </si>
  <si>
    <t>异常原因</t>
  </si>
  <si>
    <t>导致结果</t>
  </si>
  <si>
    <t>处理措施</t>
  </si>
  <si>
    <t>备注</t>
  </si>
  <si>
    <t>碳酸锂(车间产量)</t>
  </si>
  <si>
    <t>t</t>
  </si>
  <si>
    <t>碳酸锂(入库数量)</t>
  </si>
  <si>
    <t>硫酸钠（干料）</t>
  </si>
  <si>
    <t>硫酸钠（湿料）</t>
  </si>
  <si>
    <t>硫酸钠杂质料</t>
  </si>
  <si>
    <t>硫酸钠落地料</t>
  </si>
  <si>
    <t>外售磷酸锂母液</t>
  </si>
  <si>
    <t>外售硫酸锂</t>
  </si>
  <si>
    <t>剩余硫酸锂量（吨）：</t>
  </si>
  <si>
    <t>液碱</t>
  </si>
  <si>
    <t>累计外卖硫酸锂金属量：</t>
  </si>
  <si>
    <t>硫酸</t>
  </si>
  <si>
    <t>除杂退料</t>
  </si>
  <si>
    <t>m³</t>
  </si>
  <si>
    <t>合成前液</t>
  </si>
  <si>
    <t>接102气浮除油后液</t>
  </si>
  <si>
    <t>气浮除油锂金属量：</t>
  </si>
  <si>
    <t>碳酸钠</t>
  </si>
  <si>
    <t>累计接料锂金属量：</t>
  </si>
  <si>
    <t>偏铝酸钠</t>
  </si>
  <si>
    <t>磷酸三钠</t>
  </si>
  <si>
    <t>除氟剂</t>
  </si>
  <si>
    <t>活性炭</t>
  </si>
  <si>
    <t>活性炭渣</t>
  </si>
  <si>
    <t>包</t>
  </si>
  <si>
    <t>冷凝水</t>
  </si>
  <si>
    <t>蒸发累计时长\平均蒸发量：</t>
  </si>
  <si>
    <t>蒸发前液进料累计量</t>
  </si>
  <si>
    <t>103制水的自来水</t>
  </si>
  <si>
    <t>二效氯离子量</t>
  </si>
  <si>
    <t>g/L</t>
  </si>
  <si>
    <t>昨日设备维护完成情况（白班）</t>
  </si>
  <si>
    <t>除杂压滤机、浆洗CD卫生</t>
  </si>
  <si>
    <t>已完成</t>
  </si>
  <si>
    <t>今日设备维护计划（白班）</t>
  </si>
  <si>
    <t>门插销恢复、合成D釜清理</t>
  </si>
  <si>
    <t>昨日设备维护完成情况（夜班）</t>
  </si>
  <si>
    <t>东侧楼梯刷漆、封闭</t>
  </si>
  <si>
    <t>今日设备维护计划（夜班）</t>
  </si>
  <si>
    <t>活性炭区域卫生清理</t>
  </si>
  <si>
    <t>工作安排</t>
  </si>
  <si>
    <t>1、正常生产，前液PH控制7，二效偏低；
2、纯水及104拆浓盐水；
3、承若书签字；
4、遵守纪律，做好交接班、安全和卫生；
5、关注元明粉。</t>
  </si>
  <si>
    <t>需协调事项</t>
  </si>
  <si>
    <t>104车间8月31日生产情况</t>
  </si>
  <si>
    <t>序号</t>
  </si>
  <si>
    <t>内容</t>
  </si>
  <si>
    <t>接102废液</t>
  </si>
  <si>
    <t>接102返镁液</t>
  </si>
  <si>
    <t>接生活废水</t>
  </si>
  <si>
    <t>使用自来水</t>
  </si>
  <si>
    <t>外排水</t>
  </si>
  <si>
    <t>雨水池处理量</t>
  </si>
  <si>
    <t>除COD池处理量</t>
  </si>
  <si>
    <t>磷酸锂包数：</t>
  </si>
  <si>
    <t>钴渣产出</t>
  </si>
  <si>
    <t>104剩余渣总数：</t>
  </si>
  <si>
    <t>计划情况</t>
  </si>
  <si>
    <t>1、下雨应急水池关闭，外排打开；
2、104正常处理废水；
3、关注外排水氨氮。</t>
  </si>
  <si>
    <t>103车间9月1日生产情况</t>
  </si>
  <si>
    <t>清理合成B釜，二次浆洗A</t>
  </si>
  <si>
    <t>4.5米东侧楼梯地面裂缝刷漆</t>
  </si>
  <si>
    <t>1、白班接班开蒸发；
2、夜班正常生产；
3、关注元明粉；
4、遵守纪律，做好交接班、安全和卫生。</t>
  </si>
  <si>
    <t>104车间9月1日生产情况</t>
  </si>
  <si>
    <t>103车间9月2日生产情况</t>
  </si>
  <si>
    <t>联系防腐把4.5米地面混凝土处理了</t>
  </si>
  <si>
    <t>未完成</t>
  </si>
  <si>
    <t>把白天处理的位置刷漆，沸腾床南面保温刷白漆</t>
  </si>
  <si>
    <t>1、正常生产；
2、关注元明粉；
3、厂家预计11点蒸水，学习30吨MVR蒸水；
4、注意纪律、安全和卫生。</t>
  </si>
  <si>
    <t>104车间9月2日生产情况</t>
  </si>
  <si>
    <t>103车间9月3日生产情况</t>
  </si>
  <si>
    <t>电机，操作箱，压滤机，罐及地面卫生、碳酸锂包装机，除磁器卫生</t>
  </si>
  <si>
    <t>岗位责任区卫生清理</t>
  </si>
  <si>
    <t>1、正常生产；
2、岗位卫生，质量检查；
3、安全隐患整改；
4、注意纪律、安全和卫生。</t>
  </si>
  <si>
    <t>104车间9月3日生产情况</t>
  </si>
  <si>
    <t>103车间9月4日生产情况</t>
  </si>
  <si>
    <t>合成A、E釜清理</t>
  </si>
  <si>
    <t>纯水5个罐底部卫生</t>
  </si>
  <si>
    <t>1、正常生产,正常倒料；
2、硫酸锂外卖2车；
3、关注氯根；
4、注意纪律、安全和卫生。</t>
  </si>
  <si>
    <t>104车间9月4日生产情况</t>
  </si>
  <si>
    <t>103车间9月5日生产情况</t>
  </si>
  <si>
    <t>一楼罐区地沟清理</t>
  </si>
  <si>
    <t>卸渣区地沟清理</t>
  </si>
  <si>
    <t>1、正常生产,正常倒料；
2、关注氯根；
3、注意纪律、安全和卫生。</t>
  </si>
  <si>
    <t>104车间9月5日生产情况</t>
  </si>
  <si>
    <t>103车间9月6日生产情况</t>
  </si>
  <si>
    <t>盘干机平台上下清理、质量检测整改</t>
  </si>
  <si>
    <t>碳酸锂包装间卫生清理，包括窗台和角落</t>
  </si>
  <si>
    <t>1、正常生产；
2、关注蒸发没料就退，氯根高了退除杂A；
3、注意纪律、安全和卫生；
4、今天做碳酸锂踢脚线到现场确认。</t>
  </si>
  <si>
    <t>104车间9月6日生产情况</t>
  </si>
  <si>
    <t>103车间9月7日生产情况</t>
  </si>
  <si>
    <t>气浮管路漏液处理；元明粉包装东侧垃圾；清理合成B、D</t>
  </si>
  <si>
    <t>一楼南侧担当区卫生及纯水区域清理</t>
  </si>
  <si>
    <t>1、正常生产，硫酸锂3车；
2、母液罐倒完，处理除重A、B母液管漏点；
3、清理合成釜，注意纪律、安全和卫生；
4、夜班注意没母液就等着。</t>
  </si>
  <si>
    <t>104车间9月7日生产情况</t>
  </si>
  <si>
    <t>103车间9月8日生产情况</t>
  </si>
  <si>
    <t>203罐区泵、人孔处螺丝抹黄油；硫酸锂60吨泵除锈刷漆；硫酸泵操作柱移位</t>
  </si>
  <si>
    <t>盘干机平台刷漆</t>
  </si>
  <si>
    <t>1、正常生产；
2、碳酸锂盘干机平台卫生；
3、注意安全、卫生和纪律；
4、夜班料够就开蒸发。</t>
  </si>
  <si>
    <t>104车间9月8日生产情况</t>
  </si>
  <si>
    <t>103车间9月9日生产情况</t>
  </si>
  <si>
    <t>30吨二楼螺丝抹黄油；换搅拌油封；清理合成C</t>
  </si>
  <si>
    <t>30吨三楼螺丝抹黄油</t>
  </si>
  <si>
    <t>1、正常生产；
2、关注氯根；
3、注意安全、卫生和纪律。</t>
  </si>
  <si>
    <t>104车间9月9日生产情况</t>
  </si>
  <si>
    <t>103车间9月10日生产情况</t>
  </si>
  <si>
    <t>岗位责任区内卫生、除锈、滤布更换、设备保养</t>
  </si>
  <si>
    <t>104车间9月10日生产情况</t>
  </si>
  <si>
    <t>103车间9月11日生产情况</t>
  </si>
  <si>
    <t>MVR前后卫生</t>
  </si>
  <si>
    <t>浆洗区域卫生</t>
  </si>
  <si>
    <t>1、正常生产；
2、关注氯根、保温及纯水施工；
3、注意安全、卫生和纪律；
4、夜班没料就停机，多留冷凝水。</t>
  </si>
  <si>
    <t>104车间9月11日生产情况</t>
  </si>
  <si>
    <t>103车间9月12日生产情况</t>
  </si>
  <si>
    <t>一次浆洗CD、二次浆洗CD 区域清理</t>
  </si>
  <si>
    <t>一次浆洗AB、二次浆洗AB 地沟清理</t>
  </si>
  <si>
    <t>1、正常生产；
2、关注氯根、保温及纯水施工；
3、注意安全、卫生和纪律；
4、关注碳酸锂离心机维修进度。</t>
  </si>
  <si>
    <t>104车间9月12日生产情况</t>
  </si>
  <si>
    <t>103车间9月13日生产情况</t>
  </si>
  <si>
    <t>元明粉区域卫生、更换盘干机上层耙叶</t>
  </si>
  <si>
    <t>104低处除锈刷漆</t>
  </si>
  <si>
    <t>1、正常生产；
2、装硫酸锂，下班纯水保证5米以上；
3、注意安全、卫生和纪律；
4、夜班前液没有就停车，关注氯根。</t>
  </si>
  <si>
    <t>104车间9月13日生产情况</t>
  </si>
  <si>
    <t>103车间9月14日生产情况</t>
  </si>
  <si>
    <t>所有岗位清理卫生，104除锈刷漆</t>
  </si>
  <si>
    <t>1、停车接硫酸、液碱和洗液管路；
2、母液泵出口改管路；
3、冷凝水去多介质断口；
4、所有岗位清理卫生，104除锈刷漆。</t>
  </si>
  <si>
    <t>104车间9月14日生产情况</t>
  </si>
  <si>
    <t>103车间9月15日生产情况</t>
  </si>
  <si>
    <t>母液罐附近卫生，沉锂中转槽卫生</t>
  </si>
  <si>
    <t>2.5米浆化平台卫生</t>
  </si>
  <si>
    <t>1、正常生产；
2、关注母液管路；
3、注意安全、卫生和纪律；
4、所有岗位清理卫生，104除锈刷漆。</t>
  </si>
  <si>
    <t>104车间9月15日生产情况</t>
  </si>
  <si>
    <t>103车间9月16日生产情况</t>
  </si>
  <si>
    <t>除氟A硫酸管有沙眼；除杂B泵故障；司泵区域卫生</t>
  </si>
  <si>
    <t>2.5m和司泵区域卫生</t>
  </si>
  <si>
    <t>1、正常生产；
2、关注硫酸管维修及硫酸锂外卖；
3、注意安全、卫生和纪律；
4、关注氯根。</t>
  </si>
  <si>
    <t>104车间9月16日生产情况</t>
  </si>
  <si>
    <t>103车间9月17日生产情况</t>
  </si>
  <si>
    <t>东门卫生、操作柱等灰尘；雨水池泵去外排池泵出口</t>
  </si>
  <si>
    <t>各岗位蜘蛛网清理</t>
  </si>
  <si>
    <t>1、正常生产,104处理12立以上；
2、各岗位卫生；
3、注意安全、卫生和纪律；
4、104整改刷漆。</t>
  </si>
  <si>
    <t>104车间9月17日生产情况</t>
  </si>
  <si>
    <t>103车间9月18日生产情况</t>
  </si>
  <si>
    <t>清罐合成A釜；104责任区刷漆和卫生</t>
  </si>
  <si>
    <t>104责任区刷漆和卫生</t>
  </si>
  <si>
    <t>1、正常生产；
2、蒸发前液够就开车，最大流量；
3、注意安全、卫生和纪律；
4、关注氯根。</t>
  </si>
  <si>
    <t>104车间9月18日生产情况</t>
  </si>
  <si>
    <t>103车间9月19日生产情况</t>
  </si>
  <si>
    <t>1、正常生产；
2、注意安全、卫生和纪律；
3、关注氯根。</t>
  </si>
  <si>
    <t>104车间9月19日生产情况</t>
  </si>
  <si>
    <t>103车间9月20日生产情况</t>
  </si>
  <si>
    <t>沉锂净化罐底返白；2.5米平台刷漆</t>
  </si>
  <si>
    <t>沉锂净化罐底返白</t>
  </si>
  <si>
    <t>1、正常生产；
2、注意安全、卫生和纪律；
3、关注外排退料时间。</t>
  </si>
  <si>
    <t>104车间9月20日生产情况</t>
  </si>
  <si>
    <t>103车间9月21日生产情况</t>
  </si>
  <si>
    <t>104责任分区域清理</t>
  </si>
  <si>
    <t>1、正常生产；
2、注意安全、卫生和纪律；
3、外排水泵更换，关注纯水原水进料阀；
4、加强设备巡检，有问题及时处理。</t>
  </si>
  <si>
    <t>104车间9月21日生产情况</t>
  </si>
  <si>
    <t>103车间9月22日生产情况</t>
  </si>
  <si>
    <t>1、正常生产，维持蒸发；
2、注意安全、卫生和纪律；
3、关注氯根、纯水箱水位；
4、碳酸锂区域墙护板安装。</t>
  </si>
  <si>
    <t>104车间9月22日生产情况</t>
  </si>
  <si>
    <t>103车间9月23日生产情况</t>
  </si>
  <si>
    <t>配合机修移走磷酸锂压滤机；滤板、滤布放到一起，底子清理干净</t>
  </si>
  <si>
    <t>压滤机处接着清理，一直到不泛白</t>
  </si>
  <si>
    <t>1、正常生产，维持蒸发；
2、注意安全、卫生和纪律；
3、夜班关注氯根，前液不足就停车大退。</t>
  </si>
  <si>
    <t>104车间9月23日生产情况</t>
  </si>
  <si>
    <t>103车间9月24日生产情况</t>
  </si>
  <si>
    <t>8米层压滤机责任区域清理</t>
  </si>
  <si>
    <t>104责任区域清理</t>
  </si>
  <si>
    <t>104车间9月24日生产情况</t>
  </si>
  <si>
    <t>103车间9月25日生产情况</t>
  </si>
  <si>
    <t>新增硫酸管道刷漆</t>
  </si>
  <si>
    <t>责任区域清理</t>
  </si>
  <si>
    <t>1、正常生产，有料开蒸发没料停机；
2、注意安全、卫生和纪律；
3、夜班关注氯根。</t>
  </si>
  <si>
    <t>104车间9月25日生产情况</t>
  </si>
  <si>
    <t>103车间9月26日生产情况</t>
  </si>
  <si>
    <t>压榨水泵区域卫生；外排水泵对口待定</t>
  </si>
  <si>
    <t>1楼卫生区卫生清理</t>
  </si>
  <si>
    <t>1、正常生产；
2、硫酸锂1车，前液不足停机大退
3、注意安全、卫生和纪律；
4、夜班等料开车。</t>
  </si>
  <si>
    <t>104车间9月26日生产情况</t>
  </si>
  <si>
    <t>103车间9月27日生产情况</t>
  </si>
  <si>
    <t>浆洗区域地面刷漆</t>
  </si>
  <si>
    <t>清理压滤机地面</t>
  </si>
  <si>
    <t>1、正常生产，17点压缩机启动完成；
2、硫酸锂外卖；
3、注意安全、卫生和纪律；
4、夜班责任区卫生。</t>
  </si>
  <si>
    <t>104车间9月27日生产情况</t>
  </si>
  <si>
    <t>103车间9月28日生产情况</t>
  </si>
  <si>
    <t>联系机修打开预热器上下堵头，清洗预热器</t>
  </si>
  <si>
    <t>清洗预热器</t>
  </si>
  <si>
    <t>1、蒸发停机退料，元明粉出净；
2、其余工序正常生产；
3、注意安全、卫生和纪律；
4、各岗位责任区卫生。</t>
  </si>
  <si>
    <t>104车间9月28日生产情况</t>
  </si>
  <si>
    <t>103车间9月29日生产情况</t>
  </si>
  <si>
    <t>洗液槽倒空清洗干净</t>
  </si>
  <si>
    <t>无</t>
  </si>
  <si>
    <t>1、完成盘点取样工作；
2、除重除氟蒸发预调正常倒料、清洗蒸发器；
3、活性炭浆、压滤机、合成前液管道清理干净；；
4、各岗位责任区卫生。</t>
  </si>
  <si>
    <t>104车间9月29日生产情况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</si>
</sst>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20"/>
      <color rgb="FF00000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2"/>
      <color rgb="FFFF0000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2" borderId="1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2">
      <alignment vertical="center"/>
    </xf>
    <xf numFmtId="0" fontId="15" fillId="0" borderId="12">
      <alignment vertical="center"/>
    </xf>
    <xf numFmtId="0" fontId="16" fillId="0" borderId="13">
      <alignment vertical="center"/>
    </xf>
    <xf numFmtId="0" fontId="16" fillId="0" borderId="0">
      <alignment vertical="center"/>
    </xf>
    <xf numFmtId="0" fontId="17" fillId="3" borderId="14">
      <alignment vertical="center"/>
    </xf>
    <xf numFmtId="0" fontId="18" fillId="4" borderId="15">
      <alignment vertical="center"/>
    </xf>
    <xf numFmtId="0" fontId="19" fillId="4" borderId="14">
      <alignment vertical="center"/>
    </xf>
    <xf numFmtId="0" fontId="20" fillId="5" borderId="16">
      <alignment vertical="center"/>
    </xf>
    <xf numFmtId="0" fontId="21" fillId="0" borderId="17">
      <alignment vertical="center"/>
    </xf>
    <xf numFmtId="0" fontId="22" fillId="0" borderId="18">
      <alignment vertical="center"/>
    </xf>
    <xf numFmtId="0" fontId="23" fillId="6" borderId="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</cellStyleXfs>
  <cellXfs count="4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0" fillId="0" borderId="3" xfId="0" applyBorder="1" applyAlignment="1"/>
    <xf numFmtId="0" fontId="4" fillId="0" borderId="4" xfId="0" applyFont="1" applyBorder="1" applyAlignment="1">
      <alignment horizontal="center" vertical="center" wrapText="1"/>
    </xf>
    <xf numFmtId="0" fontId="0" fillId="0" borderId="4" xfId="0" applyBorder="1" applyAlignment="1"/>
    <xf numFmtId="49" fontId="4" fillId="0" borderId="2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left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0" fillId="0" borderId="6" xfId="0" applyBorder="1" applyAlignment="1"/>
    <xf numFmtId="0" fontId="0" fillId="0" borderId="7" xfId="0" applyBorder="1" applyAlignment="1"/>
    <xf numFmtId="0" fontId="7" fillId="0" borderId="8" xfId="0" applyFont="1" applyBorder="1" applyAlignment="1">
      <alignment horizontal="left" vertical="center" wrapText="1"/>
    </xf>
    <xf numFmtId="0" fontId="0" fillId="0" borderId="9" xfId="0" applyBorder="1" applyAlignment="1"/>
    <xf numFmtId="0" fontId="0" fillId="0" borderId="10" xfId="0" applyBorder="1" applyAlignment="1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comments" Target="../comments3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M24" sqref="M24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0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3.5</v>
      </c>
      <c r="D3" s="9">
        <v>3</v>
      </c>
      <c r="E3" s="10">
        <f t="shared" ref="E3:E13" si="0">C3+D3</f>
        <v>6.5</v>
      </c>
      <c r="F3" s="10" t="s">
        <v>14</v>
      </c>
      <c r="G3" s="10">
        <f>6.5</f>
        <v>6.5</v>
      </c>
      <c r="H3" s="10">
        <v>256</v>
      </c>
      <c r="I3" s="10">
        <f>H3-G3</f>
        <v>249.5</v>
      </c>
      <c r="J3" s="11"/>
      <c r="K3" s="10"/>
      <c r="L3" s="10"/>
      <c r="M3" s="10">
        <f>I3/29</f>
        <v>8.60344827586207</v>
      </c>
    </row>
    <row r="4" s="1" customFormat="1" ht="35" customHeight="1" spans="1:13">
      <c r="A4" s="12">
        <v>2</v>
      </c>
      <c r="B4" s="8" t="s">
        <v>15</v>
      </c>
      <c r="C4" s="9">
        <v>0</v>
      </c>
      <c r="D4" s="9"/>
      <c r="E4" s="10">
        <f t="shared" si="0"/>
        <v>0</v>
      </c>
      <c r="F4" s="10" t="s">
        <v>14</v>
      </c>
      <c r="G4" s="10">
        <f>0</f>
        <v>0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33</v>
      </c>
      <c r="D5" s="10">
        <v>113</v>
      </c>
      <c r="E5" s="10">
        <f t="shared" si="0"/>
        <v>146</v>
      </c>
      <c r="F5" s="10" t="s">
        <v>14</v>
      </c>
      <c r="G5" s="10">
        <f>146</f>
        <v>146</v>
      </c>
      <c r="H5" s="10">
        <v>3600</v>
      </c>
      <c r="I5" s="10">
        <f>H5-G5-G7-G6</f>
        <v>3453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1</v>
      </c>
      <c r="D7" s="10">
        <v>0</v>
      </c>
      <c r="E7" s="10">
        <f t="shared" si="0"/>
        <v>1</v>
      </c>
      <c r="F7" s="10" t="s">
        <v>14</v>
      </c>
      <c r="G7" s="10">
        <f>1</f>
        <v>1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</f>
        <v>0</v>
      </c>
      <c r="H10" s="13">
        <v>4.72</v>
      </c>
      <c r="I10" s="21">
        <f>H10-K11</f>
        <v>4.72</v>
      </c>
      <c r="J10" s="19" t="s">
        <v>22</v>
      </c>
      <c r="K10" s="10">
        <v>90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6.885</v>
      </c>
      <c r="D11" s="10">
        <v>1.458</v>
      </c>
      <c r="E11" s="10">
        <f t="shared" si="0"/>
        <v>8.343</v>
      </c>
      <c r="F11" s="10" t="s">
        <v>14</v>
      </c>
      <c r="G11" s="10">
        <f>8.343</f>
        <v>8.343</v>
      </c>
      <c r="H11" s="10"/>
      <c r="I11" s="22">
        <f>G11/G3</f>
        <v>1.28353846153846</v>
      </c>
      <c r="J11" s="19" t="s">
        <v>24</v>
      </c>
      <c r="K11" s="20">
        <f>0</f>
        <v>0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9.7888</v>
      </c>
      <c r="D12" s="10">
        <v>0</v>
      </c>
      <c r="E12" s="10">
        <f t="shared" si="0"/>
        <v>9.7888</v>
      </c>
      <c r="F12" s="10" t="s">
        <v>14</v>
      </c>
      <c r="G12" s="10">
        <f>9.7888</f>
        <v>9.7888</v>
      </c>
      <c r="H12" s="10"/>
      <c r="I12" s="22">
        <f>G12/G3</f>
        <v>1.50596923076923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5.4</v>
      </c>
      <c r="D13" s="10">
        <v>198</v>
      </c>
      <c r="E13" s="10">
        <f t="shared" si="0"/>
        <v>203.4</v>
      </c>
      <c r="F13" s="10" t="s">
        <v>27</v>
      </c>
      <c r="G13" s="10">
        <f>203.4</f>
        <v>203.4</v>
      </c>
      <c r="H13" s="10">
        <f>G13*1.05</f>
        <v>213.57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55</v>
      </c>
      <c r="D14" s="10">
        <v>139</v>
      </c>
      <c r="E14" s="10">
        <f t="shared" ref="E14:E24" si="1">D14+C14</f>
        <v>194</v>
      </c>
      <c r="F14" s="10" t="s">
        <v>27</v>
      </c>
      <c r="G14" s="10">
        <f>194</f>
        <v>194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445.51</v>
      </c>
      <c r="D15" s="10">
        <v>606.43</v>
      </c>
      <c r="E15" s="10">
        <f t="shared" si="1"/>
        <v>1051.94</v>
      </c>
      <c r="F15" s="10" t="s">
        <v>27</v>
      </c>
      <c r="G15" s="10">
        <f>1051.94</f>
        <v>1051.94</v>
      </c>
      <c r="H15" s="10"/>
      <c r="I15" s="22"/>
      <c r="J15" s="19" t="s">
        <v>30</v>
      </c>
      <c r="K15" s="10">
        <v>3.08</v>
      </c>
      <c r="L15" s="10">
        <v>2.9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6</v>
      </c>
      <c r="D16" s="10">
        <v>12</v>
      </c>
      <c r="E16" s="10">
        <f t="shared" si="1"/>
        <v>18</v>
      </c>
      <c r="F16" s="10" t="s">
        <v>14</v>
      </c>
      <c r="G16" s="10">
        <f>18</f>
        <v>18</v>
      </c>
      <c r="H16" s="10"/>
      <c r="I16" s="22">
        <f>G16/G3</f>
        <v>2.76923076923077</v>
      </c>
      <c r="J16" s="19" t="s">
        <v>32</v>
      </c>
      <c r="K16" s="20">
        <f>3.1308178</f>
        <v>3.1308178</v>
      </c>
      <c r="L16" s="10"/>
      <c r="M16" s="10">
        <f>(C15*K15+L15*D15)/1000</f>
        <v>3.1308178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</f>
        <v>0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</f>
        <v>0</v>
      </c>
      <c r="H19" s="24"/>
      <c r="I19" s="22">
        <f>G19/G3</f>
        <v>0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</f>
        <v>0</v>
      </c>
      <c r="H20" s="24"/>
      <c r="I20" s="22">
        <f>G20/G3</f>
        <v>0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8</v>
      </c>
      <c r="D21" s="7">
        <v>1</v>
      </c>
      <c r="E21" s="10">
        <f t="shared" si="1"/>
        <v>9</v>
      </c>
      <c r="F21" s="10" t="s">
        <v>38</v>
      </c>
      <c r="G21" s="10">
        <f>9</f>
        <v>9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410</v>
      </c>
      <c r="D22" s="7">
        <v>694</v>
      </c>
      <c r="E22" s="10">
        <f t="shared" si="1"/>
        <v>1104</v>
      </c>
      <c r="F22" s="10" t="s">
        <v>27</v>
      </c>
      <c r="G22" s="10">
        <f>1104</f>
        <v>1104</v>
      </c>
      <c r="H22" s="26"/>
      <c r="I22" s="22">
        <f>E22/M22</f>
        <v>58.1052631578947</v>
      </c>
      <c r="J22" s="19" t="s">
        <v>40</v>
      </c>
      <c r="K22" s="10">
        <f>19</f>
        <v>19</v>
      </c>
      <c r="L22" s="10">
        <f>G22/K22</f>
        <v>58.1052631578947</v>
      </c>
      <c r="M22" s="10">
        <v>19</v>
      </c>
    </row>
    <row r="23" s="1" customFormat="1" ht="25" customHeight="1" spans="1:13">
      <c r="A23" s="12">
        <v>18</v>
      </c>
      <c r="B23" s="8" t="s">
        <v>41</v>
      </c>
      <c r="C23" s="7">
        <v>386</v>
      </c>
      <c r="D23" s="7">
        <v>846</v>
      </c>
      <c r="E23" s="10">
        <f t="shared" si="1"/>
        <v>1232</v>
      </c>
      <c r="F23" s="10" t="s">
        <v>27</v>
      </c>
      <c r="G23" s="10">
        <f>1232</f>
        <v>1232</v>
      </c>
      <c r="H23" s="24"/>
      <c r="I23" s="22">
        <f>E23/M22</f>
        <v>64.8421052631579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167</v>
      </c>
      <c r="D24" s="7">
        <v>236</v>
      </c>
      <c r="E24" s="10">
        <f t="shared" si="1"/>
        <v>403</v>
      </c>
      <c r="F24" s="10" t="s">
        <v>27</v>
      </c>
      <c r="G24" s="10">
        <f>403</f>
        <v>403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0</v>
      </c>
      <c r="D25" s="7">
        <v>26.25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46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49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51</v>
      </c>
      <c r="D32" s="32"/>
      <c r="E32" s="32"/>
      <c r="F32" s="32"/>
      <c r="G32" s="32"/>
      <c r="H32" s="33"/>
      <c r="I32" s="30" t="s">
        <v>47</v>
      </c>
      <c r="J32" s="31" t="s">
        <v>52</v>
      </c>
      <c r="K32" s="28" t="s">
        <v>53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55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E34" s="1"/>
      <c r="J34" s="39"/>
    </row>
    <row r="35" s="1" customFormat="1" ht="45" customHeight="1" spans="1:13">
      <c r="A35" s="5" t="s">
        <v>57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</f>
        <v>0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6.39</v>
      </c>
      <c r="D38" s="10">
        <v>6.35</v>
      </c>
      <c r="E38" s="10">
        <f t="shared" si="2"/>
        <v>12.74</v>
      </c>
      <c r="F38" s="10" t="s">
        <v>27</v>
      </c>
      <c r="G38" s="10">
        <f>12.74</f>
        <v>12.74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9</v>
      </c>
      <c r="D39" s="10">
        <v>8</v>
      </c>
      <c r="E39" s="10">
        <f t="shared" si="2"/>
        <v>17</v>
      </c>
      <c r="F39" s="10" t="s">
        <v>27</v>
      </c>
      <c r="G39" s="10">
        <f>17</f>
        <v>17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10.4355</v>
      </c>
      <c r="D40" s="10">
        <v>0</v>
      </c>
      <c r="E40" s="10">
        <f t="shared" si="2"/>
        <v>10.4355</v>
      </c>
      <c r="F40" s="10" t="s">
        <v>14</v>
      </c>
      <c r="G40" s="10">
        <f>10.4355</f>
        <v>10.4355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45</v>
      </c>
      <c r="D42" s="10">
        <v>218</v>
      </c>
      <c r="E42" s="10">
        <f t="shared" si="2"/>
        <v>263</v>
      </c>
      <c r="F42" s="10" t="s">
        <v>27</v>
      </c>
      <c r="G42" s="10">
        <f>263</f>
        <v>263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495</v>
      </c>
      <c r="D43" s="10">
        <v>490</v>
      </c>
      <c r="E43" s="10">
        <f t="shared" si="2"/>
        <v>985</v>
      </c>
      <c r="F43" s="10" t="s">
        <v>27</v>
      </c>
      <c r="G43" s="10">
        <f>985</f>
        <v>985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</f>
        <v>0</v>
      </c>
      <c r="H44" s="24"/>
      <c r="I44" s="7">
        <v>82.5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</f>
        <v>0</v>
      </c>
      <c r="H45" s="24"/>
      <c r="I45" s="7">
        <v>72.0938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3</v>
      </c>
      <c r="D46" s="7">
        <v>2</v>
      </c>
      <c r="E46" s="10">
        <f>D46+C46</f>
        <v>5</v>
      </c>
      <c r="F46" s="10" t="s">
        <v>38</v>
      </c>
      <c r="G46" s="10">
        <f>5</f>
        <v>5</v>
      </c>
      <c r="H46" s="24"/>
      <c r="I46" s="10"/>
      <c r="J46" s="40"/>
      <c r="K46" s="28"/>
      <c r="L46" s="19" t="s">
        <v>69</v>
      </c>
      <c r="M46" s="7">
        <v>5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E55" s="1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E10" sqref="E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72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6.5</v>
      </c>
      <c r="D3" s="9">
        <v>9.5</v>
      </c>
      <c r="E3" s="10">
        <f t="shared" ref="E3:E13" si="0">C3+D3</f>
        <v>16</v>
      </c>
      <c r="F3" s="10" t="s">
        <v>14</v>
      </c>
      <c r="G3" s="10">
        <f>6.5+16</f>
        <v>22.5</v>
      </c>
      <c r="H3" s="10">
        <v>256</v>
      </c>
      <c r="I3" s="10">
        <f>H3-G3</f>
        <v>233.5</v>
      </c>
      <c r="J3" s="11"/>
      <c r="K3" s="10"/>
      <c r="L3" s="10"/>
      <c r="M3" s="10">
        <f>I3/28</f>
        <v>8.33928571428571</v>
      </c>
    </row>
    <row r="4" s="1" customFormat="1" ht="35" customHeight="1" spans="1:13">
      <c r="A4" s="12">
        <v>2</v>
      </c>
      <c r="B4" s="8" t="s">
        <v>15</v>
      </c>
      <c r="C4" s="9">
        <v>8</v>
      </c>
      <c r="D4" s="9"/>
      <c r="E4" s="10">
        <f t="shared" si="0"/>
        <v>8</v>
      </c>
      <c r="F4" s="10" t="s">
        <v>14</v>
      </c>
      <c r="G4" s="10">
        <f>0+8</f>
        <v>8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109</v>
      </c>
      <c r="D5" s="10">
        <v>21</v>
      </c>
      <c r="E5" s="10">
        <f t="shared" si="0"/>
        <v>130</v>
      </c>
      <c r="F5" s="10" t="s">
        <v>14</v>
      </c>
      <c r="G5" s="10">
        <f>146+130</f>
        <v>276</v>
      </c>
      <c r="H5" s="10">
        <v>3600</v>
      </c>
      <c r="I5" s="10">
        <f>H5-G5-G7-G6</f>
        <v>3321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2</v>
      </c>
      <c r="D7" s="10">
        <v>0</v>
      </c>
      <c r="E7" s="10">
        <f t="shared" si="0"/>
        <v>2</v>
      </c>
      <c r="F7" s="10" t="s">
        <v>14</v>
      </c>
      <c r="G7" s="10">
        <f>1+2</f>
        <v>3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0+0</f>
        <v>0</v>
      </c>
      <c r="H10" s="13">
        <v>4.72</v>
      </c>
      <c r="I10" s="21">
        <f>H10-K11</f>
        <v>4.72</v>
      </c>
      <c r="J10" s="19" t="s">
        <v>22</v>
      </c>
      <c r="K10" s="10">
        <v>90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4.3875</v>
      </c>
      <c r="D11" s="10">
        <v>0</v>
      </c>
      <c r="E11" s="10">
        <f t="shared" si="0"/>
        <v>4.3875</v>
      </c>
      <c r="F11" s="10" t="s">
        <v>14</v>
      </c>
      <c r="G11" s="10">
        <f>8.343+4.3875</f>
        <v>12.7305</v>
      </c>
      <c r="H11" s="10"/>
      <c r="I11" s="22">
        <f>G11/G3</f>
        <v>0.5658</v>
      </c>
      <c r="J11" s="19" t="s">
        <v>24</v>
      </c>
      <c r="K11" s="20">
        <f>0+0</f>
        <v>0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8.9608</v>
      </c>
      <c r="D12" s="10">
        <v>0</v>
      </c>
      <c r="E12" s="10">
        <f t="shared" si="0"/>
        <v>8.9608</v>
      </c>
      <c r="F12" s="10" t="s">
        <v>14</v>
      </c>
      <c r="G12" s="10">
        <f>9.7888+8.9608</f>
        <v>18.7496</v>
      </c>
      <c r="H12" s="10"/>
      <c r="I12" s="22">
        <f>G12/G3</f>
        <v>0.833315555555556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222</v>
      </c>
      <c r="D13" s="10">
        <v>205</v>
      </c>
      <c r="E13" s="10">
        <f t="shared" si="0"/>
        <v>427</v>
      </c>
      <c r="F13" s="10" t="s">
        <v>27</v>
      </c>
      <c r="G13" s="10">
        <f>203.4+427</f>
        <v>630.4</v>
      </c>
      <c r="H13" s="10">
        <f>G13*1.05</f>
        <v>661.92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238</v>
      </c>
      <c r="D14" s="10">
        <v>244</v>
      </c>
      <c r="E14" s="10">
        <f t="shared" ref="E14:E24" si="1">D14+C14</f>
        <v>482</v>
      </c>
      <c r="F14" s="10" t="s">
        <v>27</v>
      </c>
      <c r="G14" s="10">
        <f>194+482</f>
        <v>676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451.32</v>
      </c>
      <c r="D15" s="10">
        <v>559.72</v>
      </c>
      <c r="E15" s="10">
        <f t="shared" si="1"/>
        <v>1011.04</v>
      </c>
      <c r="F15" s="10" t="s">
        <v>27</v>
      </c>
      <c r="G15" s="10">
        <f>1051.94+1011.04</f>
        <v>2062.98</v>
      </c>
      <c r="H15" s="10"/>
      <c r="I15" s="22"/>
      <c r="J15" s="19" t="s">
        <v>30</v>
      </c>
      <c r="K15" s="10">
        <v>2.75</v>
      </c>
      <c r="L15" s="10">
        <v>2.91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18</v>
      </c>
      <c r="D16" s="10">
        <v>15</v>
      </c>
      <c r="E16" s="10">
        <f t="shared" si="1"/>
        <v>33</v>
      </c>
      <c r="F16" s="10" t="s">
        <v>14</v>
      </c>
      <c r="G16" s="10">
        <f>18+33</f>
        <v>51</v>
      </c>
      <c r="H16" s="10"/>
      <c r="I16" s="22">
        <f>G16/G3</f>
        <v>2.26666666666667</v>
      </c>
      <c r="J16" s="19" t="s">
        <v>32</v>
      </c>
      <c r="K16" s="20">
        <f>3.1308178+2.8699152</f>
        <v>6.000733</v>
      </c>
      <c r="L16" s="10"/>
      <c r="M16" s="10">
        <f>(C15*K15+L15*D15)/1000</f>
        <v>2.8699152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</f>
        <v>0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0+2</f>
        <v>2</v>
      </c>
      <c r="H19" s="24"/>
      <c r="I19" s="22">
        <f>G19/G3</f>
        <v>0.0888888888888889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0+2</f>
        <v>2</v>
      </c>
      <c r="H20" s="24"/>
      <c r="I20" s="22">
        <f>G20/G3</f>
        <v>0.0888888888888889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5</v>
      </c>
      <c r="D21" s="7">
        <v>2</v>
      </c>
      <c r="E21" s="10">
        <f t="shared" si="1"/>
        <v>7</v>
      </c>
      <c r="F21" s="10" t="s">
        <v>38</v>
      </c>
      <c r="G21" s="10">
        <f>9+7</f>
        <v>16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684</v>
      </c>
      <c r="D22" s="7">
        <v>165</v>
      </c>
      <c r="E22" s="10">
        <f t="shared" si="1"/>
        <v>849</v>
      </c>
      <c r="F22" s="10" t="s">
        <v>27</v>
      </c>
      <c r="G22" s="10">
        <f>1104+849</f>
        <v>1953</v>
      </c>
      <c r="H22" s="26"/>
      <c r="I22" s="22">
        <f>E22/M22</f>
        <v>65.3076923076923</v>
      </c>
      <c r="J22" s="19" t="s">
        <v>40</v>
      </c>
      <c r="K22" s="10">
        <f>19+13</f>
        <v>32</v>
      </c>
      <c r="L22" s="10">
        <f>G22/K22</f>
        <v>61.03125</v>
      </c>
      <c r="M22" s="10">
        <v>13</v>
      </c>
    </row>
    <row r="23" s="1" customFormat="1" ht="25" customHeight="1" spans="1:13">
      <c r="A23" s="12">
        <v>18</v>
      </c>
      <c r="B23" s="8" t="s">
        <v>41</v>
      </c>
      <c r="C23" s="7">
        <v>871</v>
      </c>
      <c r="D23" s="7">
        <v>264</v>
      </c>
      <c r="E23" s="10">
        <f t="shared" si="1"/>
        <v>1135</v>
      </c>
      <c r="F23" s="10" t="s">
        <v>27</v>
      </c>
      <c r="G23" s="10">
        <f>1232+1135</f>
        <v>2367</v>
      </c>
      <c r="H23" s="24"/>
      <c r="I23" s="22">
        <f>E23/M22</f>
        <v>87.3076923076923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355</v>
      </c>
      <c r="D24" s="7">
        <v>2</v>
      </c>
      <c r="E24" s="10">
        <f t="shared" si="1"/>
        <v>357</v>
      </c>
      <c r="F24" s="10" t="s">
        <v>27</v>
      </c>
      <c r="G24" s="10">
        <f>403+357</f>
        <v>760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28.41</v>
      </c>
      <c r="D25" s="7">
        <v>30.8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49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73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53</v>
      </c>
      <c r="D32" s="32"/>
      <c r="E32" s="32"/>
      <c r="F32" s="32"/>
      <c r="G32" s="32"/>
      <c r="H32" s="33"/>
      <c r="I32" s="30" t="s">
        <v>47</v>
      </c>
      <c r="J32" s="31" t="s">
        <v>52</v>
      </c>
      <c r="K32" s="28" t="s">
        <v>74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75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E34" s="1"/>
      <c r="J34" s="39"/>
    </row>
    <row r="35" s="1" customFormat="1" ht="45" customHeight="1" spans="1:13">
      <c r="A35" s="5" t="s">
        <v>76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</f>
        <v>0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6.34</v>
      </c>
      <c r="D38" s="10">
        <v>6.34</v>
      </c>
      <c r="E38" s="10">
        <f t="shared" si="2"/>
        <v>12.68</v>
      </c>
      <c r="F38" s="10" t="s">
        <v>27</v>
      </c>
      <c r="G38" s="10">
        <f>12.74+12.68</f>
        <v>25.42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12</v>
      </c>
      <c r="D39" s="10">
        <v>8</v>
      </c>
      <c r="E39" s="10">
        <f t="shared" si="2"/>
        <v>20</v>
      </c>
      <c r="F39" s="10" t="s">
        <v>27</v>
      </c>
      <c r="G39" s="10">
        <f>17+20</f>
        <v>37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1.6065</v>
      </c>
      <c r="D40" s="10">
        <v>0</v>
      </c>
      <c r="E40" s="10">
        <f t="shared" si="2"/>
        <v>1.6065</v>
      </c>
      <c r="F40" s="10" t="s">
        <v>14</v>
      </c>
      <c r="G40" s="10">
        <f>10.4355+1.6065</f>
        <v>12.042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46</v>
      </c>
      <c r="D42" s="10">
        <v>289</v>
      </c>
      <c r="E42" s="10">
        <f t="shared" si="2"/>
        <v>335</v>
      </c>
      <c r="F42" s="10" t="s">
        <v>27</v>
      </c>
      <c r="G42" s="10">
        <f>263+335</f>
        <v>598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490</v>
      </c>
      <c r="D43" s="10">
        <v>490</v>
      </c>
      <c r="E43" s="10">
        <f t="shared" si="2"/>
        <v>980</v>
      </c>
      <c r="F43" s="10" t="s">
        <v>27</v>
      </c>
      <c r="G43" s="10">
        <f>985+980</f>
        <v>1965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</f>
        <v>0</v>
      </c>
      <c r="H44" s="24"/>
      <c r="I44" s="7">
        <v>705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</f>
        <v>0</v>
      </c>
      <c r="H45" s="24"/>
      <c r="I45" s="7">
        <v>72.0938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3</v>
      </c>
      <c r="D46" s="7">
        <v>2</v>
      </c>
      <c r="E46" s="10">
        <f>D46+C46</f>
        <v>5</v>
      </c>
      <c r="F46" s="10" t="s">
        <v>38</v>
      </c>
      <c r="G46" s="10">
        <f>5+5</f>
        <v>10</v>
      </c>
      <c r="H46" s="24"/>
      <c r="I46" s="10"/>
      <c r="J46" s="40"/>
      <c r="K46" s="28"/>
      <c r="L46" s="19" t="s">
        <v>69</v>
      </c>
      <c r="M46" s="7">
        <v>2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E55" s="1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M24" sqref="M24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77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2.5</v>
      </c>
      <c r="D3" s="9">
        <v>2</v>
      </c>
      <c r="E3" s="10">
        <f t="shared" ref="E3:E13" si="0">C3+D3</f>
        <v>4.5</v>
      </c>
      <c r="F3" s="10" t="s">
        <v>14</v>
      </c>
      <c r="G3" s="10">
        <f>6.5+16+4.5</f>
        <v>27</v>
      </c>
      <c r="H3" s="10">
        <v>256</v>
      </c>
      <c r="I3" s="10">
        <f>H3-G3</f>
        <v>229</v>
      </c>
      <c r="J3" s="11"/>
      <c r="K3" s="10"/>
      <c r="L3" s="10"/>
      <c r="M3" s="10">
        <f>I3/27</f>
        <v>8.48148148148148</v>
      </c>
    </row>
    <row r="4" s="1" customFormat="1" ht="35" customHeight="1" spans="1:13">
      <c r="A4" s="12">
        <v>2</v>
      </c>
      <c r="B4" s="8" t="s">
        <v>15</v>
      </c>
      <c r="C4" s="9">
        <v>16</v>
      </c>
      <c r="D4" s="9"/>
      <c r="E4" s="10">
        <f t="shared" si="0"/>
        <v>16</v>
      </c>
      <c r="F4" s="10" t="s">
        <v>14</v>
      </c>
      <c r="G4" s="10">
        <f>0+8+16</f>
        <v>24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71</v>
      </c>
      <c r="D5" s="10">
        <v>100</v>
      </c>
      <c r="E5" s="10">
        <f t="shared" si="0"/>
        <v>171</v>
      </c>
      <c r="F5" s="10" t="s">
        <v>14</v>
      </c>
      <c r="G5" s="10">
        <f>146+130+171</f>
        <v>447</v>
      </c>
      <c r="H5" s="10">
        <v>3600</v>
      </c>
      <c r="I5" s="10">
        <f>H5-G5-G7-G6</f>
        <v>3146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4</v>
      </c>
      <c r="D7" s="10">
        <v>0</v>
      </c>
      <c r="E7" s="10">
        <f t="shared" si="0"/>
        <v>4</v>
      </c>
      <c r="F7" s="10" t="s">
        <v>14</v>
      </c>
      <c r="G7" s="10">
        <f>1+2+4</f>
        <v>7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</f>
        <v>0</v>
      </c>
      <c r="H10" s="13">
        <v>4.72</v>
      </c>
      <c r="I10" s="21">
        <f>H10-K11</f>
        <v>4.72</v>
      </c>
      <c r="J10" s="19" t="s">
        <v>22</v>
      </c>
      <c r="K10" s="10">
        <v>180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5.6565</v>
      </c>
      <c r="D11" s="10">
        <v>0</v>
      </c>
      <c r="E11" s="10">
        <f t="shared" si="0"/>
        <v>5.6565</v>
      </c>
      <c r="F11" s="10" t="s">
        <v>14</v>
      </c>
      <c r="G11" s="10">
        <f>8.343+4.3875+5.6565</f>
        <v>18.387</v>
      </c>
      <c r="H11" s="10"/>
      <c r="I11" s="22">
        <f>G11/G3</f>
        <v>0.681</v>
      </c>
      <c r="J11" s="19" t="s">
        <v>24</v>
      </c>
      <c r="K11" s="20">
        <f>0+0+0</f>
        <v>0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16.3208</v>
      </c>
      <c r="D12" s="10">
        <v>0</v>
      </c>
      <c r="E12" s="10">
        <f t="shared" si="0"/>
        <v>16.3208</v>
      </c>
      <c r="F12" s="10" t="s">
        <v>14</v>
      </c>
      <c r="G12" s="10">
        <f>9.7888+8.9608+16.3208</f>
        <v>35.0704</v>
      </c>
      <c r="H12" s="10"/>
      <c r="I12" s="22">
        <f>G12/G3</f>
        <v>1.2989037037037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43</v>
      </c>
      <c r="D13" s="10">
        <v>216</v>
      </c>
      <c r="E13" s="10">
        <f t="shared" si="0"/>
        <v>259</v>
      </c>
      <c r="F13" s="10" t="s">
        <v>27</v>
      </c>
      <c r="G13" s="10">
        <f>203.4+427+259</f>
        <v>889.4</v>
      </c>
      <c r="H13" s="10">
        <f>G13*1.05</f>
        <v>933.87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10</v>
      </c>
      <c r="D14" s="10">
        <v>142</v>
      </c>
      <c r="E14" s="10">
        <f t="shared" ref="E14:E24" si="1">D14+C14</f>
        <v>152</v>
      </c>
      <c r="F14" s="10" t="s">
        <v>27</v>
      </c>
      <c r="G14" s="10">
        <f>194+482+152</f>
        <v>828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410.51</v>
      </c>
      <c r="D15" s="10">
        <v>384.98</v>
      </c>
      <c r="E15" s="10">
        <f t="shared" si="1"/>
        <v>795.49</v>
      </c>
      <c r="F15" s="10" t="s">
        <v>27</v>
      </c>
      <c r="G15" s="10">
        <f>1051.94+1011.04+795.49</f>
        <v>2858.47</v>
      </c>
      <c r="H15" s="10"/>
      <c r="I15" s="22"/>
      <c r="J15" s="19" t="s">
        <v>30</v>
      </c>
      <c r="K15" s="10">
        <v>2.82</v>
      </c>
      <c r="L15" s="10">
        <v>2.76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6</v>
      </c>
      <c r="D16" s="10">
        <v>6</v>
      </c>
      <c r="E16" s="10">
        <f t="shared" si="1"/>
        <v>12</v>
      </c>
      <c r="F16" s="10" t="s">
        <v>14</v>
      </c>
      <c r="G16" s="10">
        <f>18+33+12</f>
        <v>63</v>
      </c>
      <c r="H16" s="10"/>
      <c r="I16" s="22">
        <f>G16/G3</f>
        <v>2.33333333333333</v>
      </c>
      <c r="J16" s="19" t="s">
        <v>32</v>
      </c>
      <c r="K16" s="20">
        <f>3.1308178+2.8699152+2.220183</f>
        <v>8.220916</v>
      </c>
      <c r="L16" s="10"/>
      <c r="M16" s="10">
        <f>(C15*K15+L15*D15)/1000</f>
        <v>2.220183</v>
      </c>
    </row>
    <row r="17" s="1" customFormat="1" ht="25" customHeight="1" spans="1:13">
      <c r="A17" s="12">
        <v>12</v>
      </c>
      <c r="B17" s="8" t="s">
        <v>33</v>
      </c>
      <c r="C17" s="7">
        <v>0.0375</v>
      </c>
      <c r="D17" s="7">
        <v>0.0875</v>
      </c>
      <c r="E17" s="10">
        <f t="shared" si="1"/>
        <v>0.125</v>
      </c>
      <c r="F17" s="10" t="s">
        <v>14</v>
      </c>
      <c r="G17" s="10">
        <f>0+0+0.125</f>
        <v>0.125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</f>
        <v>2</v>
      </c>
      <c r="H19" s="24"/>
      <c r="I19" s="22">
        <f>G19/G3</f>
        <v>0.0740740740740741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</f>
        <v>2</v>
      </c>
      <c r="H20" s="24"/>
      <c r="I20" s="22">
        <f>G20/G3</f>
        <v>0.0740740740740741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5</v>
      </c>
      <c r="D21" s="7">
        <v>1</v>
      </c>
      <c r="E21" s="10">
        <f t="shared" si="1"/>
        <v>6</v>
      </c>
      <c r="F21" s="10" t="s">
        <v>38</v>
      </c>
      <c r="G21" s="10">
        <f>9+7+6</f>
        <v>22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630</v>
      </c>
      <c r="D22" s="7">
        <v>683</v>
      </c>
      <c r="E22" s="10">
        <f t="shared" si="1"/>
        <v>1313</v>
      </c>
      <c r="F22" s="10" t="s">
        <v>27</v>
      </c>
      <c r="G22" s="10">
        <f>1104+849+1313</f>
        <v>3266</v>
      </c>
      <c r="H22" s="26"/>
      <c r="I22" s="22">
        <f>E22/M22</f>
        <v>57.0869565217391</v>
      </c>
      <c r="J22" s="19" t="s">
        <v>40</v>
      </c>
      <c r="K22" s="10">
        <f>19+13+23</f>
        <v>55</v>
      </c>
      <c r="L22" s="10">
        <f>G22/K22</f>
        <v>59.3818181818182</v>
      </c>
      <c r="M22" s="10">
        <v>23</v>
      </c>
    </row>
    <row r="23" s="1" customFormat="1" ht="25" customHeight="1" spans="1:13">
      <c r="A23" s="12">
        <v>18</v>
      </c>
      <c r="B23" s="8" t="s">
        <v>41</v>
      </c>
      <c r="C23" s="7">
        <v>560</v>
      </c>
      <c r="D23" s="7">
        <v>883</v>
      </c>
      <c r="E23" s="10">
        <f t="shared" si="1"/>
        <v>1443</v>
      </c>
      <c r="F23" s="10" t="s">
        <v>27</v>
      </c>
      <c r="G23" s="10">
        <f>1232+1135+1443</f>
        <v>3810</v>
      </c>
      <c r="H23" s="24"/>
      <c r="I23" s="22">
        <f>E23/M22</f>
        <v>62.7391304347826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340</v>
      </c>
      <c r="D24" s="7">
        <v>180</v>
      </c>
      <c r="E24" s="10">
        <f t="shared" si="1"/>
        <v>520</v>
      </c>
      <c r="F24" s="10" t="s">
        <v>27</v>
      </c>
      <c r="G24" s="10">
        <f>403+357+520</f>
        <v>1280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0</v>
      </c>
      <c r="D25" s="7">
        <v>31.14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73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78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74</v>
      </c>
      <c r="D32" s="32"/>
      <c r="E32" s="32"/>
      <c r="F32" s="32"/>
      <c r="G32" s="32"/>
      <c r="H32" s="33"/>
      <c r="I32" s="30" t="s">
        <v>79</v>
      </c>
      <c r="J32" s="31" t="s">
        <v>52</v>
      </c>
      <c r="K32" s="28" t="s">
        <v>80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81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82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12</v>
      </c>
      <c r="D37" s="10">
        <v>0</v>
      </c>
      <c r="E37" s="10">
        <f t="shared" ref="E37:E43" si="2">D37+C37</f>
        <v>12</v>
      </c>
      <c r="F37" s="10" t="s">
        <v>27</v>
      </c>
      <c r="G37" s="10">
        <f>0+0+12</f>
        <v>12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6.4</v>
      </c>
      <c r="D38" s="10">
        <v>6.34</v>
      </c>
      <c r="E38" s="10">
        <f t="shared" si="2"/>
        <v>12.74</v>
      </c>
      <c r="F38" s="10" t="s">
        <v>27</v>
      </c>
      <c r="G38" s="10">
        <f>12.74+12.68+12.74</f>
        <v>38.16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5</v>
      </c>
      <c r="D39" s="10">
        <v>10</v>
      </c>
      <c r="E39" s="10">
        <f t="shared" si="2"/>
        <v>15</v>
      </c>
      <c r="F39" s="10" t="s">
        <v>27</v>
      </c>
      <c r="G39" s="10">
        <f>17+20+15</f>
        <v>52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14.9715</v>
      </c>
      <c r="D40" s="10">
        <v>0</v>
      </c>
      <c r="E40" s="10">
        <f t="shared" si="2"/>
        <v>14.9715</v>
      </c>
      <c r="F40" s="10" t="s">
        <v>14</v>
      </c>
      <c r="G40" s="10">
        <f>10.4355+1.6065+14.9715</f>
        <v>27.0135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97</v>
      </c>
      <c r="D42" s="10">
        <v>182</v>
      </c>
      <c r="E42" s="10">
        <f t="shared" si="2"/>
        <v>279</v>
      </c>
      <c r="F42" s="10" t="s">
        <v>27</v>
      </c>
      <c r="G42" s="10">
        <f>263+335+279</f>
        <v>877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495</v>
      </c>
      <c r="D43" s="10">
        <v>495</v>
      </c>
      <c r="E43" s="10">
        <f t="shared" si="2"/>
        <v>990</v>
      </c>
      <c r="F43" s="10" t="s">
        <v>27</v>
      </c>
      <c r="G43" s="10">
        <f>985+980+990</f>
        <v>2955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</f>
        <v>0</v>
      </c>
      <c r="H44" s="24"/>
      <c r="I44" s="7">
        <v>675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</f>
        <v>0</v>
      </c>
      <c r="H45" s="24"/>
      <c r="I45" s="7">
        <v>71.2252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3</v>
      </c>
      <c r="D46" s="7">
        <v>3</v>
      </c>
      <c r="E46" s="10">
        <f>D46+C46</f>
        <v>6</v>
      </c>
      <c r="F46" s="10" t="s">
        <v>38</v>
      </c>
      <c r="G46" s="10">
        <f>5+5+6</f>
        <v>16</v>
      </c>
      <c r="H46" s="24"/>
      <c r="I46" s="10"/>
      <c r="J46" s="40"/>
      <c r="K46" s="28"/>
      <c r="L46" s="19" t="s">
        <v>69</v>
      </c>
      <c r="M46" s="7">
        <v>6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M24" sqref="M24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83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9.5</v>
      </c>
      <c r="D3" s="9">
        <v>6.5</v>
      </c>
      <c r="E3" s="10">
        <f t="shared" ref="E3:E13" si="0">C3+D3</f>
        <v>16</v>
      </c>
      <c r="F3" s="10" t="s">
        <v>14</v>
      </c>
      <c r="G3" s="10">
        <f>6.5+16+4.5+16</f>
        <v>43</v>
      </c>
      <c r="H3" s="10">
        <v>256</v>
      </c>
      <c r="I3" s="10">
        <f>H3-G3</f>
        <v>213</v>
      </c>
      <c r="J3" s="11"/>
      <c r="K3" s="10"/>
      <c r="L3" s="10"/>
      <c r="M3" s="10">
        <f>I3/26</f>
        <v>8.19230769230769</v>
      </c>
    </row>
    <row r="4" s="1" customFormat="1" ht="35" customHeight="1" spans="1:13">
      <c r="A4" s="12">
        <v>2</v>
      </c>
      <c r="B4" s="8" t="s">
        <v>15</v>
      </c>
      <c r="C4" s="9">
        <v>4</v>
      </c>
      <c r="D4" s="9"/>
      <c r="E4" s="10">
        <f t="shared" si="0"/>
        <v>4</v>
      </c>
      <c r="F4" s="10" t="s">
        <v>14</v>
      </c>
      <c r="G4" s="10">
        <f>0+8+16+4</f>
        <v>28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51</v>
      </c>
      <c r="D5" s="10">
        <v>0</v>
      </c>
      <c r="E5" s="10">
        <f t="shared" si="0"/>
        <v>51</v>
      </c>
      <c r="F5" s="10" t="s">
        <v>14</v>
      </c>
      <c r="G5" s="10">
        <f>146+130+171+51</f>
        <v>498</v>
      </c>
      <c r="H5" s="10">
        <v>3600</v>
      </c>
      <c r="I5" s="10">
        <f>H5-G5-G7-G6</f>
        <v>3094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1</v>
      </c>
      <c r="D7" s="10">
        <v>0</v>
      </c>
      <c r="E7" s="10">
        <f t="shared" si="0"/>
        <v>1</v>
      </c>
      <c r="F7" s="10" t="s">
        <v>14</v>
      </c>
      <c r="G7" s="10">
        <f>1+2+4+1</f>
        <v>8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31.2</v>
      </c>
      <c r="D10" s="13"/>
      <c r="E10" s="10">
        <f t="shared" si="0"/>
        <v>31.2</v>
      </c>
      <c r="F10" s="13" t="s">
        <v>14</v>
      </c>
      <c r="G10" s="10">
        <f>0+0+0+31.2</f>
        <v>31.2</v>
      </c>
      <c r="H10" s="13">
        <v>4.72</v>
      </c>
      <c r="I10" s="21">
        <f>H10-K11</f>
        <v>4.44856</v>
      </c>
      <c r="J10" s="19" t="s">
        <v>22</v>
      </c>
      <c r="K10" s="10">
        <v>120</v>
      </c>
      <c r="L10" s="10">
        <v>0.87</v>
      </c>
      <c r="M10" s="20"/>
    </row>
    <row r="11" s="1" customFormat="1" ht="25" customHeight="1" spans="1:13">
      <c r="A11" s="12">
        <v>6</v>
      </c>
      <c r="B11" s="8" t="s">
        <v>23</v>
      </c>
      <c r="C11" s="10">
        <v>4.9815</v>
      </c>
      <c r="D11" s="10">
        <v>0</v>
      </c>
      <c r="E11" s="10">
        <f t="shared" si="0"/>
        <v>4.9815</v>
      </c>
      <c r="F11" s="10" t="s">
        <v>14</v>
      </c>
      <c r="G11" s="10">
        <f>8.343+4.3875+5.6565+4.9815</f>
        <v>23.3685</v>
      </c>
      <c r="H11" s="10"/>
      <c r="I11" s="22">
        <f>G11/G3</f>
        <v>0.543453488372093</v>
      </c>
      <c r="J11" s="19" t="s">
        <v>24</v>
      </c>
      <c r="K11" s="20">
        <f>0+0+0+0.27144</f>
        <v>0.27144</v>
      </c>
      <c r="L11" s="10"/>
      <c r="M11" s="10">
        <f>C10*L10/100</f>
        <v>0.27144</v>
      </c>
    </row>
    <row r="12" s="1" customFormat="1" ht="25" customHeight="1" spans="1:13">
      <c r="A12" s="12">
        <v>7</v>
      </c>
      <c r="B12" s="8" t="s">
        <v>25</v>
      </c>
      <c r="C12" s="10">
        <v>8.188</v>
      </c>
      <c r="D12" s="10">
        <v>0</v>
      </c>
      <c r="E12" s="10">
        <f t="shared" si="0"/>
        <v>8.188</v>
      </c>
      <c r="F12" s="10" t="s">
        <v>14</v>
      </c>
      <c r="G12" s="10">
        <f>9.7888+8.9608+16.3208+8.188</f>
        <v>43.2584</v>
      </c>
      <c r="H12" s="10"/>
      <c r="I12" s="22">
        <f>G12/G3</f>
        <v>1.00600930232558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283</v>
      </c>
      <c r="D13" s="10">
        <v>32</v>
      </c>
      <c r="E13" s="10">
        <f t="shared" si="0"/>
        <v>315</v>
      </c>
      <c r="F13" s="10" t="s">
        <v>27</v>
      </c>
      <c r="G13" s="10">
        <f>203.4+427+259+315</f>
        <v>1204.4</v>
      </c>
      <c r="H13" s="10">
        <f>G13*1.05</f>
        <v>1264.62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262</v>
      </c>
      <c r="D14" s="10">
        <v>112</v>
      </c>
      <c r="E14" s="10">
        <f t="shared" ref="E14:E24" si="1">D14+C14</f>
        <v>374</v>
      </c>
      <c r="F14" s="10" t="s">
        <v>27</v>
      </c>
      <c r="G14" s="10">
        <f>194+482+152+374</f>
        <v>1202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138.08</v>
      </c>
      <c r="D15" s="10">
        <v>405.82</v>
      </c>
      <c r="E15" s="10">
        <f t="shared" si="1"/>
        <v>543.9</v>
      </c>
      <c r="F15" s="10" t="s">
        <v>27</v>
      </c>
      <c r="G15" s="10">
        <f>1051.94+1011.04+795.49+543.9</f>
        <v>3402.37</v>
      </c>
      <c r="H15" s="10"/>
      <c r="I15" s="22"/>
      <c r="J15" s="19" t="s">
        <v>30</v>
      </c>
      <c r="K15" s="10">
        <v>2.77</v>
      </c>
      <c r="L15" s="10">
        <v>2.64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21</v>
      </c>
      <c r="D16" s="10">
        <v>9</v>
      </c>
      <c r="E16" s="10">
        <f t="shared" si="1"/>
        <v>30</v>
      </c>
      <c r="F16" s="10" t="s">
        <v>14</v>
      </c>
      <c r="G16" s="10">
        <f>18+33+12+30</f>
        <v>93</v>
      </c>
      <c r="H16" s="10"/>
      <c r="I16" s="22">
        <f>G16/G3</f>
        <v>2.16279069767442</v>
      </c>
      <c r="J16" s="19" t="s">
        <v>32</v>
      </c>
      <c r="K16" s="20">
        <f>3.1308178+2.8699152+2.220183+1.4538464</f>
        <v>9.6747624</v>
      </c>
      <c r="L16" s="10"/>
      <c r="M16" s="10">
        <f>(C15*K15+L15*D15)/1000</f>
        <v>1.4538464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0+0+0.125+0</f>
        <v>0.125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0+2+0+2</f>
        <v>4</v>
      </c>
      <c r="H19" s="24"/>
      <c r="I19" s="22">
        <f>G19/G3</f>
        <v>0.0930232558139535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0+2+0+2</f>
        <v>4</v>
      </c>
      <c r="H20" s="24"/>
      <c r="I20" s="22">
        <f>G20/G3</f>
        <v>0.0930232558139535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0</v>
      </c>
      <c r="D21" s="7">
        <v>0</v>
      </c>
      <c r="E21" s="10">
        <f t="shared" si="1"/>
        <v>0</v>
      </c>
      <c r="F21" s="10" t="s">
        <v>38</v>
      </c>
      <c r="G21" s="10">
        <f>9+7+6+0</f>
        <v>22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390</v>
      </c>
      <c r="D22" s="7">
        <v>95</v>
      </c>
      <c r="E22" s="10">
        <f t="shared" si="1"/>
        <v>485</v>
      </c>
      <c r="F22" s="10" t="s">
        <v>27</v>
      </c>
      <c r="G22" s="10">
        <f>1104+849+1313+485</f>
        <v>3751</v>
      </c>
      <c r="H22" s="26"/>
      <c r="I22" s="22">
        <f>E22/M22</f>
        <v>74.6153846153846</v>
      </c>
      <c r="J22" s="19" t="s">
        <v>40</v>
      </c>
      <c r="K22" s="10">
        <f>19+13+23+6.5</f>
        <v>61.5</v>
      </c>
      <c r="L22" s="10">
        <f>G22/K22</f>
        <v>60.9918699186992</v>
      </c>
      <c r="M22" s="10">
        <v>6.5</v>
      </c>
    </row>
    <row r="23" s="1" customFormat="1" ht="25" customHeight="1" spans="1:13">
      <c r="A23" s="12">
        <v>18</v>
      </c>
      <c r="B23" s="8" t="s">
        <v>41</v>
      </c>
      <c r="C23" s="7">
        <v>397</v>
      </c>
      <c r="D23" s="7">
        <v>195</v>
      </c>
      <c r="E23" s="10">
        <f t="shared" si="1"/>
        <v>592</v>
      </c>
      <c r="F23" s="10" t="s">
        <v>27</v>
      </c>
      <c r="G23" s="10">
        <f>1232+1135+1443+592</f>
        <v>4402</v>
      </c>
      <c r="H23" s="24"/>
      <c r="I23" s="22">
        <f>E23/M22</f>
        <v>91.0769230769231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150</v>
      </c>
      <c r="D24" s="7">
        <v>219</v>
      </c>
      <c r="E24" s="10">
        <f t="shared" si="1"/>
        <v>369</v>
      </c>
      <c r="F24" s="10" t="s">
        <v>27</v>
      </c>
      <c r="G24" s="10">
        <f>403+357+520+369</f>
        <v>1649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27.39</v>
      </c>
      <c r="D25" s="7">
        <v>0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78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84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80</v>
      </c>
      <c r="D32" s="32"/>
      <c r="E32" s="32"/>
      <c r="F32" s="32"/>
      <c r="G32" s="32"/>
      <c r="H32" s="33"/>
      <c r="I32" s="30" t="s">
        <v>79</v>
      </c>
      <c r="J32" s="31" t="s">
        <v>52</v>
      </c>
      <c r="K32" s="28" t="s">
        <v>85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86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87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20</v>
      </c>
      <c r="D37" s="10">
        <v>0</v>
      </c>
      <c r="E37" s="10">
        <f t="shared" ref="E37:E43" si="2">D37+C37</f>
        <v>20</v>
      </c>
      <c r="F37" s="10" t="s">
        <v>27</v>
      </c>
      <c r="G37" s="10">
        <f>0+0+12+20</f>
        <v>32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6.35</v>
      </c>
      <c r="D38" s="10">
        <v>6.31</v>
      </c>
      <c r="E38" s="10">
        <f t="shared" si="2"/>
        <v>12.66</v>
      </c>
      <c r="F38" s="10" t="s">
        <v>27</v>
      </c>
      <c r="G38" s="10">
        <f>12.74+12.68+12.74+12.66</f>
        <v>50.82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0</v>
      </c>
      <c r="D39" s="10">
        <v>10</v>
      </c>
      <c r="E39" s="10">
        <f t="shared" si="2"/>
        <v>10</v>
      </c>
      <c r="F39" s="10" t="s">
        <v>27</v>
      </c>
      <c r="G39" s="10">
        <f>17+20+15+10</f>
        <v>62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0</v>
      </c>
      <c r="D40" s="10">
        <v>0</v>
      </c>
      <c r="E40" s="10">
        <f t="shared" si="2"/>
        <v>0</v>
      </c>
      <c r="F40" s="10" t="s">
        <v>14</v>
      </c>
      <c r="G40" s="10">
        <f>10.4355+1.6065+14.9715+0</f>
        <v>27.0135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232</v>
      </c>
      <c r="D42" s="10">
        <v>233</v>
      </c>
      <c r="E42" s="10">
        <f t="shared" si="2"/>
        <v>465</v>
      </c>
      <c r="F42" s="10" t="s">
        <v>27</v>
      </c>
      <c r="G42" s="10">
        <f>263+335+279+465</f>
        <v>1342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494</v>
      </c>
      <c r="D43" s="10">
        <v>491</v>
      </c>
      <c r="E43" s="10">
        <f t="shared" si="2"/>
        <v>985</v>
      </c>
      <c r="F43" s="10" t="s">
        <v>27</v>
      </c>
      <c r="G43" s="10">
        <f>985+980+990+985</f>
        <v>3940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</f>
        <v>0</v>
      </c>
      <c r="H44" s="24"/>
      <c r="I44" s="7">
        <v>585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</f>
        <v>0</v>
      </c>
      <c r="H45" s="24"/>
      <c r="I45" s="7">
        <v>72.9624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2</v>
      </c>
      <c r="D46" s="7">
        <v>5</v>
      </c>
      <c r="E46" s="10">
        <f>D46+C46</f>
        <v>7</v>
      </c>
      <c r="F46" s="10" t="s">
        <v>38</v>
      </c>
      <c r="G46" s="10">
        <f>5+5+6+7</f>
        <v>23</v>
      </c>
      <c r="H46" s="24"/>
      <c r="I46" s="10"/>
      <c r="J46" s="40"/>
      <c r="K46" s="28"/>
      <c r="L46" s="19" t="s">
        <v>69</v>
      </c>
      <c r="M46" s="7">
        <v>13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M24" sqref="M24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88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0</v>
      </c>
      <c r="D3" s="9">
        <v>1</v>
      </c>
      <c r="E3" s="10">
        <f t="shared" ref="E3:E13" si="0">C3+D3</f>
        <v>1</v>
      </c>
      <c r="F3" s="10" t="s">
        <v>14</v>
      </c>
      <c r="G3" s="10">
        <f>6.5+16+4.5+16+1</f>
        <v>44</v>
      </c>
      <c r="H3" s="10">
        <v>256</v>
      </c>
      <c r="I3" s="10">
        <f>H3-G3</f>
        <v>212</v>
      </c>
      <c r="J3" s="11"/>
      <c r="K3" s="10"/>
      <c r="L3" s="10"/>
      <c r="M3" s="10">
        <f>I3/25</f>
        <v>8.48</v>
      </c>
    </row>
    <row r="4" s="1" customFormat="1" ht="35" customHeight="1" spans="1:13">
      <c r="A4" s="12">
        <v>2</v>
      </c>
      <c r="B4" s="8" t="s">
        <v>15</v>
      </c>
      <c r="C4" s="9">
        <v>16</v>
      </c>
      <c r="D4" s="9"/>
      <c r="E4" s="10">
        <f t="shared" si="0"/>
        <v>16</v>
      </c>
      <c r="F4" s="10" t="s">
        <v>14</v>
      </c>
      <c r="G4" s="10">
        <f>0+8+16+4+16</f>
        <v>44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27</v>
      </c>
      <c r="D5" s="10">
        <v>98</v>
      </c>
      <c r="E5" s="10">
        <f t="shared" si="0"/>
        <v>125</v>
      </c>
      <c r="F5" s="10" t="s">
        <v>14</v>
      </c>
      <c r="G5" s="10">
        <f>146+130+171+51+125</f>
        <v>623</v>
      </c>
      <c r="H5" s="10">
        <v>3600</v>
      </c>
      <c r="I5" s="10">
        <f>H5-G5-G7-G6</f>
        <v>2956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13</v>
      </c>
      <c r="E7" s="10">
        <f t="shared" si="0"/>
        <v>13</v>
      </c>
      <c r="F7" s="10" t="s">
        <v>14</v>
      </c>
      <c r="G7" s="10">
        <f>1+2+4+1+13</f>
        <v>21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31.46</v>
      </c>
      <c r="D10" s="13"/>
      <c r="E10" s="10">
        <f t="shared" si="0"/>
        <v>31.46</v>
      </c>
      <c r="F10" s="13" t="s">
        <v>14</v>
      </c>
      <c r="G10" s="10">
        <f>0+0+0+31.2+31.46</f>
        <v>62.66</v>
      </c>
      <c r="H10" s="13">
        <v>4.72</v>
      </c>
      <c r="I10" s="21">
        <f>H10-K11</f>
        <v>4.18115</v>
      </c>
      <c r="J10" s="19" t="s">
        <v>22</v>
      </c>
      <c r="K10" s="10">
        <v>120</v>
      </c>
      <c r="L10" s="10">
        <v>0.85</v>
      </c>
      <c r="M10" s="20"/>
    </row>
    <row r="11" s="1" customFormat="1" ht="25" customHeight="1" spans="1:13">
      <c r="A11" s="12">
        <v>6</v>
      </c>
      <c r="B11" s="8" t="s">
        <v>23</v>
      </c>
      <c r="C11" s="10">
        <v>4.7385</v>
      </c>
      <c r="D11" s="10">
        <v>0</v>
      </c>
      <c r="E11" s="10">
        <f t="shared" si="0"/>
        <v>4.7385</v>
      </c>
      <c r="F11" s="10" t="s">
        <v>14</v>
      </c>
      <c r="G11" s="10">
        <f>8.343+4.3875+5.6565+4.9815+4.7385</f>
        <v>28.107</v>
      </c>
      <c r="H11" s="10"/>
      <c r="I11" s="22">
        <f>G11/G3</f>
        <v>0.638795454545454</v>
      </c>
      <c r="J11" s="19" t="s">
        <v>24</v>
      </c>
      <c r="K11" s="20">
        <f>0+0+0+0.27144+0.26741</f>
        <v>0.53885</v>
      </c>
      <c r="L11" s="10"/>
      <c r="M11" s="10">
        <f>C10*L10/100</f>
        <v>0.26741</v>
      </c>
    </row>
    <row r="12" s="1" customFormat="1" ht="25" customHeight="1" spans="1:13">
      <c r="A12" s="12">
        <v>7</v>
      </c>
      <c r="B12" s="8" t="s">
        <v>25</v>
      </c>
      <c r="C12" s="10">
        <v>5.52</v>
      </c>
      <c r="D12" s="10">
        <v>0</v>
      </c>
      <c r="E12" s="10">
        <f t="shared" si="0"/>
        <v>5.52</v>
      </c>
      <c r="F12" s="10" t="s">
        <v>14</v>
      </c>
      <c r="G12" s="10">
        <f>9.7888+8.9608+16.3208+8.188+5.52</f>
        <v>48.7784</v>
      </c>
      <c r="H12" s="10"/>
      <c r="I12" s="22">
        <f>G12/G3</f>
        <v>1.1086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7</v>
      </c>
      <c r="D13" s="10">
        <v>104</v>
      </c>
      <c r="E13" s="10">
        <f t="shared" si="0"/>
        <v>111</v>
      </c>
      <c r="F13" s="10" t="s">
        <v>27</v>
      </c>
      <c r="G13" s="10">
        <f>203.4+427+259+315+111</f>
        <v>1315.4</v>
      </c>
      <c r="H13" s="10">
        <f>G13*1.05</f>
        <v>1381.17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0</v>
      </c>
      <c r="D14" s="10">
        <v>40</v>
      </c>
      <c r="E14" s="10">
        <f t="shared" ref="E14:E24" si="1">D14+C14</f>
        <v>40</v>
      </c>
      <c r="F14" s="10" t="s">
        <v>27</v>
      </c>
      <c r="G14" s="10">
        <f>194+482+152+374+40</f>
        <v>1242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378.65</v>
      </c>
      <c r="D15" s="10">
        <v>429.31</v>
      </c>
      <c r="E15" s="10">
        <f t="shared" si="1"/>
        <v>807.96</v>
      </c>
      <c r="F15" s="10" t="s">
        <v>27</v>
      </c>
      <c r="G15" s="10">
        <f>1051.94+1011.04+795.49+543.9+807.96</f>
        <v>4210.33</v>
      </c>
      <c r="H15" s="10"/>
      <c r="I15" s="22"/>
      <c r="J15" s="19" t="s">
        <v>30</v>
      </c>
      <c r="K15" s="10">
        <v>2.66</v>
      </c>
      <c r="L15" s="10">
        <v>2.46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0</v>
      </c>
      <c r="D16" s="10">
        <v>3</v>
      </c>
      <c r="E16" s="10">
        <f t="shared" si="1"/>
        <v>3</v>
      </c>
      <c r="F16" s="10" t="s">
        <v>14</v>
      </c>
      <c r="G16" s="10">
        <f>18+33+12+30+3</f>
        <v>96</v>
      </c>
      <c r="H16" s="10"/>
      <c r="I16" s="22">
        <f>G16/G3</f>
        <v>2.18181818181818</v>
      </c>
      <c r="J16" s="19" t="s">
        <v>32</v>
      </c>
      <c r="K16" s="20">
        <f>3.1308178+2.8699152+2.220183+1.4538464+2.0633116</f>
        <v>11.738074</v>
      </c>
      <c r="L16" s="10"/>
      <c r="M16" s="10">
        <f>(C15*K15+L15*D15)/1000</f>
        <v>2.0633116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0.075</v>
      </c>
      <c r="E17" s="10">
        <f t="shared" si="1"/>
        <v>0.075</v>
      </c>
      <c r="F17" s="10" t="s">
        <v>14</v>
      </c>
      <c r="G17" s="10">
        <f>0+0+0.125+0+0.075</f>
        <v>0.2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</f>
        <v>4</v>
      </c>
      <c r="H19" s="24"/>
      <c r="I19" s="22">
        <f>G19/G3</f>
        <v>0.0909090909090909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</f>
        <v>4</v>
      </c>
      <c r="H20" s="24"/>
      <c r="I20" s="22">
        <f>G20/G3</f>
        <v>0.0909090909090909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5</v>
      </c>
      <c r="D21" s="7">
        <v>4</v>
      </c>
      <c r="E21" s="10">
        <f t="shared" si="1"/>
        <v>9</v>
      </c>
      <c r="F21" s="10" t="s">
        <v>38</v>
      </c>
      <c r="G21" s="10">
        <f>9+7+6+0+9</f>
        <v>31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367</v>
      </c>
      <c r="D22" s="7">
        <v>686</v>
      </c>
      <c r="E22" s="10">
        <f t="shared" si="1"/>
        <v>1053</v>
      </c>
      <c r="F22" s="10" t="s">
        <v>27</v>
      </c>
      <c r="G22" s="10">
        <f>1104+849+1313+485+1053</f>
        <v>4804</v>
      </c>
      <c r="H22" s="26"/>
      <c r="I22" s="22">
        <f>E22/M22</f>
        <v>60.1714285714286</v>
      </c>
      <c r="J22" s="19" t="s">
        <v>40</v>
      </c>
      <c r="K22" s="10">
        <f>19+13+23+6.5+17.5</f>
        <v>79</v>
      </c>
      <c r="L22" s="10">
        <f>G22/K22</f>
        <v>60.8101265822785</v>
      </c>
      <c r="M22" s="10">
        <v>17.5</v>
      </c>
    </row>
    <row r="23" s="1" customFormat="1" ht="25" customHeight="1" spans="1:13">
      <c r="A23" s="12">
        <v>18</v>
      </c>
      <c r="B23" s="8" t="s">
        <v>41</v>
      </c>
      <c r="C23" s="7">
        <v>342</v>
      </c>
      <c r="D23" s="7">
        <v>668</v>
      </c>
      <c r="E23" s="10">
        <f t="shared" si="1"/>
        <v>1010</v>
      </c>
      <c r="F23" s="10" t="s">
        <v>27</v>
      </c>
      <c r="G23" s="10">
        <f>1232+1135+1443+592+1010</f>
        <v>5412</v>
      </c>
      <c r="H23" s="24"/>
      <c r="I23" s="22">
        <f>E23/M22</f>
        <v>57.7142857142857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314</v>
      </c>
      <c r="D24" s="7">
        <v>287</v>
      </c>
      <c r="E24" s="10">
        <f t="shared" si="1"/>
        <v>601</v>
      </c>
      <c r="F24" s="10" t="s">
        <v>27</v>
      </c>
      <c r="G24" s="10">
        <f>403+357+520+369+601</f>
        <v>2250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0</v>
      </c>
      <c r="D25" s="7">
        <v>0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84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89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85</v>
      </c>
      <c r="D32" s="32"/>
      <c r="E32" s="32"/>
      <c r="F32" s="32"/>
      <c r="G32" s="32"/>
      <c r="H32" s="33"/>
      <c r="I32" s="30" t="s">
        <v>47</v>
      </c>
      <c r="J32" s="31" t="s">
        <v>52</v>
      </c>
      <c r="K32" s="28" t="s">
        <v>90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91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92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0+0+12+20+0</f>
        <v>32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6.31</v>
      </c>
      <c r="D38" s="10">
        <v>6.38</v>
      </c>
      <c r="E38" s="10">
        <f t="shared" si="2"/>
        <v>12.69</v>
      </c>
      <c r="F38" s="10" t="s">
        <v>27</v>
      </c>
      <c r="G38" s="10">
        <f>12.74+12.68+12.74+12.66+12.69</f>
        <v>63.51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17</v>
      </c>
      <c r="D39" s="10">
        <v>11</v>
      </c>
      <c r="E39" s="10">
        <f t="shared" si="2"/>
        <v>28</v>
      </c>
      <c r="F39" s="10" t="s">
        <v>27</v>
      </c>
      <c r="G39" s="10">
        <f>17+20+15+10+28</f>
        <v>90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7.5195</v>
      </c>
      <c r="D40" s="10">
        <v>0</v>
      </c>
      <c r="E40" s="10">
        <f t="shared" si="2"/>
        <v>7.5195</v>
      </c>
      <c r="F40" s="10" t="s">
        <v>14</v>
      </c>
      <c r="G40" s="10">
        <f>10.4355+1.6065+14.9715+0+7.5195</f>
        <v>34.533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146</v>
      </c>
      <c r="D42" s="10">
        <v>91</v>
      </c>
      <c r="E42" s="10">
        <f t="shared" si="2"/>
        <v>237</v>
      </c>
      <c r="F42" s="10" t="s">
        <v>27</v>
      </c>
      <c r="G42" s="10">
        <f>263+335+279+465+237</f>
        <v>1579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486</v>
      </c>
      <c r="D43" s="10">
        <v>486</v>
      </c>
      <c r="E43" s="10">
        <f t="shared" si="2"/>
        <v>972</v>
      </c>
      <c r="F43" s="10" t="s">
        <v>27</v>
      </c>
      <c r="G43" s="10">
        <f>985+980+990+985+972</f>
        <v>4912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</f>
        <v>0</v>
      </c>
      <c r="H44" s="24"/>
      <c r="I44" s="7">
        <v>247.5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</f>
        <v>0</v>
      </c>
      <c r="H45" s="24"/>
      <c r="I45" s="7">
        <v>72.9624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3</v>
      </c>
      <c r="D46" s="7">
        <v>5</v>
      </c>
      <c r="E46" s="10">
        <f>D46+C46</f>
        <v>8</v>
      </c>
      <c r="F46" s="10" t="s">
        <v>38</v>
      </c>
      <c r="G46" s="10">
        <f>5+5+6+7+8</f>
        <v>31</v>
      </c>
      <c r="H46" s="24"/>
      <c r="I46" s="10"/>
      <c r="J46" s="40"/>
      <c r="K46" s="28"/>
      <c r="L46" s="19" t="s">
        <v>69</v>
      </c>
      <c r="M46" s="7">
        <v>11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M24" sqref="M24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93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4</v>
      </c>
      <c r="D3" s="9">
        <v>8.5</v>
      </c>
      <c r="E3" s="10">
        <f t="shared" ref="E3:E13" si="0">C3+D3</f>
        <v>12.5</v>
      </c>
      <c r="F3" s="10" t="s">
        <v>14</v>
      </c>
      <c r="G3" s="10">
        <f>6.5+16+4.5+16+1+12.5</f>
        <v>56.5</v>
      </c>
      <c r="H3" s="10">
        <v>256</v>
      </c>
      <c r="I3" s="10">
        <f>H3-G3</f>
        <v>199.5</v>
      </c>
      <c r="J3" s="11"/>
      <c r="K3" s="10"/>
      <c r="L3" s="10"/>
      <c r="M3" s="10">
        <f>I3/24</f>
        <v>8.3125</v>
      </c>
    </row>
    <row r="4" s="1" customFormat="1" ht="35" customHeight="1" spans="1:13">
      <c r="A4" s="12">
        <v>2</v>
      </c>
      <c r="B4" s="8" t="s">
        <v>15</v>
      </c>
      <c r="C4" s="9">
        <v>0</v>
      </c>
      <c r="D4" s="9"/>
      <c r="E4" s="10">
        <f t="shared" si="0"/>
        <v>0</v>
      </c>
      <c r="F4" s="10" t="s">
        <v>14</v>
      </c>
      <c r="G4" s="10">
        <f>0+8+16+4+16+0</f>
        <v>44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92</v>
      </c>
      <c r="D5" s="10">
        <v>74</v>
      </c>
      <c r="E5" s="10">
        <f t="shared" si="0"/>
        <v>166</v>
      </c>
      <c r="F5" s="10" t="s">
        <v>14</v>
      </c>
      <c r="G5" s="10">
        <f>146+130+171+51+125+166</f>
        <v>789</v>
      </c>
      <c r="H5" s="10">
        <v>3600</v>
      </c>
      <c r="I5" s="10">
        <f>H5-G5-G7-G6</f>
        <v>2787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3</v>
      </c>
      <c r="E7" s="10">
        <f t="shared" si="0"/>
        <v>3</v>
      </c>
      <c r="F7" s="10" t="s">
        <v>14</v>
      </c>
      <c r="G7" s="10">
        <f>1+2+4+1+13+3</f>
        <v>24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62.53</v>
      </c>
      <c r="D10" s="13"/>
      <c r="E10" s="10">
        <f t="shared" si="0"/>
        <v>62.53</v>
      </c>
      <c r="F10" s="13" t="s">
        <v>14</v>
      </c>
      <c r="G10" s="10">
        <f>0+0+0+31.2+31.46+62.53</f>
        <v>125.19</v>
      </c>
      <c r="H10" s="13">
        <v>4.72</v>
      </c>
      <c r="I10" s="21">
        <f>H10-K11</f>
        <v>3.643392</v>
      </c>
      <c r="J10" s="19" t="s">
        <v>22</v>
      </c>
      <c r="K10" s="10">
        <v>60</v>
      </c>
      <c r="L10" s="10">
        <v>0.86</v>
      </c>
      <c r="M10" s="20"/>
    </row>
    <row r="11" s="1" customFormat="1" ht="25" customHeight="1" spans="1:13">
      <c r="A11" s="12">
        <v>6</v>
      </c>
      <c r="B11" s="8" t="s">
        <v>23</v>
      </c>
      <c r="C11" s="10">
        <v>4.509</v>
      </c>
      <c r="D11" s="10">
        <v>0</v>
      </c>
      <c r="E11" s="10">
        <f t="shared" si="0"/>
        <v>4.509</v>
      </c>
      <c r="F11" s="10" t="s">
        <v>14</v>
      </c>
      <c r="G11" s="10">
        <f>8.343+4.3875+5.6565+4.9815+4.7385+4.509</f>
        <v>32.616</v>
      </c>
      <c r="H11" s="10"/>
      <c r="I11" s="22">
        <f>G11/G3</f>
        <v>0.577274336283186</v>
      </c>
      <c r="J11" s="19" t="s">
        <v>24</v>
      </c>
      <c r="K11" s="20">
        <f>0+0+0+0.27144+0.26741+0.537758</f>
        <v>1.076608</v>
      </c>
      <c r="L11" s="10"/>
      <c r="M11" s="10">
        <f>C10*L10/100</f>
        <v>0.537758</v>
      </c>
    </row>
    <row r="12" s="1" customFormat="1" ht="25" customHeight="1" spans="1:13">
      <c r="A12" s="12">
        <v>7</v>
      </c>
      <c r="B12" s="8" t="s">
        <v>25</v>
      </c>
      <c r="C12" s="10">
        <v>7.4336</v>
      </c>
      <c r="D12" s="10">
        <v>0</v>
      </c>
      <c r="E12" s="10">
        <f t="shared" si="0"/>
        <v>7.4336</v>
      </c>
      <c r="F12" s="10" t="s">
        <v>14</v>
      </c>
      <c r="G12" s="10">
        <f>9.7888+8.9608+16.3208+8.188+5.52+7.4336</f>
        <v>56.212</v>
      </c>
      <c r="H12" s="10"/>
      <c r="I12" s="22">
        <f>G12/G3</f>
        <v>0.994902654867257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205</v>
      </c>
      <c r="D13" s="10">
        <v>234</v>
      </c>
      <c r="E13" s="10">
        <f t="shared" si="0"/>
        <v>439</v>
      </c>
      <c r="F13" s="10" t="s">
        <v>27</v>
      </c>
      <c r="G13" s="10">
        <f>203.4+427+259+315+111+439</f>
        <v>1754.4</v>
      </c>
      <c r="H13" s="10">
        <f>G13*1.05</f>
        <v>1842.12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192</v>
      </c>
      <c r="D14" s="10">
        <v>238</v>
      </c>
      <c r="E14" s="10">
        <f t="shared" ref="E14:E24" si="1">D14+C14</f>
        <v>430</v>
      </c>
      <c r="F14" s="10" t="s">
        <v>27</v>
      </c>
      <c r="G14" s="10">
        <f>194+482+152+374+40+430</f>
        <v>1672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309.36</v>
      </c>
      <c r="D15" s="10">
        <v>433.34</v>
      </c>
      <c r="E15" s="10">
        <f t="shared" si="1"/>
        <v>742.7</v>
      </c>
      <c r="F15" s="10" t="s">
        <v>27</v>
      </c>
      <c r="G15" s="10">
        <f>1051.94+1011.04+795.49+543.9+807.96+742.7</f>
        <v>4953.03</v>
      </c>
      <c r="H15" s="10"/>
      <c r="I15" s="22"/>
      <c r="J15" s="19" t="s">
        <v>30</v>
      </c>
      <c r="K15" s="10">
        <v>2.78</v>
      </c>
      <c r="L15" s="10">
        <v>2.78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12</v>
      </c>
      <c r="D16" s="10">
        <v>18</v>
      </c>
      <c r="E16" s="10">
        <f t="shared" si="1"/>
        <v>30</v>
      </c>
      <c r="F16" s="10" t="s">
        <v>14</v>
      </c>
      <c r="G16" s="10">
        <f>18+33+12+30+3+30</f>
        <v>126</v>
      </c>
      <c r="H16" s="10"/>
      <c r="I16" s="22">
        <f>G16/G3</f>
        <v>2.23008849557522</v>
      </c>
      <c r="J16" s="19" t="s">
        <v>32</v>
      </c>
      <c r="K16" s="20">
        <f>3.1308178+2.8699152+2.220183+1.4538464+2.0633116+2.064706</f>
        <v>13.80278</v>
      </c>
      <c r="L16" s="10"/>
      <c r="M16" s="10">
        <f>(C15*K15+L15*D15)/1000</f>
        <v>2.064706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0+0+0.125+0+0.075+0</f>
        <v>0.2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0+2+0+2+0+2</f>
        <v>6</v>
      </c>
      <c r="H19" s="24"/>
      <c r="I19" s="22">
        <f>G19/G3</f>
        <v>0.106194690265487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0+2+0+2+0+2</f>
        <v>6</v>
      </c>
      <c r="H20" s="24"/>
      <c r="I20" s="22">
        <f>G20/G3</f>
        <v>0.106194690265487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0</v>
      </c>
      <c r="D21" s="7">
        <v>5</v>
      </c>
      <c r="E21" s="10">
        <f t="shared" si="1"/>
        <v>5</v>
      </c>
      <c r="F21" s="10" t="s">
        <v>38</v>
      </c>
      <c r="G21" s="10">
        <f>9+7+6+0+9+5</f>
        <v>36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696</v>
      </c>
      <c r="D22" s="7">
        <v>708</v>
      </c>
      <c r="E22" s="10">
        <f t="shared" si="1"/>
        <v>1404</v>
      </c>
      <c r="F22" s="10" t="s">
        <v>27</v>
      </c>
      <c r="G22" s="10">
        <f>1104+849+1313+485+1053+1404</f>
        <v>6208</v>
      </c>
      <c r="H22" s="26"/>
      <c r="I22" s="22">
        <f>E22/M22</f>
        <v>58.5</v>
      </c>
      <c r="J22" s="19" t="s">
        <v>40</v>
      </c>
      <c r="K22" s="10">
        <f>19+13+23+6.5+17.5+24</f>
        <v>103</v>
      </c>
      <c r="L22" s="10">
        <f>G22/K22</f>
        <v>60.2718446601942</v>
      </c>
      <c r="M22" s="10">
        <v>24</v>
      </c>
    </row>
    <row r="23" s="1" customFormat="1" ht="25" customHeight="1" spans="1:13">
      <c r="A23" s="12">
        <v>18</v>
      </c>
      <c r="B23" s="8" t="s">
        <v>41</v>
      </c>
      <c r="C23" s="7">
        <v>854</v>
      </c>
      <c r="D23" s="7">
        <v>826</v>
      </c>
      <c r="E23" s="10">
        <f t="shared" si="1"/>
        <v>1680</v>
      </c>
      <c r="F23" s="10" t="s">
        <v>27</v>
      </c>
      <c r="G23" s="10">
        <f>1232+1135+1443+592+1010+1680</f>
        <v>7092</v>
      </c>
      <c r="H23" s="24"/>
      <c r="I23" s="22">
        <f>E23/M22</f>
        <v>70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286</v>
      </c>
      <c r="D24" s="7">
        <v>118</v>
      </c>
      <c r="E24" s="10">
        <f t="shared" si="1"/>
        <v>404</v>
      </c>
      <c r="F24" s="10" t="s">
        <v>27</v>
      </c>
      <c r="G24" s="10">
        <f>403+357+520+369+601+404</f>
        <v>2654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30.45</v>
      </c>
      <c r="D25" s="7">
        <v>26.7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89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94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90</v>
      </c>
      <c r="D32" s="32"/>
      <c r="E32" s="32"/>
      <c r="F32" s="32"/>
      <c r="G32" s="32"/>
      <c r="H32" s="33"/>
      <c r="I32" s="30" t="s">
        <v>47</v>
      </c>
      <c r="J32" s="31" t="s">
        <v>52</v>
      </c>
      <c r="K32" s="28" t="s">
        <v>95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96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97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0+0+12+20+0+0</f>
        <v>32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6.3</v>
      </c>
      <c r="D38" s="10">
        <v>6.35</v>
      </c>
      <c r="E38" s="10">
        <f t="shared" si="2"/>
        <v>12.65</v>
      </c>
      <c r="F38" s="10" t="s">
        <v>27</v>
      </c>
      <c r="G38" s="10">
        <f>12.74+12.68+12.74+12.66+12.69+12.65</f>
        <v>76.16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6</v>
      </c>
      <c r="D39" s="10">
        <v>10</v>
      </c>
      <c r="E39" s="10">
        <f t="shared" si="2"/>
        <v>16</v>
      </c>
      <c r="F39" s="10" t="s">
        <v>27</v>
      </c>
      <c r="G39" s="10">
        <f>17+20+15+10+28+16</f>
        <v>106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6.1695</v>
      </c>
      <c r="D40" s="10">
        <v>0</v>
      </c>
      <c r="E40" s="10">
        <f t="shared" si="2"/>
        <v>6.1695</v>
      </c>
      <c r="F40" s="10" t="s">
        <v>14</v>
      </c>
      <c r="G40" s="10">
        <f>10.4355+1.6065+14.9715+0+7.5195+6.1695</f>
        <v>40.7025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66</v>
      </c>
      <c r="D42" s="10">
        <v>227</v>
      </c>
      <c r="E42" s="10">
        <f t="shared" si="2"/>
        <v>293</v>
      </c>
      <c r="F42" s="10" t="s">
        <v>27</v>
      </c>
      <c r="G42" s="10">
        <f>263+335+279+465+237+293</f>
        <v>1872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490</v>
      </c>
      <c r="D43" s="10">
        <v>490</v>
      </c>
      <c r="E43" s="10">
        <f t="shared" si="2"/>
        <v>980</v>
      </c>
      <c r="F43" s="10" t="s">
        <v>27</v>
      </c>
      <c r="G43" s="10">
        <f>985+980+990+985+972+980</f>
        <v>5892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</f>
        <v>0</v>
      </c>
      <c r="H44" s="24"/>
      <c r="I44" s="7">
        <v>450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</f>
        <v>0</v>
      </c>
      <c r="H45" s="24"/>
      <c r="I45" s="7">
        <v>72.9624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5</v>
      </c>
      <c r="D46" s="7">
        <v>2</v>
      </c>
      <c r="E46" s="10">
        <f>D46+C46</f>
        <v>7</v>
      </c>
      <c r="F46" s="10" t="s">
        <v>38</v>
      </c>
      <c r="G46" s="10">
        <f>5+5+6+7+8+7</f>
        <v>38</v>
      </c>
      <c r="H46" s="24"/>
      <c r="I46" s="10"/>
      <c r="J46" s="40"/>
      <c r="K46" s="28"/>
      <c r="L46" s="19" t="s">
        <v>69</v>
      </c>
      <c r="M46" s="7">
        <v>10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P10" sqref="P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98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8</v>
      </c>
      <c r="D3" s="9">
        <v>7.5</v>
      </c>
      <c r="E3" s="10">
        <f t="shared" ref="E3:E13" si="0">C3+D3</f>
        <v>15.5</v>
      </c>
      <c r="F3" s="10" t="s">
        <v>14</v>
      </c>
      <c r="G3" s="10">
        <f>6.5+16+4.5+16+1+12.5+15.5</f>
        <v>72</v>
      </c>
      <c r="H3" s="10">
        <v>256</v>
      </c>
      <c r="I3" s="10">
        <f>H3-G3</f>
        <v>184</v>
      </c>
      <c r="J3" s="11"/>
      <c r="K3" s="10"/>
      <c r="L3" s="10"/>
      <c r="M3" s="10">
        <f>I3/23</f>
        <v>8</v>
      </c>
    </row>
    <row r="4" s="1" customFormat="1" ht="35" customHeight="1" spans="1:13">
      <c r="A4" s="12">
        <v>2</v>
      </c>
      <c r="B4" s="8" t="s">
        <v>15</v>
      </c>
      <c r="C4" s="9">
        <v>14</v>
      </c>
      <c r="D4" s="9"/>
      <c r="E4" s="10">
        <f t="shared" si="0"/>
        <v>14</v>
      </c>
      <c r="F4" s="10" t="s">
        <v>14</v>
      </c>
      <c r="G4" s="10">
        <f>0+8+16+4+16+0+14</f>
        <v>58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110</v>
      </c>
      <c r="D5" s="10">
        <v>113</v>
      </c>
      <c r="E5" s="10">
        <f t="shared" si="0"/>
        <v>223</v>
      </c>
      <c r="F5" s="10" t="s">
        <v>14</v>
      </c>
      <c r="G5" s="10">
        <f>146+130+171+51+125+166+223</f>
        <v>1012</v>
      </c>
      <c r="H5" s="10">
        <v>3600</v>
      </c>
      <c r="I5" s="10">
        <f>H5-G5-G7-G6</f>
        <v>2564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1+2+4+1+13+3+0</f>
        <v>24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0+0+0+31.2+31.46+62.53+0</f>
        <v>125.19</v>
      </c>
      <c r="H10" s="13">
        <v>4.72</v>
      </c>
      <c r="I10" s="21">
        <f>H10-K11</f>
        <v>3.643392</v>
      </c>
      <c r="J10" s="19" t="s">
        <v>22</v>
      </c>
      <c r="K10" s="10">
        <v>120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7.2765</v>
      </c>
      <c r="D11" s="10">
        <v>1.9575</v>
      </c>
      <c r="E11" s="10">
        <f t="shared" si="0"/>
        <v>9.234</v>
      </c>
      <c r="F11" s="10" t="s">
        <v>14</v>
      </c>
      <c r="G11" s="10">
        <f>8.343+4.3875+5.6565+4.9815+4.7385+4.509+9.234</f>
        <v>41.85</v>
      </c>
      <c r="H11" s="10"/>
      <c r="I11" s="22">
        <f>G11/G3</f>
        <v>0.58125</v>
      </c>
      <c r="J11" s="19" t="s">
        <v>24</v>
      </c>
      <c r="K11" s="20">
        <f>0+0+0+0.27144+0.26741+0.537758+0</f>
        <v>1.076608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11.5552</v>
      </c>
      <c r="D12" s="10">
        <v>0</v>
      </c>
      <c r="E12" s="10">
        <f t="shared" si="0"/>
        <v>11.5552</v>
      </c>
      <c r="F12" s="10" t="s">
        <v>14</v>
      </c>
      <c r="G12" s="10">
        <f>9.7888+8.9608+16.3208+8.188+5.52+7.4336+11.5552</f>
        <v>67.7672</v>
      </c>
      <c r="H12" s="10"/>
      <c r="I12" s="22">
        <f>G12/G3</f>
        <v>0.941211111111111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227</v>
      </c>
      <c r="D13" s="10">
        <v>231</v>
      </c>
      <c r="E13" s="10">
        <f t="shared" si="0"/>
        <v>458</v>
      </c>
      <c r="F13" s="10" t="s">
        <v>27</v>
      </c>
      <c r="G13" s="10">
        <f>203.4+427+259+315+111+439+458</f>
        <v>2212.4</v>
      </c>
      <c r="H13" s="10">
        <f>G13*1.05</f>
        <v>2323.02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235</v>
      </c>
      <c r="D14" s="10">
        <v>225</v>
      </c>
      <c r="E14" s="10">
        <f t="shared" ref="E14:E24" si="1">D14+C14</f>
        <v>460</v>
      </c>
      <c r="F14" s="10" t="s">
        <v>27</v>
      </c>
      <c r="G14" s="10">
        <f>194+482+152+374+40+430+460</f>
        <v>2132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435.42</v>
      </c>
      <c r="D15" s="10">
        <v>376.58</v>
      </c>
      <c r="E15" s="10">
        <f t="shared" si="1"/>
        <v>812</v>
      </c>
      <c r="F15" s="10" t="s">
        <v>27</v>
      </c>
      <c r="G15" s="10">
        <f>1051.94+1011.04+795.49+543.9+807.96+742.7+812</f>
        <v>5765.03</v>
      </c>
      <c r="H15" s="10"/>
      <c r="I15" s="22"/>
      <c r="J15" s="19" t="s">
        <v>30</v>
      </c>
      <c r="K15" s="10">
        <v>2.65</v>
      </c>
      <c r="L15" s="10">
        <v>2.67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18</v>
      </c>
      <c r="D16" s="10">
        <v>18</v>
      </c>
      <c r="E16" s="10">
        <f t="shared" si="1"/>
        <v>36</v>
      </c>
      <c r="F16" s="10" t="s">
        <v>14</v>
      </c>
      <c r="G16" s="10">
        <f>18+33+12+30+3+30+36</f>
        <v>162</v>
      </c>
      <c r="H16" s="10"/>
      <c r="I16" s="22">
        <f>G16/G3</f>
        <v>2.25</v>
      </c>
      <c r="J16" s="19" t="s">
        <v>32</v>
      </c>
      <c r="K16" s="20">
        <f>3.1308178+2.8699152+2.220183+1.4538464+2.0633116+2.064706+2.1593316</f>
        <v>15.9621116</v>
      </c>
      <c r="L16" s="10"/>
      <c r="M16" s="10">
        <f>(C15*K15+L15*D15)/1000</f>
        <v>2.1593316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0+0+0.125+0+0.075+0+0</f>
        <v>0.2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</f>
        <v>6</v>
      </c>
      <c r="H19" s="24"/>
      <c r="I19" s="22">
        <f>G19/G3</f>
        <v>0.0833333333333333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</f>
        <v>6</v>
      </c>
      <c r="H20" s="24"/>
      <c r="I20" s="22">
        <f>G20/G3</f>
        <v>0.0833333333333333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2</v>
      </c>
      <c r="D21" s="7">
        <v>1</v>
      </c>
      <c r="E21" s="10">
        <f t="shared" si="1"/>
        <v>3</v>
      </c>
      <c r="F21" s="10" t="s">
        <v>38</v>
      </c>
      <c r="G21" s="10">
        <f>9+7+6+0+9+5+3</f>
        <v>39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678</v>
      </c>
      <c r="D22" s="7">
        <v>684</v>
      </c>
      <c r="E22" s="10">
        <f t="shared" si="1"/>
        <v>1362</v>
      </c>
      <c r="F22" s="10" t="s">
        <v>27</v>
      </c>
      <c r="G22" s="10">
        <f>1104+849+1313+485+1053+1404+1362</f>
        <v>7570</v>
      </c>
      <c r="H22" s="26"/>
      <c r="I22" s="22">
        <f>E22/M22</f>
        <v>56.75</v>
      </c>
      <c r="J22" s="19" t="s">
        <v>40</v>
      </c>
      <c r="K22" s="10">
        <f>19+13+23+6.5+17.5+24+24</f>
        <v>127</v>
      </c>
      <c r="L22" s="10">
        <f>G22/K22</f>
        <v>59.6062992125984</v>
      </c>
      <c r="M22" s="10">
        <v>24</v>
      </c>
    </row>
    <row r="23" s="1" customFormat="1" ht="25" customHeight="1" spans="1:13">
      <c r="A23" s="12">
        <v>18</v>
      </c>
      <c r="B23" s="8" t="s">
        <v>41</v>
      </c>
      <c r="C23" s="7">
        <v>876</v>
      </c>
      <c r="D23" s="7">
        <v>882</v>
      </c>
      <c r="E23" s="10">
        <f t="shared" si="1"/>
        <v>1758</v>
      </c>
      <c r="F23" s="10" t="s">
        <v>27</v>
      </c>
      <c r="G23" s="10">
        <f>1232+1135+1443+592+1010+1680+1758</f>
        <v>8850</v>
      </c>
      <c r="H23" s="24"/>
      <c r="I23" s="22">
        <f>E23/M22</f>
        <v>73.25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219</v>
      </c>
      <c r="D24" s="7">
        <v>223</v>
      </c>
      <c r="E24" s="10">
        <f t="shared" si="1"/>
        <v>442</v>
      </c>
      <c r="F24" s="10" t="s">
        <v>27</v>
      </c>
      <c r="G24" s="10">
        <f>403+357+520+369+601+404+442</f>
        <v>3096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24.32</v>
      </c>
      <c r="D25" s="7">
        <v>29.2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94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99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95</v>
      </c>
      <c r="D32" s="32"/>
      <c r="E32" s="32"/>
      <c r="F32" s="32"/>
      <c r="G32" s="32"/>
      <c r="H32" s="33"/>
      <c r="I32" s="30" t="s">
        <v>47</v>
      </c>
      <c r="J32" s="31" t="s">
        <v>52</v>
      </c>
      <c r="K32" s="28" t="s">
        <v>100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101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102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0+0+12+20+0+0+0</f>
        <v>32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6.28</v>
      </c>
      <c r="D38" s="10">
        <v>6.4</v>
      </c>
      <c r="E38" s="10">
        <f t="shared" si="2"/>
        <v>12.68</v>
      </c>
      <c r="F38" s="10" t="s">
        <v>27</v>
      </c>
      <c r="G38" s="10">
        <f>12.74+12.68+12.74+12.66+12.69+12.65+12.68</f>
        <v>88.84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10</v>
      </c>
      <c r="D39" s="10">
        <v>8</v>
      </c>
      <c r="E39" s="10">
        <f t="shared" si="2"/>
        <v>18</v>
      </c>
      <c r="F39" s="10" t="s">
        <v>27</v>
      </c>
      <c r="G39" s="10">
        <f>17+20+15+10+28+16+18</f>
        <v>124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11.313</v>
      </c>
      <c r="D40" s="10">
        <v>0</v>
      </c>
      <c r="E40" s="10">
        <f t="shared" si="2"/>
        <v>11.313</v>
      </c>
      <c r="F40" s="10" t="s">
        <v>14</v>
      </c>
      <c r="G40" s="10">
        <f>10.4355+1.6065+14.9715+0+7.5195+6.1695+11.313</f>
        <v>52.0155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157</v>
      </c>
      <c r="D42" s="10">
        <v>111</v>
      </c>
      <c r="E42" s="10">
        <f t="shared" si="2"/>
        <v>268</v>
      </c>
      <c r="F42" s="10" t="s">
        <v>27</v>
      </c>
      <c r="G42" s="10">
        <f>263+335+279+465+237+293+268</f>
        <v>2140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495</v>
      </c>
      <c r="D43" s="10">
        <v>499</v>
      </c>
      <c r="E43" s="10">
        <f t="shared" si="2"/>
        <v>994</v>
      </c>
      <c r="F43" s="10" t="s">
        <v>27</v>
      </c>
      <c r="G43" s="10">
        <f>985+980+990+985+972+980+994</f>
        <v>6886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</f>
        <v>0</v>
      </c>
      <c r="H44" s="24"/>
      <c r="I44" s="7">
        <v>622.5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</f>
        <v>0</v>
      </c>
      <c r="H45" s="24"/>
      <c r="I45" s="7">
        <v>73.831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3</v>
      </c>
      <c r="D46" s="7">
        <v>2</v>
      </c>
      <c r="E46" s="10">
        <f>D46+C46</f>
        <v>5</v>
      </c>
      <c r="F46" s="10" t="s">
        <v>38</v>
      </c>
      <c r="G46" s="10">
        <f>5+5+6+7+8+7+5</f>
        <v>43</v>
      </c>
      <c r="H46" s="24"/>
      <c r="I46" s="10"/>
      <c r="J46" s="40"/>
      <c r="K46" s="28"/>
      <c r="L46" s="19" t="s">
        <v>69</v>
      </c>
      <c r="M46" s="7">
        <v>3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P10" sqref="P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103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8</v>
      </c>
      <c r="D3" s="9">
        <v>4</v>
      </c>
      <c r="E3" s="10">
        <f t="shared" ref="E3:E13" si="0">C3+D3</f>
        <v>12</v>
      </c>
      <c r="F3" s="10" t="s">
        <v>14</v>
      </c>
      <c r="G3" s="10">
        <f>6.5+16+4.5+16+1+12.5+15.5+12</f>
        <v>84</v>
      </c>
      <c r="H3" s="10">
        <v>256</v>
      </c>
      <c r="I3" s="10">
        <f>H3-G3</f>
        <v>172</v>
      </c>
      <c r="J3" s="11"/>
      <c r="K3" s="10"/>
      <c r="L3" s="10"/>
      <c r="M3" s="10">
        <f>I3/22</f>
        <v>7.81818181818182</v>
      </c>
    </row>
    <row r="4" s="1" customFormat="1" ht="35" customHeight="1" spans="1:13">
      <c r="A4" s="12">
        <v>2</v>
      </c>
      <c r="B4" s="8" t="s">
        <v>15</v>
      </c>
      <c r="C4" s="9">
        <v>14</v>
      </c>
      <c r="D4" s="9"/>
      <c r="E4" s="10">
        <f t="shared" si="0"/>
        <v>14</v>
      </c>
      <c r="F4" s="10" t="s">
        <v>14</v>
      </c>
      <c r="G4" s="10">
        <f>0+8+16+4+16+0+14+14</f>
        <v>72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62</v>
      </c>
      <c r="D5" s="10">
        <v>0</v>
      </c>
      <c r="E5" s="10">
        <f t="shared" si="0"/>
        <v>62</v>
      </c>
      <c r="F5" s="10" t="s">
        <v>14</v>
      </c>
      <c r="G5" s="10">
        <f>146+130+171+51+125+166+223+62</f>
        <v>1074</v>
      </c>
      <c r="H5" s="10">
        <v>3600</v>
      </c>
      <c r="I5" s="10">
        <f>H5-G5-G7-G6</f>
        <v>2502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1+2+4+1+13+3+0+0</f>
        <v>24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0+0+0+31.2+31.46+62.53+0+0</f>
        <v>125.19</v>
      </c>
      <c r="H10" s="13">
        <v>4.72</v>
      </c>
      <c r="I10" s="21">
        <f>H10-K11</f>
        <v>3.643392</v>
      </c>
      <c r="J10" s="19" t="s">
        <v>22</v>
      </c>
      <c r="K10" s="10">
        <v>180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6.426</v>
      </c>
      <c r="D11" s="10">
        <v>0</v>
      </c>
      <c r="E11" s="10">
        <f t="shared" si="0"/>
        <v>6.426</v>
      </c>
      <c r="F11" s="10" t="s">
        <v>14</v>
      </c>
      <c r="G11" s="10">
        <f>8.343+4.3875+5.6565+4.9815+4.7385+4.509+9.234+6.426</f>
        <v>48.276</v>
      </c>
      <c r="H11" s="10"/>
      <c r="I11" s="22">
        <f>G11/G3</f>
        <v>0.574714285714286</v>
      </c>
      <c r="J11" s="19" t="s">
        <v>24</v>
      </c>
      <c r="K11" s="20">
        <f>0+0+0+0.27144+0.26741+0.537758+0+0</f>
        <v>1.076608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12.604</v>
      </c>
      <c r="D12" s="10">
        <v>0</v>
      </c>
      <c r="E12" s="10">
        <f t="shared" si="0"/>
        <v>12.604</v>
      </c>
      <c r="F12" s="10" t="s">
        <v>14</v>
      </c>
      <c r="G12" s="10">
        <f>9.7888+8.9608+16.3208+8.188+5.52+7.4336+11.5552+12.604</f>
        <v>80.3712</v>
      </c>
      <c r="H12" s="10"/>
      <c r="I12" s="22">
        <f>G12/G3</f>
        <v>0.9568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298</v>
      </c>
      <c r="D13" s="10">
        <v>6</v>
      </c>
      <c r="E13" s="10">
        <f t="shared" si="0"/>
        <v>304</v>
      </c>
      <c r="F13" s="10" t="s">
        <v>27</v>
      </c>
      <c r="G13" s="10">
        <f>203.4+427+259+315+111+439+458+304</f>
        <v>2516.4</v>
      </c>
      <c r="H13" s="10">
        <f>G13*1.05</f>
        <v>2642.22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246</v>
      </c>
      <c r="D14" s="10">
        <v>44</v>
      </c>
      <c r="E14" s="10">
        <f t="shared" ref="E14:E24" si="1">D14+C14</f>
        <v>290</v>
      </c>
      <c r="F14" s="10" t="s">
        <v>27</v>
      </c>
      <c r="G14" s="10">
        <f>194+482+152+374+40+430+460+290</f>
        <v>2422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431.96</v>
      </c>
      <c r="D15" s="10">
        <v>111.1</v>
      </c>
      <c r="E15" s="10">
        <f t="shared" si="1"/>
        <v>543.06</v>
      </c>
      <c r="F15" s="10" t="s">
        <v>27</v>
      </c>
      <c r="G15" s="10">
        <f>1051.94+1011.04+795.49+543.9+807.96+742.7+812+543.06</f>
        <v>6308.09</v>
      </c>
      <c r="H15" s="10"/>
      <c r="I15" s="22"/>
      <c r="J15" s="19" t="s">
        <v>30</v>
      </c>
      <c r="K15" s="10">
        <v>2.7</v>
      </c>
      <c r="L15" s="10">
        <v>2.78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18</v>
      </c>
      <c r="D16" s="10">
        <v>3</v>
      </c>
      <c r="E16" s="10">
        <f t="shared" si="1"/>
        <v>21</v>
      </c>
      <c r="F16" s="10" t="s">
        <v>14</v>
      </c>
      <c r="G16" s="10">
        <f>18+33+12+30+3+30+36+21</f>
        <v>183</v>
      </c>
      <c r="H16" s="10"/>
      <c r="I16" s="22">
        <f>G16/G3</f>
        <v>2.17857142857143</v>
      </c>
      <c r="J16" s="19" t="s">
        <v>32</v>
      </c>
      <c r="K16" s="20">
        <f>3.1308178+2.8699152+2.220183+1.4538464+2.0633116+2.064706+2.1593316+1.47515</f>
        <v>17.4372616</v>
      </c>
      <c r="L16" s="10"/>
      <c r="M16" s="10">
        <f>(C15*K15+L15*D15)/1000</f>
        <v>1.47515</v>
      </c>
    </row>
    <row r="17" s="1" customFormat="1" ht="25" customHeight="1" spans="1:13">
      <c r="A17" s="12">
        <v>12</v>
      </c>
      <c r="B17" s="8" t="s">
        <v>33</v>
      </c>
      <c r="C17" s="7">
        <v>0.075</v>
      </c>
      <c r="D17" s="7">
        <v>0</v>
      </c>
      <c r="E17" s="10">
        <f t="shared" si="1"/>
        <v>0.075</v>
      </c>
      <c r="F17" s="10" t="s">
        <v>14</v>
      </c>
      <c r="G17" s="10">
        <f>0+0+0.125+0+0.075+0+0+0.075</f>
        <v>0.275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0+0+0+0+0+0+0+0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0+2+0+2+0+2+0+2</f>
        <v>8</v>
      </c>
      <c r="H19" s="24"/>
      <c r="I19" s="22">
        <f>G19/G3</f>
        <v>0.0952380952380952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0+2+0+2+0+2+0+2</f>
        <v>8</v>
      </c>
      <c r="H20" s="24"/>
      <c r="I20" s="22">
        <f>G20/G3</f>
        <v>0.0952380952380952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7</v>
      </c>
      <c r="D21" s="7">
        <v>2</v>
      </c>
      <c r="E21" s="10">
        <f t="shared" si="1"/>
        <v>9</v>
      </c>
      <c r="F21" s="10" t="s">
        <v>38</v>
      </c>
      <c r="G21" s="10">
        <f>9+7+6+0+9+5+3+9</f>
        <v>48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337</v>
      </c>
      <c r="D22" s="7">
        <v>261</v>
      </c>
      <c r="E22" s="10">
        <f t="shared" si="1"/>
        <v>598</v>
      </c>
      <c r="F22" s="10" t="s">
        <v>27</v>
      </c>
      <c r="G22" s="10">
        <f>1104+849+1313+485+1053+1404+1362+598</f>
        <v>8168</v>
      </c>
      <c r="H22" s="26"/>
      <c r="I22" s="22">
        <f>E22/M22</f>
        <v>62.9473684210526</v>
      </c>
      <c r="J22" s="19" t="s">
        <v>40</v>
      </c>
      <c r="K22" s="10">
        <f>19+13+23+6.5+17.5+24+24+9.5</f>
        <v>136.5</v>
      </c>
      <c r="L22" s="10">
        <f>G22/K22</f>
        <v>59.8388278388278</v>
      </c>
      <c r="M22" s="10">
        <v>9.5</v>
      </c>
    </row>
    <row r="23" s="1" customFormat="1" ht="25" customHeight="1" spans="1:13">
      <c r="A23" s="12">
        <v>18</v>
      </c>
      <c r="B23" s="8" t="s">
        <v>41</v>
      </c>
      <c r="C23" s="7">
        <v>557</v>
      </c>
      <c r="D23" s="7">
        <v>257</v>
      </c>
      <c r="E23" s="10">
        <f t="shared" si="1"/>
        <v>814</v>
      </c>
      <c r="F23" s="10" t="s">
        <v>27</v>
      </c>
      <c r="G23" s="10">
        <f>1232+1135+1443+592+1010+1680+1758+814</f>
        <v>9664</v>
      </c>
      <c r="H23" s="24"/>
      <c r="I23" s="22">
        <f>E23/M22</f>
        <v>85.6842105263158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161</v>
      </c>
      <c r="D24" s="7">
        <v>127</v>
      </c>
      <c r="E24" s="10">
        <f t="shared" si="1"/>
        <v>288</v>
      </c>
      <c r="F24" s="10" t="s">
        <v>27</v>
      </c>
      <c r="G24" s="10">
        <f>403+357+520+369+601+404+442+288</f>
        <v>3384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30.68</v>
      </c>
      <c r="D25" s="7">
        <v>0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99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104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100</v>
      </c>
      <c r="D32" s="32"/>
      <c r="E32" s="32"/>
      <c r="F32" s="32"/>
      <c r="G32" s="32"/>
      <c r="H32" s="33"/>
      <c r="I32" s="30" t="s">
        <v>47</v>
      </c>
      <c r="J32" s="31" t="s">
        <v>52</v>
      </c>
      <c r="K32" s="28" t="s">
        <v>105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106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107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0+0+12+20+0+0+0+0</f>
        <v>32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6.35</v>
      </c>
      <c r="D38" s="10">
        <v>6.3</v>
      </c>
      <c r="E38" s="10">
        <f t="shared" si="2"/>
        <v>12.65</v>
      </c>
      <c r="F38" s="10" t="s">
        <v>27</v>
      </c>
      <c r="G38" s="10">
        <f>12.74+12.68+12.74+12.66+12.69+12.65+12.68+12.65</f>
        <v>101.49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14</v>
      </c>
      <c r="D39" s="10">
        <v>8</v>
      </c>
      <c r="E39" s="10">
        <f t="shared" si="2"/>
        <v>22</v>
      </c>
      <c r="F39" s="10" t="s">
        <v>27</v>
      </c>
      <c r="G39" s="10">
        <f>17+20+15+10+28+16+18+22</f>
        <v>146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0</v>
      </c>
      <c r="D40" s="10">
        <v>0</v>
      </c>
      <c r="E40" s="10">
        <f t="shared" si="2"/>
        <v>0</v>
      </c>
      <c r="F40" s="10" t="s">
        <v>14</v>
      </c>
      <c r="G40" s="10">
        <f>10.4355+1.6065+14.9715+0+7.5195+6.1695+11.313+0</f>
        <v>52.0155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109</v>
      </c>
      <c r="D42" s="10">
        <v>88</v>
      </c>
      <c r="E42" s="10">
        <f t="shared" si="2"/>
        <v>197</v>
      </c>
      <c r="F42" s="10" t="s">
        <v>27</v>
      </c>
      <c r="G42" s="10">
        <f>263+335+279+465+237+293+268+197</f>
        <v>2337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498</v>
      </c>
      <c r="D43" s="10">
        <v>497</v>
      </c>
      <c r="E43" s="10">
        <f t="shared" si="2"/>
        <v>995</v>
      </c>
      <c r="F43" s="10" t="s">
        <v>27</v>
      </c>
      <c r="G43" s="10">
        <f>985+980+990+985+972+980+994+995</f>
        <v>7881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</f>
        <v>0</v>
      </c>
      <c r="H44" s="24"/>
      <c r="I44" s="7">
        <v>262.5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</f>
        <v>0</v>
      </c>
      <c r="H45" s="24"/>
      <c r="I45" s="7">
        <v>80.7798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2</v>
      </c>
      <c r="D46" s="7">
        <v>3</v>
      </c>
      <c r="E46" s="10">
        <f>D46+C46</f>
        <v>5</v>
      </c>
      <c r="F46" s="10" t="s">
        <v>38</v>
      </c>
      <c r="G46" s="10">
        <f>5+5+6+7+8+7+5+5</f>
        <v>48</v>
      </c>
      <c r="H46" s="24"/>
      <c r="I46" s="10"/>
      <c r="J46" s="40"/>
      <c r="K46" s="28"/>
      <c r="L46" s="19" t="s">
        <v>69</v>
      </c>
      <c r="M46" s="7">
        <v>8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P10" sqref="P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108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0</v>
      </c>
      <c r="D3" s="9">
        <v>5</v>
      </c>
      <c r="E3" s="10">
        <f t="shared" ref="E3:E13" si="0">C3+D3</f>
        <v>5</v>
      </c>
      <c r="F3" s="10" t="s">
        <v>14</v>
      </c>
      <c r="G3" s="10">
        <f>6.5+16+4.5+16+1+12.5+15.5+12+5</f>
        <v>89</v>
      </c>
      <c r="H3" s="10">
        <v>256</v>
      </c>
      <c r="I3" s="10">
        <f>H3-G3</f>
        <v>167</v>
      </c>
      <c r="J3" s="11"/>
      <c r="K3" s="10"/>
      <c r="L3" s="10"/>
      <c r="M3" s="10">
        <f>I3/21</f>
        <v>7.95238095238095</v>
      </c>
    </row>
    <row r="4" s="1" customFormat="1" ht="35" customHeight="1" spans="1:13">
      <c r="A4" s="12">
        <v>2</v>
      </c>
      <c r="B4" s="8" t="s">
        <v>15</v>
      </c>
      <c r="C4" s="9">
        <v>12</v>
      </c>
      <c r="D4" s="9"/>
      <c r="E4" s="10">
        <f t="shared" si="0"/>
        <v>12</v>
      </c>
      <c r="F4" s="10" t="s">
        <v>14</v>
      </c>
      <c r="G4" s="10">
        <f>0+8+16+4+16+0+14+14+12</f>
        <v>84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102</v>
      </c>
      <c r="D5" s="10">
        <v>53</v>
      </c>
      <c r="E5" s="10">
        <f t="shared" si="0"/>
        <v>155</v>
      </c>
      <c r="F5" s="10" t="s">
        <v>14</v>
      </c>
      <c r="G5" s="10">
        <f>146+130+171+51+125+166+223+62+155</f>
        <v>1229</v>
      </c>
      <c r="H5" s="10">
        <v>3600</v>
      </c>
      <c r="I5" s="10">
        <f>H5-G5-G7-G6</f>
        <v>2346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1</v>
      </c>
      <c r="E7" s="10">
        <f t="shared" si="0"/>
        <v>1</v>
      </c>
      <c r="F7" s="10" t="s">
        <v>14</v>
      </c>
      <c r="G7" s="10">
        <f>1+2+4+1+13+3+0+0+1</f>
        <v>25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93.47</v>
      </c>
      <c r="D10" s="13"/>
      <c r="E10" s="10">
        <f t="shared" si="0"/>
        <v>93.47</v>
      </c>
      <c r="F10" s="13" t="s">
        <v>14</v>
      </c>
      <c r="G10" s="10">
        <f>0+0+0+31.2+31.46+62.53+0+0+93.47</f>
        <v>218.66</v>
      </c>
      <c r="H10" s="13">
        <v>4.72</v>
      </c>
      <c r="I10" s="21">
        <f>H10-K11</f>
        <v>2.802162</v>
      </c>
      <c r="J10" s="19" t="s">
        <v>22</v>
      </c>
      <c r="K10" s="10">
        <v>180</v>
      </c>
      <c r="L10" s="10">
        <v>0.9</v>
      </c>
      <c r="M10" s="20"/>
    </row>
    <row r="11" s="1" customFormat="1" ht="25" customHeight="1" spans="1:13">
      <c r="A11" s="12">
        <v>6</v>
      </c>
      <c r="B11" s="8" t="s">
        <v>23</v>
      </c>
      <c r="C11" s="10">
        <v>5.292</v>
      </c>
      <c r="D11" s="10">
        <v>0</v>
      </c>
      <c r="E11" s="10">
        <f t="shared" si="0"/>
        <v>5.292</v>
      </c>
      <c r="F11" s="10" t="s">
        <v>14</v>
      </c>
      <c r="G11" s="10">
        <f>8.343+4.3875+5.6565+4.9815+4.7385+4.509+9.234+6.426+5.292</f>
        <v>53.568</v>
      </c>
      <c r="H11" s="10"/>
      <c r="I11" s="22">
        <f>G11/G3</f>
        <v>0.601887640449438</v>
      </c>
      <c r="J11" s="19" t="s">
        <v>24</v>
      </c>
      <c r="K11" s="20">
        <f>0+0+0+0.27144+0.26741+0.537758+0+0+0.84123</f>
        <v>1.917838</v>
      </c>
      <c r="L11" s="10"/>
      <c r="M11" s="10">
        <f>C10*L10/100</f>
        <v>0.84123</v>
      </c>
    </row>
    <row r="12" s="1" customFormat="1" ht="25" customHeight="1" spans="1:13">
      <c r="A12" s="12">
        <v>7</v>
      </c>
      <c r="B12" s="8" t="s">
        <v>25</v>
      </c>
      <c r="C12" s="10">
        <v>12.9536</v>
      </c>
      <c r="D12" s="10">
        <v>0</v>
      </c>
      <c r="E12" s="10">
        <f t="shared" si="0"/>
        <v>12.9536</v>
      </c>
      <c r="F12" s="10" t="s">
        <v>14</v>
      </c>
      <c r="G12" s="10">
        <f>9.7888+8.9608+16.3208+8.188+5.52+7.4336+11.5552+12.604+12.9536</f>
        <v>93.3248</v>
      </c>
      <c r="H12" s="10"/>
      <c r="I12" s="22">
        <f>G12/G3</f>
        <v>1.04859325842697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84</v>
      </c>
      <c r="D13" s="10">
        <v>305</v>
      </c>
      <c r="E13" s="10">
        <f t="shared" si="0"/>
        <v>389</v>
      </c>
      <c r="F13" s="10" t="s">
        <v>27</v>
      </c>
      <c r="G13" s="10">
        <f>203.4+427+259+315+111+439+458+304+389</f>
        <v>2905.4</v>
      </c>
      <c r="H13" s="10">
        <f>G13*1.05</f>
        <v>3050.67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0</v>
      </c>
      <c r="D14" s="10">
        <v>230</v>
      </c>
      <c r="E14" s="10">
        <f t="shared" ref="E14:E24" si="1">D14+C14</f>
        <v>230</v>
      </c>
      <c r="F14" s="10" t="s">
        <v>27</v>
      </c>
      <c r="G14" s="10">
        <f>194+482+152+374+40+430+460+290+230</f>
        <v>2652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335.79</v>
      </c>
      <c r="D15" s="10">
        <v>190.44</v>
      </c>
      <c r="E15" s="10">
        <f t="shared" si="1"/>
        <v>526.23</v>
      </c>
      <c r="F15" s="10" t="s">
        <v>27</v>
      </c>
      <c r="G15" s="10">
        <f>1051.94+1011.04+795.49+543.9+807.96+742.7+812+543.06+526.23</f>
        <v>6834.32</v>
      </c>
      <c r="H15" s="10"/>
      <c r="I15" s="22"/>
      <c r="J15" s="19" t="s">
        <v>30</v>
      </c>
      <c r="K15" s="10">
        <v>2.89</v>
      </c>
      <c r="L15" s="10">
        <v>2.67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0</v>
      </c>
      <c r="D16" s="10">
        <v>15</v>
      </c>
      <c r="E16" s="10">
        <f t="shared" si="1"/>
        <v>15</v>
      </c>
      <c r="F16" s="10" t="s">
        <v>14</v>
      </c>
      <c r="G16" s="10">
        <f>18+33+12+30+3+30+36+21+15</f>
        <v>198</v>
      </c>
      <c r="H16" s="10"/>
      <c r="I16" s="22">
        <f>G16/G3</f>
        <v>2.2247191011236</v>
      </c>
      <c r="J16" s="19" t="s">
        <v>32</v>
      </c>
      <c r="K16" s="20">
        <f>3.1308178+2.8699152+2.220183+1.4538464+2.0633116+2.064706+2.1593316+1.47515+1.4789079</f>
        <v>18.9161695</v>
      </c>
      <c r="L16" s="10"/>
      <c r="M16" s="10">
        <f>(C15*K15+L15*D15)/1000</f>
        <v>1.4789079</v>
      </c>
    </row>
    <row r="17" s="1" customFormat="1" ht="25" customHeight="1" spans="1:13">
      <c r="A17" s="12">
        <v>12</v>
      </c>
      <c r="B17" s="8" t="s">
        <v>33</v>
      </c>
      <c r="C17" s="7">
        <v>0.075</v>
      </c>
      <c r="D17" s="7">
        <v>0.05</v>
      </c>
      <c r="E17" s="10">
        <f t="shared" si="1"/>
        <v>0.125</v>
      </c>
      <c r="F17" s="10" t="s">
        <v>14</v>
      </c>
      <c r="G17" s="10">
        <f>0+0+0.125+0+0.075+0+0+0.075+0.125</f>
        <v>0.4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0+0+0+0+0+0+0+0+0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0+2+0+2+0+2+0+2+0</f>
        <v>8</v>
      </c>
      <c r="H19" s="24"/>
      <c r="I19" s="22">
        <f>G19/G3</f>
        <v>0.0898876404494382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0+2+0+2+0+2+0+2+0</f>
        <v>8</v>
      </c>
      <c r="H20" s="24"/>
      <c r="I20" s="22">
        <f>G20/G3</f>
        <v>0.0898876404494382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3</v>
      </c>
      <c r="D21" s="7">
        <v>0</v>
      </c>
      <c r="E21" s="10">
        <f t="shared" si="1"/>
        <v>3</v>
      </c>
      <c r="F21" s="10" t="s">
        <v>38</v>
      </c>
      <c r="G21" s="10">
        <f>9+7+6+0+9+5+3+9+3</f>
        <v>51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630</v>
      </c>
      <c r="D22" s="7">
        <v>361</v>
      </c>
      <c r="E22" s="10">
        <f t="shared" si="1"/>
        <v>991</v>
      </c>
      <c r="F22" s="10" t="s">
        <v>27</v>
      </c>
      <c r="G22" s="10">
        <f>1104+849+1313+485+1053+1404+1362+598+991</f>
        <v>9159</v>
      </c>
      <c r="H22" s="26"/>
      <c r="I22" s="22">
        <f>E22/M22</f>
        <v>55.0555555555556</v>
      </c>
      <c r="J22" s="19" t="s">
        <v>40</v>
      </c>
      <c r="K22" s="10">
        <f>19+13+23+6.5+17.5+24+24+9.5+18</f>
        <v>154.5</v>
      </c>
      <c r="L22" s="10">
        <f>G22/K22</f>
        <v>59.2815533980583</v>
      </c>
      <c r="M22" s="10">
        <v>18</v>
      </c>
    </row>
    <row r="23" s="1" customFormat="1" ht="25" customHeight="1" spans="1:13">
      <c r="A23" s="12">
        <v>18</v>
      </c>
      <c r="B23" s="8" t="s">
        <v>41</v>
      </c>
      <c r="C23" s="7">
        <v>611</v>
      </c>
      <c r="D23" s="7">
        <v>588</v>
      </c>
      <c r="E23" s="10">
        <f t="shared" si="1"/>
        <v>1199</v>
      </c>
      <c r="F23" s="10" t="s">
        <v>27</v>
      </c>
      <c r="G23" s="10">
        <f>1232+1135+1443+592+1010+1680+1758+814+1199</f>
        <v>10863</v>
      </c>
      <c r="H23" s="24"/>
      <c r="I23" s="22">
        <f>E23/M22</f>
        <v>66.6111111111111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87</v>
      </c>
      <c r="D24" s="7">
        <v>0</v>
      </c>
      <c r="E24" s="10">
        <f t="shared" si="1"/>
        <v>87</v>
      </c>
      <c r="F24" s="10" t="s">
        <v>27</v>
      </c>
      <c r="G24" s="10">
        <f>403+357+520+369+601+404+442+288+87</f>
        <v>3471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34.56</v>
      </c>
      <c r="D25" s="7">
        <v>30.91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104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109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105</v>
      </c>
      <c r="D32" s="32"/>
      <c r="E32" s="32"/>
      <c r="F32" s="32"/>
      <c r="G32" s="32"/>
      <c r="H32" s="33"/>
      <c r="I32" s="30" t="s">
        <v>47</v>
      </c>
      <c r="J32" s="31" t="s">
        <v>52</v>
      </c>
      <c r="K32" s="28" t="s">
        <v>110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111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112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0+0+12+20+0+0+0+0+0</f>
        <v>32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6.34</v>
      </c>
      <c r="D38" s="10">
        <v>6.48</v>
      </c>
      <c r="E38" s="10">
        <f t="shared" si="2"/>
        <v>12.82</v>
      </c>
      <c r="F38" s="10" t="s">
        <v>27</v>
      </c>
      <c r="G38" s="10">
        <f>12.74+12.68+12.74+12.66+12.69+12.65+12.68+12.65+12.82</f>
        <v>114.31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13</v>
      </c>
      <c r="D39" s="10">
        <v>10</v>
      </c>
      <c r="E39" s="10">
        <f t="shared" si="2"/>
        <v>23</v>
      </c>
      <c r="F39" s="10" t="s">
        <v>27</v>
      </c>
      <c r="G39" s="10">
        <f>17+20+15+10+28+16+18+22+23</f>
        <v>169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12.7845</v>
      </c>
      <c r="D40" s="10">
        <v>0</v>
      </c>
      <c r="E40" s="10">
        <f t="shared" si="2"/>
        <v>12.7845</v>
      </c>
      <c r="F40" s="10" t="s">
        <v>14</v>
      </c>
      <c r="G40" s="10">
        <f>10.4355+1.6065+14.9715+0+7.5195+6.1695+11.313+0+12.7845</f>
        <v>64.8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206</v>
      </c>
      <c r="D42" s="10">
        <v>181</v>
      </c>
      <c r="E42" s="10">
        <f t="shared" si="2"/>
        <v>387</v>
      </c>
      <c r="F42" s="10" t="s">
        <v>27</v>
      </c>
      <c r="G42" s="10">
        <f>263+335+279+465+237+293+268+197+387</f>
        <v>2724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505</v>
      </c>
      <c r="D43" s="10">
        <v>515</v>
      </c>
      <c r="E43" s="10">
        <f t="shared" si="2"/>
        <v>1020</v>
      </c>
      <c r="F43" s="10" t="s">
        <v>27</v>
      </c>
      <c r="G43" s="10">
        <f>985+980+990+985+972+980+994+995+1020</f>
        <v>8901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</f>
        <v>0</v>
      </c>
      <c r="H44" s="24"/>
      <c r="I44" s="7">
        <v>157.5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</f>
        <v>0</v>
      </c>
      <c r="H45" s="24"/>
      <c r="I45" s="7">
        <v>91.203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2</v>
      </c>
      <c r="D46" s="7">
        <v>3</v>
      </c>
      <c r="E46" s="10">
        <f>D46+C46</f>
        <v>5</v>
      </c>
      <c r="F46" s="10" t="s">
        <v>38</v>
      </c>
      <c r="G46" s="10">
        <f>5+5+6+7+8+7+5+5+5</f>
        <v>53</v>
      </c>
      <c r="H46" s="24"/>
      <c r="I46" s="10"/>
      <c r="J46" s="40"/>
      <c r="K46" s="28"/>
      <c r="L46" s="19" t="s">
        <v>69</v>
      </c>
      <c r="M46" s="7">
        <v>5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P10" sqref="P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113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5.5</v>
      </c>
      <c r="D3" s="9">
        <v>0</v>
      </c>
      <c r="E3" s="10">
        <f t="shared" ref="E3:E13" si="0">C3+D3</f>
        <v>5.5</v>
      </c>
      <c r="F3" s="10" t="s">
        <v>14</v>
      </c>
      <c r="G3" s="10">
        <f>6.5+16+4.5+16+1+12.5+15.5+12+5+5.5</f>
        <v>94.5</v>
      </c>
      <c r="H3" s="10">
        <v>256</v>
      </c>
      <c r="I3" s="10">
        <f>H3-G3</f>
        <v>161.5</v>
      </c>
      <c r="J3" s="11"/>
      <c r="K3" s="10"/>
      <c r="L3" s="10"/>
      <c r="M3" s="10">
        <f>I3/20</f>
        <v>8.075</v>
      </c>
    </row>
    <row r="4" s="1" customFormat="1" ht="35" customHeight="1" spans="1:13">
      <c r="A4" s="12">
        <v>2</v>
      </c>
      <c r="B4" s="8" t="s">
        <v>15</v>
      </c>
      <c r="C4" s="9">
        <v>6</v>
      </c>
      <c r="D4" s="9"/>
      <c r="E4" s="10">
        <f t="shared" si="0"/>
        <v>6</v>
      </c>
      <c r="F4" s="10" t="s">
        <v>14</v>
      </c>
      <c r="G4" s="10">
        <f>0+8+16+4+16+0+14+14+12+6</f>
        <v>90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90</v>
      </c>
      <c r="E5" s="10">
        <f t="shared" si="0"/>
        <v>90</v>
      </c>
      <c r="F5" s="10" t="s">
        <v>14</v>
      </c>
      <c r="G5" s="10">
        <f>146+130+171+51+125+166+223+62+155+90</f>
        <v>1319</v>
      </c>
      <c r="H5" s="10">
        <v>3600</v>
      </c>
      <c r="I5" s="10">
        <f>H5-G5-G7-G6</f>
        <v>2256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1+2+4+1+13+3+0+0+1+0</f>
        <v>25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93.91</v>
      </c>
      <c r="D10" s="13"/>
      <c r="E10" s="10">
        <f t="shared" si="0"/>
        <v>93.91</v>
      </c>
      <c r="F10" s="13" t="s">
        <v>14</v>
      </c>
      <c r="G10" s="10">
        <f>0+0+0+31.2+31.46+62.53+0+0+93.47+93.91</f>
        <v>312.57</v>
      </c>
      <c r="H10" s="13">
        <v>4.72</v>
      </c>
      <c r="I10" s="21">
        <f>H10-K11</f>
        <v>1.994536</v>
      </c>
      <c r="J10" s="19" t="s">
        <v>22</v>
      </c>
      <c r="K10" s="10">
        <v>90</v>
      </c>
      <c r="L10" s="10">
        <v>0.86</v>
      </c>
      <c r="M10" s="20"/>
    </row>
    <row r="11" s="1" customFormat="1" ht="25" customHeight="1" spans="1:13">
      <c r="A11" s="12">
        <v>6</v>
      </c>
      <c r="B11" s="8" t="s">
        <v>23</v>
      </c>
      <c r="C11" s="10">
        <v>5.2785</v>
      </c>
      <c r="D11" s="10">
        <v>0</v>
      </c>
      <c r="E11" s="10">
        <f t="shared" si="0"/>
        <v>5.2785</v>
      </c>
      <c r="F11" s="10" t="s">
        <v>14</v>
      </c>
      <c r="G11" s="10">
        <f>8.343+4.3875+5.6565+4.9815+4.7385+4.509+9.234+6.426+5.292+5.2785</f>
        <v>58.8465</v>
      </c>
      <c r="H11" s="10"/>
      <c r="I11" s="22">
        <f>G11/G3</f>
        <v>0.622714285714286</v>
      </c>
      <c r="J11" s="19" t="s">
        <v>24</v>
      </c>
      <c r="K11" s="20">
        <f>0+0+0+0.27144+0.26741+0.537758+0+0+0.84123+0.807626</f>
        <v>2.725464</v>
      </c>
      <c r="L11" s="10"/>
      <c r="M11" s="10">
        <f>C10*L10/100</f>
        <v>0.807626</v>
      </c>
    </row>
    <row r="12" s="1" customFormat="1" ht="25" customHeight="1" spans="1:13">
      <c r="A12" s="12">
        <v>7</v>
      </c>
      <c r="B12" s="8" t="s">
        <v>25</v>
      </c>
      <c r="C12" s="10">
        <v>6.716</v>
      </c>
      <c r="D12" s="10">
        <v>0</v>
      </c>
      <c r="E12" s="10">
        <f t="shared" si="0"/>
        <v>6.716</v>
      </c>
      <c r="F12" s="10" t="s">
        <v>14</v>
      </c>
      <c r="G12" s="10">
        <f>9.7888+8.9608+16.3208+8.188+5.52+7.4336+11.5552+12.604+12.9536+6.716</f>
        <v>100.0408</v>
      </c>
      <c r="H12" s="10"/>
      <c r="I12" s="22">
        <f>G12/G3</f>
        <v>1.0586328042328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9</v>
      </c>
      <c r="D13" s="10">
        <v>35</v>
      </c>
      <c r="E13" s="10">
        <f t="shared" si="0"/>
        <v>44</v>
      </c>
      <c r="F13" s="10" t="s">
        <v>27</v>
      </c>
      <c r="G13" s="10">
        <f>203.4+427+259+315+111+439+458+304+389+44</f>
        <v>2949.4</v>
      </c>
      <c r="H13" s="10">
        <f>G13*1.05</f>
        <v>3096.87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94</v>
      </c>
      <c r="D14" s="10">
        <v>0</v>
      </c>
      <c r="E14" s="10">
        <f t="shared" ref="E14:E24" si="1">D14+C14</f>
        <v>94</v>
      </c>
      <c r="F14" s="10" t="s">
        <v>27</v>
      </c>
      <c r="G14" s="10">
        <f>194+482+152+374+40+430+460+290+230+94</f>
        <v>2746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381.99</v>
      </c>
      <c r="D15" s="10">
        <v>399.94</v>
      </c>
      <c r="E15" s="10">
        <f t="shared" si="1"/>
        <v>781.93</v>
      </c>
      <c r="F15" s="10" t="s">
        <v>27</v>
      </c>
      <c r="G15" s="10">
        <f>1051.94+1011.04+795.49+543.9+807.96+742.7+812+543.06+526.23+781.93</f>
        <v>7616.25</v>
      </c>
      <c r="H15" s="10"/>
      <c r="I15" s="22"/>
      <c r="J15" s="19" t="s">
        <v>30</v>
      </c>
      <c r="K15" s="10">
        <v>2.42</v>
      </c>
      <c r="L15" s="10">
        <v>2.65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9</v>
      </c>
      <c r="D16" s="10">
        <v>0</v>
      </c>
      <c r="E16" s="10">
        <f t="shared" si="1"/>
        <v>9</v>
      </c>
      <c r="F16" s="10" t="s">
        <v>14</v>
      </c>
      <c r="G16" s="10">
        <f>18+33+12+30+3+30+36+21+15+9</f>
        <v>207</v>
      </c>
      <c r="H16" s="10"/>
      <c r="I16" s="22">
        <f>G16/G3</f>
        <v>2.19047619047619</v>
      </c>
      <c r="J16" s="19" t="s">
        <v>32</v>
      </c>
      <c r="K16" s="20">
        <f>3.1308178+2.8699152+2.220183+1.4538464+2.0633116+2.064706+2.1593316+1.47515+1.4789079+1.9842568</f>
        <v>20.9004263</v>
      </c>
      <c r="L16" s="10"/>
      <c r="M16" s="10">
        <f>(C15*K15+L15*D15)/1000</f>
        <v>1.9842568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0+0+0.125+0+0.075+0+0+0.075+0.125+0</f>
        <v>0.4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0+0+0+0+0+0+0+0+0+0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0+2+0+2+0+2+0+2+0+0</f>
        <v>8</v>
      </c>
      <c r="H19" s="24"/>
      <c r="I19" s="22">
        <f>G19/G3</f>
        <v>0.0846560846560847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0+2+0+2+0+2+0+2+0+0</f>
        <v>8</v>
      </c>
      <c r="H20" s="24"/>
      <c r="I20" s="22">
        <f>G20/G3</f>
        <v>0.0846560846560847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0</v>
      </c>
      <c r="D21" s="7">
        <v>1</v>
      </c>
      <c r="E21" s="10">
        <f t="shared" si="1"/>
        <v>1</v>
      </c>
      <c r="F21" s="10" t="s">
        <v>38</v>
      </c>
      <c r="G21" s="10">
        <f>9+7+6+0+9+5+3+9+3+1</f>
        <v>52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189</v>
      </c>
      <c r="D22" s="7">
        <v>673</v>
      </c>
      <c r="E22" s="10">
        <f t="shared" si="1"/>
        <v>862</v>
      </c>
      <c r="F22" s="10" t="s">
        <v>27</v>
      </c>
      <c r="G22" s="10">
        <f>1104+849+1313+485+1053+1404+1362+598+991+862</f>
        <v>10021</v>
      </c>
      <c r="H22" s="26"/>
      <c r="I22" s="22">
        <f>E22/M22</f>
        <v>59.448275862069</v>
      </c>
      <c r="J22" s="19" t="s">
        <v>40</v>
      </c>
      <c r="K22" s="10">
        <f>19+13+23+6.5+17.5+24+24+9.5+18+14.5</f>
        <v>169</v>
      </c>
      <c r="L22" s="10">
        <f>G22/K22</f>
        <v>59.2958579881657</v>
      </c>
      <c r="M22" s="10">
        <v>14.5</v>
      </c>
    </row>
    <row r="23" s="1" customFormat="1" ht="25" customHeight="1" spans="1:13">
      <c r="A23" s="12">
        <v>18</v>
      </c>
      <c r="B23" s="8" t="s">
        <v>41</v>
      </c>
      <c r="C23" s="7">
        <v>128</v>
      </c>
      <c r="D23" s="7">
        <v>638</v>
      </c>
      <c r="E23" s="10">
        <f t="shared" si="1"/>
        <v>766</v>
      </c>
      <c r="F23" s="10" t="s">
        <v>27</v>
      </c>
      <c r="G23" s="10">
        <f>1232+1135+1443+592+1010+1680+1758+814+1199+766</f>
        <v>11629</v>
      </c>
      <c r="H23" s="24"/>
      <c r="I23" s="22">
        <f>E23/M22</f>
        <v>52.8275862068966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236</v>
      </c>
      <c r="D24" s="7">
        <v>126</v>
      </c>
      <c r="E24" s="10">
        <f t="shared" si="1"/>
        <v>362</v>
      </c>
      <c r="F24" s="10" t="s">
        <v>27</v>
      </c>
      <c r="G24" s="10">
        <f>403+357+520+369+601+404+442+288+87+362</f>
        <v>3833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0</v>
      </c>
      <c r="D25" s="7">
        <v>0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109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114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110</v>
      </c>
      <c r="D32" s="32"/>
      <c r="E32" s="32"/>
      <c r="F32" s="32"/>
      <c r="G32" s="32"/>
      <c r="H32" s="33"/>
      <c r="I32" s="30" t="s">
        <v>47</v>
      </c>
      <c r="J32" s="31" t="s">
        <v>52</v>
      </c>
      <c r="K32" s="28" t="s">
        <v>115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116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117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18</v>
      </c>
      <c r="D37" s="10">
        <v>0</v>
      </c>
      <c r="E37" s="10">
        <f t="shared" ref="E37:E43" si="2">D37+C37</f>
        <v>18</v>
      </c>
      <c r="F37" s="10" t="s">
        <v>27</v>
      </c>
      <c r="G37" s="10">
        <f>0+0+12+20+0+0+0+0+0+18</f>
        <v>50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6.32</v>
      </c>
      <c r="D38" s="10">
        <v>6.4</v>
      </c>
      <c r="E38" s="10">
        <f t="shared" si="2"/>
        <v>12.72</v>
      </c>
      <c r="F38" s="10" t="s">
        <v>27</v>
      </c>
      <c r="G38" s="10">
        <f>12.74+12.68+12.74+12.66+12.69+12.65+12.68+12.65+12.82+12.72</f>
        <v>127.03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5</v>
      </c>
      <c r="D39" s="10">
        <v>10</v>
      </c>
      <c r="E39" s="10">
        <f t="shared" si="2"/>
        <v>15</v>
      </c>
      <c r="F39" s="10" t="s">
        <v>27</v>
      </c>
      <c r="G39" s="10">
        <f>17+20+15+10+28+16+18+22+23+15</f>
        <v>184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0</v>
      </c>
      <c r="D40" s="10">
        <v>0</v>
      </c>
      <c r="E40" s="10">
        <f t="shared" si="2"/>
        <v>0</v>
      </c>
      <c r="F40" s="10" t="s">
        <v>14</v>
      </c>
      <c r="G40" s="10">
        <f>10.4355+1.6065+14.9715+0+7.5195+6.1695+11.313+0+12.7845+0</f>
        <v>64.8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245</v>
      </c>
      <c r="D42" s="10">
        <v>265</v>
      </c>
      <c r="E42" s="10">
        <f t="shared" si="2"/>
        <v>510</v>
      </c>
      <c r="F42" s="10" t="s">
        <v>27</v>
      </c>
      <c r="G42" s="10">
        <f>263+335+279+465+237+293+268+197+387+510</f>
        <v>3234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516</v>
      </c>
      <c r="D43" s="10">
        <v>509</v>
      </c>
      <c r="E43" s="10">
        <f t="shared" si="2"/>
        <v>1025</v>
      </c>
      <c r="F43" s="10" t="s">
        <v>27</v>
      </c>
      <c r="G43" s="10">
        <f>985+980+990+985+972+980+994+995+1020+1025</f>
        <v>9926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</f>
        <v>0</v>
      </c>
      <c r="H44" s="24"/>
      <c r="I44" s="7">
        <v>0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</f>
        <v>0</v>
      </c>
      <c r="H45" s="24"/>
      <c r="I45" s="7">
        <v>106.8378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5</v>
      </c>
      <c r="D46" s="7">
        <v>2</v>
      </c>
      <c r="E46" s="10">
        <f>D46+C46</f>
        <v>7</v>
      </c>
      <c r="F46" s="10" t="s">
        <v>38</v>
      </c>
      <c r="G46" s="10">
        <f>5+5+6+7+8+7+5+5+5+7</f>
        <v>60</v>
      </c>
      <c r="H46" s="24"/>
      <c r="I46" s="10"/>
      <c r="J46" s="40"/>
      <c r="K46" s="28"/>
      <c r="L46" s="19" t="s">
        <v>69</v>
      </c>
      <c r="M46" s="7">
        <v>12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P10" sqref="P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118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3.5</v>
      </c>
      <c r="D3" s="9">
        <v>6.5</v>
      </c>
      <c r="E3" s="10">
        <f t="shared" ref="E3:E13" si="0">C3+D3</f>
        <v>10</v>
      </c>
      <c r="F3" s="10" t="s">
        <v>14</v>
      </c>
      <c r="G3" s="10">
        <f>6.5+16+4.5+16+1+12.5+15.5+12+5+5.5+10</f>
        <v>104.5</v>
      </c>
      <c r="H3" s="10">
        <v>256</v>
      </c>
      <c r="I3" s="10">
        <f>H3-G3</f>
        <v>151.5</v>
      </c>
      <c r="J3" s="11"/>
      <c r="K3" s="10"/>
      <c r="L3" s="10"/>
      <c r="M3" s="10">
        <f>I3/19</f>
        <v>7.97368421052632</v>
      </c>
    </row>
    <row r="4" s="1" customFormat="1" ht="35" customHeight="1" spans="1:13">
      <c r="A4" s="12">
        <v>2</v>
      </c>
      <c r="B4" s="8" t="s">
        <v>15</v>
      </c>
      <c r="C4" s="9">
        <v>6</v>
      </c>
      <c r="D4" s="9"/>
      <c r="E4" s="10">
        <f t="shared" si="0"/>
        <v>6</v>
      </c>
      <c r="F4" s="10" t="s">
        <v>14</v>
      </c>
      <c r="G4" s="10">
        <f>0+8+16+4+16+0+14+14+12+6+6</f>
        <v>96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90</v>
      </c>
      <c r="D5" s="10">
        <v>37</v>
      </c>
      <c r="E5" s="10">
        <f t="shared" si="0"/>
        <v>127</v>
      </c>
      <c r="F5" s="10" t="s">
        <v>14</v>
      </c>
      <c r="G5" s="10">
        <f>146+130+171+51+125+166+223+62+155+90+127</f>
        <v>1446</v>
      </c>
      <c r="H5" s="10">
        <v>3600</v>
      </c>
      <c r="I5" s="10">
        <f>H5-G5-G7-G6</f>
        <v>2128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1</v>
      </c>
      <c r="E7" s="10">
        <f t="shared" si="0"/>
        <v>1</v>
      </c>
      <c r="F7" s="10" t="s">
        <v>14</v>
      </c>
      <c r="G7" s="10">
        <f>1+2+4+1+13+3+0+0+1+0+1</f>
        <v>26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31.7</v>
      </c>
      <c r="D10" s="13"/>
      <c r="E10" s="10">
        <f t="shared" si="0"/>
        <v>31.7</v>
      </c>
      <c r="F10" s="13" t="s">
        <v>14</v>
      </c>
      <c r="G10" s="10">
        <f>0+0+0+31.2+31.46+62.53+0+0+93.47+93.91+31.7</f>
        <v>344.27</v>
      </c>
      <c r="H10" s="13">
        <v>4.72</v>
      </c>
      <c r="I10" s="21">
        <f>H10-K11</f>
        <v>1.715576</v>
      </c>
      <c r="J10" s="19" t="s">
        <v>22</v>
      </c>
      <c r="K10" s="10">
        <v>60</v>
      </c>
      <c r="L10" s="10">
        <v>0.88</v>
      </c>
      <c r="M10" s="20"/>
    </row>
    <row r="11" s="1" customFormat="1" ht="25" customHeight="1" spans="1:13">
      <c r="A11" s="12">
        <v>6</v>
      </c>
      <c r="B11" s="8" t="s">
        <v>23</v>
      </c>
      <c r="C11" s="10">
        <v>3.8205</v>
      </c>
      <c r="D11" s="10">
        <v>0</v>
      </c>
      <c r="E11" s="10">
        <f t="shared" si="0"/>
        <v>3.8205</v>
      </c>
      <c r="F11" s="10" t="s">
        <v>14</v>
      </c>
      <c r="G11" s="10">
        <f>8.343+4.3875+5.6565+4.9815+4.7385+4.509+9.234+6.426+5.292+5.2785+3.8205</f>
        <v>62.667</v>
      </c>
      <c r="H11" s="10"/>
      <c r="I11" s="22">
        <f>G11/G3</f>
        <v>0.599684210526316</v>
      </c>
      <c r="J11" s="19" t="s">
        <v>24</v>
      </c>
      <c r="K11" s="20">
        <f>0+0+0+0.27144+0.26741+0.537758+0+0+0.84123+0.807626+0.27896</f>
        <v>3.004424</v>
      </c>
      <c r="L11" s="10"/>
      <c r="M11" s="10">
        <f>C10*L10/100</f>
        <v>0.27896</v>
      </c>
    </row>
    <row r="12" s="1" customFormat="1" ht="25" customHeight="1" spans="1:13">
      <c r="A12" s="12">
        <v>7</v>
      </c>
      <c r="B12" s="8" t="s">
        <v>25</v>
      </c>
      <c r="C12" s="10">
        <v>4.2136</v>
      </c>
      <c r="D12" s="10">
        <v>0</v>
      </c>
      <c r="E12" s="10">
        <f t="shared" si="0"/>
        <v>4.2136</v>
      </c>
      <c r="F12" s="10" t="s">
        <v>14</v>
      </c>
      <c r="G12" s="10">
        <f>9.7888+8.9608+16.3208+8.188+5.52+7.4336+11.5552+12.604+12.9536+6.716+4.2136</f>
        <v>104.2544</v>
      </c>
      <c r="H12" s="10"/>
      <c r="I12" s="22">
        <f>G12/G3</f>
        <v>0.99764976076555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207</v>
      </c>
      <c r="D13" s="10">
        <v>267</v>
      </c>
      <c r="E13" s="10">
        <f t="shared" si="0"/>
        <v>474</v>
      </c>
      <c r="F13" s="10" t="s">
        <v>27</v>
      </c>
      <c r="G13" s="10">
        <f>203.4+427+259+315+111+439+458+304+389+44+474</f>
        <v>3423.4</v>
      </c>
      <c r="H13" s="10">
        <f>G13*1.05</f>
        <v>3594.57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179</v>
      </c>
      <c r="D14" s="10">
        <v>211</v>
      </c>
      <c r="E14" s="10">
        <f t="shared" ref="E14:E24" si="1">D14+C14</f>
        <v>390</v>
      </c>
      <c r="F14" s="10" t="s">
        <v>27</v>
      </c>
      <c r="G14" s="10">
        <f>194+482+152+374+40+430+460+290+230+94+390</f>
        <v>3136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340.22</v>
      </c>
      <c r="D15" s="10">
        <v>65.89</v>
      </c>
      <c r="E15" s="10">
        <f t="shared" si="1"/>
        <v>406.11</v>
      </c>
      <c r="F15" s="10" t="s">
        <v>27</v>
      </c>
      <c r="G15" s="10">
        <f>1051.94+1011.04+795.49+543.9+807.96+742.7+812+543.06+526.23+781.93+406.11</f>
        <v>8022.36</v>
      </c>
      <c r="H15" s="10"/>
      <c r="I15" s="22"/>
      <c r="J15" s="19" t="s">
        <v>30</v>
      </c>
      <c r="K15" s="10">
        <v>2.57</v>
      </c>
      <c r="L15" s="10">
        <v>2.62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12</v>
      </c>
      <c r="D16" s="10">
        <v>15</v>
      </c>
      <c r="E16" s="10">
        <f t="shared" si="1"/>
        <v>27</v>
      </c>
      <c r="F16" s="10" t="s">
        <v>14</v>
      </c>
      <c r="G16" s="10">
        <f>18+33+12+30+3+30+36+21+15+9+27</f>
        <v>234</v>
      </c>
      <c r="H16" s="10"/>
      <c r="I16" s="22">
        <f>G16/G3</f>
        <v>2.23923444976077</v>
      </c>
      <c r="J16" s="19" t="s">
        <v>32</v>
      </c>
      <c r="K16" s="20">
        <f>3.1308178+2.8699152+2.220183+1.4538464+2.0633116+2.064706+2.1593316+1.47515+1.4789079+1.9842568+1.0469972</f>
        <v>21.9474235</v>
      </c>
      <c r="L16" s="10"/>
      <c r="M16" s="10">
        <f>(C15*K15+L15*D15)/1000</f>
        <v>1.0469972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0+0+0.125+0+0.075+0+0+0.075+0.125+0+0</f>
        <v>0.4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0+0+0+0+0+0+0+0+0+0+0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0+2+0+2+0+2+0+2+0+0+0</f>
        <v>8</v>
      </c>
      <c r="H19" s="24"/>
      <c r="I19" s="22">
        <f>G19/G3</f>
        <v>0.076555023923445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0+2+0+2+0+2+0+2+0+0+0</f>
        <v>8</v>
      </c>
      <c r="H20" s="24"/>
      <c r="I20" s="22">
        <f>G20/G3</f>
        <v>0.076555023923445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3</v>
      </c>
      <c r="D21" s="7">
        <v>0</v>
      </c>
      <c r="E21" s="10">
        <f t="shared" si="1"/>
        <v>3</v>
      </c>
      <c r="F21" s="10" t="s">
        <v>38</v>
      </c>
      <c r="G21" s="10">
        <f>9+7+6+0+9+5+3+9+3+1+3</f>
        <v>55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706</v>
      </c>
      <c r="D22" s="7">
        <v>314</v>
      </c>
      <c r="E22" s="10">
        <f t="shared" si="1"/>
        <v>1020</v>
      </c>
      <c r="F22" s="10" t="s">
        <v>27</v>
      </c>
      <c r="G22" s="10">
        <f>1104+849+1313+485+1053+1404+1362+598+991+862+1020</f>
        <v>11041</v>
      </c>
      <c r="H22" s="26"/>
      <c r="I22" s="22">
        <f>E22/M22</f>
        <v>63.75</v>
      </c>
      <c r="J22" s="19" t="s">
        <v>40</v>
      </c>
      <c r="K22" s="10">
        <f>19+13+23+6.5+17.5+24+24+9.5+18+14.5+16</f>
        <v>185</v>
      </c>
      <c r="L22" s="10">
        <f>G22/K22</f>
        <v>59.6810810810811</v>
      </c>
      <c r="M22" s="10">
        <v>16</v>
      </c>
    </row>
    <row r="23" s="1" customFormat="1" ht="25" customHeight="1" spans="1:13">
      <c r="A23" s="12">
        <v>18</v>
      </c>
      <c r="B23" s="8" t="s">
        <v>41</v>
      </c>
      <c r="C23" s="7">
        <v>848</v>
      </c>
      <c r="D23" s="7">
        <v>334</v>
      </c>
      <c r="E23" s="10">
        <f t="shared" si="1"/>
        <v>1182</v>
      </c>
      <c r="F23" s="10" t="s">
        <v>27</v>
      </c>
      <c r="G23" s="10">
        <f>1232+1135+1443+592+1010+1680+1758+814+1199+766+1182</f>
        <v>12811</v>
      </c>
      <c r="H23" s="24"/>
      <c r="I23" s="22">
        <f>E23/M22</f>
        <v>73.875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261</v>
      </c>
      <c r="D24" s="7">
        <v>0</v>
      </c>
      <c r="E24" s="10">
        <f t="shared" si="1"/>
        <v>261</v>
      </c>
      <c r="F24" s="10" t="s">
        <v>27</v>
      </c>
      <c r="G24" s="10">
        <f>403+357+520+369+601+404+442+288+87+362+261</f>
        <v>4094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30.68</v>
      </c>
      <c r="D25" s="7">
        <v>28.4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114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119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115</v>
      </c>
      <c r="D32" s="32"/>
      <c r="E32" s="32"/>
      <c r="F32" s="32"/>
      <c r="G32" s="32"/>
      <c r="H32" s="33"/>
      <c r="I32" s="30" t="s">
        <v>47</v>
      </c>
      <c r="J32" s="31" t="s">
        <v>52</v>
      </c>
      <c r="K32" s="28" t="s">
        <v>119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116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120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0+0+12+20+0+0+0+0+0+18+0</f>
        <v>50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6.38</v>
      </c>
      <c r="D38" s="10">
        <v>6.32</v>
      </c>
      <c r="E38" s="10">
        <f t="shared" si="2"/>
        <v>12.7</v>
      </c>
      <c r="F38" s="10" t="s">
        <v>27</v>
      </c>
      <c r="G38" s="10">
        <f>12.74+12.68+12.74+12.66+12.69+12.65+12.68+12.65+12.82+12.72+12.7</f>
        <v>139.73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23</v>
      </c>
      <c r="D39" s="10">
        <v>10</v>
      </c>
      <c r="E39" s="10">
        <f t="shared" si="2"/>
        <v>33</v>
      </c>
      <c r="F39" s="10" t="s">
        <v>27</v>
      </c>
      <c r="G39" s="10">
        <f>17+20+15+10+28+16+18+22+23+15+33</f>
        <v>217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5.5755</v>
      </c>
      <c r="D40" s="10">
        <v>0</v>
      </c>
      <c r="E40" s="10">
        <f t="shared" si="2"/>
        <v>5.5755</v>
      </c>
      <c r="F40" s="10" t="s">
        <v>14</v>
      </c>
      <c r="G40" s="10">
        <f>10.4355+1.6065+14.9715+0+7.5195+6.1695+11.313+0+12.7845+0+5.5755</f>
        <v>70.3755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43</v>
      </c>
      <c r="D42" s="10">
        <v>75</v>
      </c>
      <c r="E42" s="10">
        <f t="shared" si="2"/>
        <v>118</v>
      </c>
      <c r="F42" s="10" t="s">
        <v>27</v>
      </c>
      <c r="G42" s="10">
        <f>263+335+279+465+237+293+268+197+387+510+118</f>
        <v>3352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515</v>
      </c>
      <c r="D43" s="10">
        <v>514</v>
      </c>
      <c r="E43" s="10">
        <f t="shared" si="2"/>
        <v>1029</v>
      </c>
      <c r="F43" s="10" t="s">
        <v>27</v>
      </c>
      <c r="G43" s="10">
        <f>985+980+990+985+972+980+994+995+1020+1025+1029</f>
        <v>10955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</f>
        <v>0</v>
      </c>
      <c r="H44" s="24"/>
      <c r="I44" s="7">
        <v>277.5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</f>
        <v>0</v>
      </c>
      <c r="H45" s="24"/>
      <c r="I45" s="7">
        <v>99.889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2</v>
      </c>
      <c r="D46" s="7">
        <v>5</v>
      </c>
      <c r="E46" s="10">
        <f>D46+C46</f>
        <v>7</v>
      </c>
      <c r="F46" s="10" t="s">
        <v>38</v>
      </c>
      <c r="G46" s="10">
        <f>5+5+6+7+8+7+5+5+5+7+7</f>
        <v>67</v>
      </c>
      <c r="H46" s="24"/>
      <c r="I46" s="10"/>
      <c r="J46" s="40"/>
      <c r="K46" s="28"/>
      <c r="L46" s="19" t="s">
        <v>69</v>
      </c>
      <c r="M46" s="7">
        <v>9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P10" sqref="P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121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4</v>
      </c>
      <c r="D3" s="9">
        <v>0</v>
      </c>
      <c r="E3" s="10">
        <f t="shared" ref="E3:E13" si="0">C3+D3</f>
        <v>4</v>
      </c>
      <c r="F3" s="10" t="s">
        <v>14</v>
      </c>
      <c r="G3" s="10">
        <f>6.5+16+4.5+16+1+12.5+15.5+12+5+5.5+10+4</f>
        <v>108.5</v>
      </c>
      <c r="H3" s="10">
        <v>256</v>
      </c>
      <c r="I3" s="10">
        <f>H3-G3</f>
        <v>147.5</v>
      </c>
      <c r="J3" s="11"/>
      <c r="K3" s="10"/>
      <c r="L3" s="10"/>
      <c r="M3" s="10">
        <f>I3/18</f>
        <v>8.19444444444444</v>
      </c>
    </row>
    <row r="4" s="1" customFormat="1" ht="35" customHeight="1" spans="1:13">
      <c r="A4" s="12">
        <v>2</v>
      </c>
      <c r="B4" s="8" t="s">
        <v>15</v>
      </c>
      <c r="C4" s="9">
        <v>10</v>
      </c>
      <c r="D4" s="9"/>
      <c r="E4" s="10">
        <f t="shared" si="0"/>
        <v>10</v>
      </c>
      <c r="F4" s="10" t="s">
        <v>14</v>
      </c>
      <c r="G4" s="10">
        <f>0+8+16+4+16+0+14+14+12+6+6+10</f>
        <v>106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67</v>
      </c>
      <c r="E5" s="10">
        <f t="shared" si="0"/>
        <v>67</v>
      </c>
      <c r="F5" s="10" t="s">
        <v>14</v>
      </c>
      <c r="G5" s="10">
        <f>146+130+171+51+125+166+223+62+155+90+127+67</f>
        <v>1513</v>
      </c>
      <c r="H5" s="10">
        <v>3600</v>
      </c>
      <c r="I5" s="10">
        <f>H5-G5-G7-G6</f>
        <v>2061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1+2+4+1+13+3+0+0+1+0+1+0</f>
        <v>26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30.93</v>
      </c>
      <c r="D10" s="13"/>
      <c r="E10" s="10">
        <f t="shared" si="0"/>
        <v>30.93</v>
      </c>
      <c r="F10" s="13" t="s">
        <v>14</v>
      </c>
      <c r="G10" s="10">
        <f>0+0+0+31.2+31.46+62.53+0+0+93.47+93.91+31.7+30.93</f>
        <v>375.2</v>
      </c>
      <c r="H10" s="13">
        <v>4.72</v>
      </c>
      <c r="I10" s="21">
        <f>H10-K11</f>
        <v>1.449578</v>
      </c>
      <c r="J10" s="19" t="s">
        <v>22</v>
      </c>
      <c r="K10" s="10">
        <v>30</v>
      </c>
      <c r="L10" s="10">
        <v>0.86</v>
      </c>
      <c r="M10" s="20"/>
    </row>
    <row r="11" s="1" customFormat="1" ht="25" customHeight="1" spans="1:13">
      <c r="A11" s="12">
        <v>6</v>
      </c>
      <c r="B11" s="8" t="s">
        <v>23</v>
      </c>
      <c r="C11" s="10">
        <v>3.3345</v>
      </c>
      <c r="D11" s="10">
        <v>0</v>
      </c>
      <c r="E11" s="10">
        <f t="shared" si="0"/>
        <v>3.3345</v>
      </c>
      <c r="F11" s="10" t="s">
        <v>14</v>
      </c>
      <c r="G11" s="10">
        <f>8.343+4.3875+5.6565+4.9815+4.7385+4.509+9.234+6.426+5.292+5.2785+3.8205+3.3345</f>
        <v>66.0015</v>
      </c>
      <c r="H11" s="10"/>
      <c r="I11" s="22">
        <f>G11/G3</f>
        <v>0.608308755760369</v>
      </c>
      <c r="J11" s="19" t="s">
        <v>24</v>
      </c>
      <c r="K11" s="20">
        <f>0+0+0+0.27144+0.26741+0.537758+0+0+0.84123+0.807626+0.27896+0.265998</f>
        <v>3.270422</v>
      </c>
      <c r="L11" s="10"/>
      <c r="M11" s="10">
        <f>C10*L10/100</f>
        <v>0.265998</v>
      </c>
    </row>
    <row r="12" s="1" customFormat="1" ht="25" customHeight="1" spans="1:13">
      <c r="A12" s="12">
        <v>7</v>
      </c>
      <c r="B12" s="8" t="s">
        <v>25</v>
      </c>
      <c r="C12" s="10">
        <v>6.2376</v>
      </c>
      <c r="D12" s="10">
        <v>0</v>
      </c>
      <c r="E12" s="10">
        <f t="shared" si="0"/>
        <v>6.2376</v>
      </c>
      <c r="F12" s="10" t="s">
        <v>14</v>
      </c>
      <c r="G12" s="10">
        <f>9.7888+8.9608+16.3208+8.188+5.52+7.4336+11.5552+12.604+12.9536+6.716+4.2136+6.2376</f>
        <v>110.492</v>
      </c>
      <c r="H12" s="10"/>
      <c r="I12" s="22">
        <f>G12/G3</f>
        <v>1.01835944700461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6</v>
      </c>
      <c r="D13" s="10">
        <v>6</v>
      </c>
      <c r="E13" s="10">
        <f t="shared" si="0"/>
        <v>12</v>
      </c>
      <c r="F13" s="10" t="s">
        <v>27</v>
      </c>
      <c r="G13" s="10">
        <f>203.4+427+259+315+111+439+458+304+389+44+474+12</f>
        <v>3435.4</v>
      </c>
      <c r="H13" s="10">
        <f>G13*1.05</f>
        <v>3607.17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117</v>
      </c>
      <c r="D14" s="10">
        <v>0</v>
      </c>
      <c r="E14" s="10">
        <f t="shared" ref="E14:E24" si="1">D14+C14</f>
        <v>117</v>
      </c>
      <c r="F14" s="10" t="s">
        <v>27</v>
      </c>
      <c r="G14" s="10">
        <f>194+482+152+374+40+430+460+290+230+94+390+117</f>
        <v>3253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335.8</v>
      </c>
      <c r="D15" s="10">
        <v>320.14</v>
      </c>
      <c r="E15" s="10">
        <f t="shared" si="1"/>
        <v>655.94</v>
      </c>
      <c r="F15" s="10" t="s">
        <v>27</v>
      </c>
      <c r="G15" s="10">
        <f>1051.94+1011.04+795.49+543.9+807.96+742.7+812+543.06+526.23+781.93+406.11+655.94</f>
        <v>8678.3</v>
      </c>
      <c r="H15" s="10"/>
      <c r="I15" s="22"/>
      <c r="J15" s="19" t="s">
        <v>30</v>
      </c>
      <c r="K15" s="10">
        <v>2.48</v>
      </c>
      <c r="L15" s="10">
        <v>2.43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9</v>
      </c>
      <c r="D16" s="10">
        <v>0</v>
      </c>
      <c r="E16" s="10">
        <f t="shared" si="1"/>
        <v>9</v>
      </c>
      <c r="F16" s="10" t="s">
        <v>14</v>
      </c>
      <c r="G16" s="10">
        <f>18+33+12+30+3+30+36+21+15+9+27+9</f>
        <v>243</v>
      </c>
      <c r="H16" s="10"/>
      <c r="I16" s="22">
        <f>G16/G3</f>
        <v>2.23963133640553</v>
      </c>
      <c r="J16" s="19" t="s">
        <v>32</v>
      </c>
      <c r="K16" s="20">
        <f>3.1308178+2.8699152+2.220183+1.4538464+2.0633116+2.064706+2.1593316+1.47515+1.4789079+1.9842568+1.0469972+1.6107242</f>
        <v>23.5581477</v>
      </c>
      <c r="L16" s="10"/>
      <c r="M16" s="10">
        <f>(C15*K15+L15*D15)/1000</f>
        <v>1.6107242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0+0+0.125+0+0.075+0+0+0.075+0.125+0+0+0</f>
        <v>0.4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0+0+0+0+0+0+0+0+0+0+0+0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0+2+0+2+0+2+0+2+0+0+0+2</f>
        <v>10</v>
      </c>
      <c r="H19" s="24"/>
      <c r="I19" s="22">
        <f>G19/G3</f>
        <v>0.0921658986175115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0+2+0+2+0+2+0+2+0+0+0+2</f>
        <v>10</v>
      </c>
      <c r="H20" s="24"/>
      <c r="I20" s="22">
        <f>G20/G3</f>
        <v>0.0921658986175115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2</v>
      </c>
      <c r="D21" s="7">
        <v>6</v>
      </c>
      <c r="E21" s="10">
        <f t="shared" si="1"/>
        <v>8</v>
      </c>
      <c r="F21" s="10" t="s">
        <v>38</v>
      </c>
      <c r="G21" s="10">
        <f>9+7+6+0+9+5+3+9+3+1+3+8</f>
        <v>63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116</v>
      </c>
      <c r="D22" s="7">
        <v>642</v>
      </c>
      <c r="E22" s="10">
        <f t="shared" si="1"/>
        <v>758</v>
      </c>
      <c r="F22" s="10" t="s">
        <v>27</v>
      </c>
      <c r="G22" s="10">
        <f>1104+849+1313+485+1053+1404+1362+598+991+862+1020+758</f>
        <v>11799</v>
      </c>
      <c r="H22" s="26"/>
      <c r="I22" s="22">
        <f>E22/M22</f>
        <v>68.9090909090909</v>
      </c>
      <c r="J22" s="19" t="s">
        <v>40</v>
      </c>
      <c r="K22" s="10">
        <f>19+13+23+6.5+17.5+24+24+9.5+18+14.5+16+11</f>
        <v>196</v>
      </c>
      <c r="L22" s="10">
        <f>G22/K22</f>
        <v>60.1989795918367</v>
      </c>
      <c r="M22" s="10">
        <v>11</v>
      </c>
    </row>
    <row r="23" s="1" customFormat="1" ht="25" customHeight="1" spans="1:13">
      <c r="A23" s="12">
        <v>18</v>
      </c>
      <c r="B23" s="8" t="s">
        <v>41</v>
      </c>
      <c r="C23" s="7">
        <v>129</v>
      </c>
      <c r="D23" s="7">
        <v>520</v>
      </c>
      <c r="E23" s="10">
        <f t="shared" si="1"/>
        <v>649</v>
      </c>
      <c r="F23" s="10" t="s">
        <v>27</v>
      </c>
      <c r="G23" s="10">
        <f>1232+1135+1443+592+1010+1680+1758+814+1199+766+1182+649</f>
        <v>13460</v>
      </c>
      <c r="H23" s="24"/>
      <c r="I23" s="22">
        <f>E23/M22</f>
        <v>59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244</v>
      </c>
      <c r="D24" s="7">
        <v>35</v>
      </c>
      <c r="E24" s="10">
        <f t="shared" si="1"/>
        <v>279</v>
      </c>
      <c r="F24" s="10" t="s">
        <v>27</v>
      </c>
      <c r="G24" s="10">
        <f>403+357+520+369+601+404+442+288+87+362+261+279</f>
        <v>4373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0</v>
      </c>
      <c r="D25" s="7">
        <v>0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119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122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119</v>
      </c>
      <c r="D32" s="32"/>
      <c r="E32" s="32"/>
      <c r="F32" s="32"/>
      <c r="G32" s="32"/>
      <c r="H32" s="33"/>
      <c r="I32" s="30" t="s">
        <v>47</v>
      </c>
      <c r="J32" s="31" t="s">
        <v>52</v>
      </c>
      <c r="K32" s="28" t="s">
        <v>123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124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125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0+0+12+20+0+0+0+0+0+18+0+0</f>
        <v>50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6.53</v>
      </c>
      <c r="D38" s="10">
        <v>6.34</v>
      </c>
      <c r="E38" s="10">
        <f t="shared" si="2"/>
        <v>12.87</v>
      </c>
      <c r="F38" s="10" t="s">
        <v>27</v>
      </c>
      <c r="G38" s="10">
        <f>12.74+12.68+12.74+12.66+12.69+12.65+12.68+12.65+12.82+12.72+12.7+12.87</f>
        <v>152.6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8</v>
      </c>
      <c r="D39" s="10">
        <v>11</v>
      </c>
      <c r="E39" s="10">
        <f t="shared" si="2"/>
        <v>19</v>
      </c>
      <c r="F39" s="10" t="s">
        <v>27</v>
      </c>
      <c r="G39" s="10">
        <f>17+20+15+10+28+16+18+22+23+15+33+19</f>
        <v>236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6.615</v>
      </c>
      <c r="D40" s="10">
        <v>0</v>
      </c>
      <c r="E40" s="10">
        <f t="shared" si="2"/>
        <v>6.615</v>
      </c>
      <c r="F40" s="10" t="s">
        <v>14</v>
      </c>
      <c r="G40" s="10">
        <f>10.4355+1.6065+14.9715+0+7.5195+6.1695+11.313+0+12.7845+0+5.5755+6.615</f>
        <v>76.9905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34</v>
      </c>
      <c r="D42" s="10">
        <v>0</v>
      </c>
      <c r="E42" s="10">
        <f t="shared" si="2"/>
        <v>34</v>
      </c>
      <c r="F42" s="10" t="s">
        <v>27</v>
      </c>
      <c r="G42" s="10">
        <f>263+335+279+465+237+293+268+197+387+510+118+34</f>
        <v>3386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512</v>
      </c>
      <c r="D43" s="10">
        <v>509</v>
      </c>
      <c r="E43" s="10">
        <f t="shared" si="2"/>
        <v>1021</v>
      </c>
      <c r="F43" s="10" t="s">
        <v>27</v>
      </c>
      <c r="G43" s="10">
        <f>985+980+990+985+972+980+994+995+1020+1025+1029+1021</f>
        <v>11976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</f>
        <v>0</v>
      </c>
      <c r="H44" s="24"/>
      <c r="I44" s="7">
        <v>105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</f>
        <v>0</v>
      </c>
      <c r="H45" s="24"/>
      <c r="I45" s="7">
        <v>98.1518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2</v>
      </c>
      <c r="D46" s="7">
        <v>5</v>
      </c>
      <c r="E46" s="10">
        <f>D46+C46</f>
        <v>7</v>
      </c>
      <c r="F46" s="10" t="s">
        <v>38</v>
      </c>
      <c r="G46" s="10">
        <f>5+5+6+7+8+7+5+5+5+7+7+7</f>
        <v>74</v>
      </c>
      <c r="H46" s="24"/>
      <c r="I46" s="10"/>
      <c r="J46" s="40"/>
      <c r="K46" s="28"/>
      <c r="L46" s="19" t="s">
        <v>69</v>
      </c>
      <c r="M46" s="7">
        <v>9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P10" sqref="P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126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2.5</v>
      </c>
      <c r="D3" s="9">
        <v>6</v>
      </c>
      <c r="E3" s="10">
        <f t="shared" ref="E3:E13" si="0">C3+D3</f>
        <v>8.5</v>
      </c>
      <c r="F3" s="10" t="s">
        <v>14</v>
      </c>
      <c r="G3" s="10">
        <f>6.5+16+4.5+16+1+12.5+15.5+12+5+5.5+10+4+8.5</f>
        <v>117</v>
      </c>
      <c r="H3" s="10">
        <v>256</v>
      </c>
      <c r="I3" s="10">
        <f>H3-G3</f>
        <v>139</v>
      </c>
      <c r="J3" s="11"/>
      <c r="K3" s="10"/>
      <c r="L3" s="10"/>
      <c r="M3" s="10">
        <f>I3/17</f>
        <v>8.17647058823529</v>
      </c>
    </row>
    <row r="4" s="1" customFormat="1" ht="35" customHeight="1" spans="1:13">
      <c r="A4" s="12">
        <v>2</v>
      </c>
      <c r="B4" s="8" t="s">
        <v>15</v>
      </c>
      <c r="C4" s="9">
        <v>4</v>
      </c>
      <c r="D4" s="9"/>
      <c r="E4" s="10">
        <f t="shared" si="0"/>
        <v>4</v>
      </c>
      <c r="F4" s="10" t="s">
        <v>14</v>
      </c>
      <c r="G4" s="10">
        <f>0+8+16+4+16+0+14+14+12+6+6+10+4</f>
        <v>110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109</v>
      </c>
      <c r="D5" s="10">
        <v>20</v>
      </c>
      <c r="E5" s="10">
        <f t="shared" si="0"/>
        <v>129</v>
      </c>
      <c r="F5" s="10" t="s">
        <v>14</v>
      </c>
      <c r="G5" s="10">
        <f>146+130+171+51+125+166+223+62+155+90+127+67+129</f>
        <v>1642</v>
      </c>
      <c r="H5" s="10">
        <v>3600</v>
      </c>
      <c r="I5" s="10">
        <f>H5-G5-G7-G6</f>
        <v>1932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1+2+4+1+13+3+0+0+1+0+1+0+0</f>
        <v>26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</f>
        <v>0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0+0+0+31.2+31.46+62.53+0+0+93.47+93.91+31.7+30.93+0</f>
        <v>375.2</v>
      </c>
      <c r="H10" s="13">
        <v>4.72</v>
      </c>
      <c r="I10" s="21">
        <f>H10-K11</f>
        <v>1.449578</v>
      </c>
      <c r="J10" s="19" t="s">
        <v>22</v>
      </c>
      <c r="K10" s="10">
        <v>90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4.3065</v>
      </c>
      <c r="D11" s="10">
        <v>0</v>
      </c>
      <c r="E11" s="10">
        <f t="shared" si="0"/>
        <v>4.3065</v>
      </c>
      <c r="F11" s="10" t="s">
        <v>14</v>
      </c>
      <c r="G11" s="10">
        <f>8.343+4.3875+5.6565+4.9815+4.7385+4.509+9.234+6.426+5.292+5.2785+3.8205+3.3345+4.3065</f>
        <v>70.308</v>
      </c>
      <c r="H11" s="10"/>
      <c r="I11" s="22">
        <f>G11/G3</f>
        <v>0.600923076923077</v>
      </c>
      <c r="J11" s="19" t="s">
        <v>24</v>
      </c>
      <c r="K11" s="20">
        <f>0+0+0+0.27144+0.26741+0.537758+0+0+0.84123+0.807626+0.27896+0.265998+0</f>
        <v>3.270422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10.212</v>
      </c>
      <c r="D12" s="10">
        <v>0</v>
      </c>
      <c r="E12" s="10">
        <f t="shared" si="0"/>
        <v>10.212</v>
      </c>
      <c r="F12" s="10" t="s">
        <v>14</v>
      </c>
      <c r="G12" s="10">
        <f>9.7888+8.9608+16.3208+8.188+5.52+7.4336+11.5552+12.604+12.9536+6.716+4.2136+6.2376+10.212</f>
        <v>120.704</v>
      </c>
      <c r="H12" s="10"/>
      <c r="I12" s="22">
        <f>G12/G3</f>
        <v>1.03165811965812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193</v>
      </c>
      <c r="D13" s="10">
        <v>228</v>
      </c>
      <c r="E13" s="10">
        <f t="shared" si="0"/>
        <v>421</v>
      </c>
      <c r="F13" s="10" t="s">
        <v>27</v>
      </c>
      <c r="G13" s="10">
        <f>203.4+427+259+315+111+439+458+304+389+44+474+12+421</f>
        <v>3856.4</v>
      </c>
      <c r="H13" s="10">
        <f>G13*1.05</f>
        <v>4049.22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97</v>
      </c>
      <c r="D14" s="10">
        <v>191</v>
      </c>
      <c r="E14" s="10">
        <f t="shared" ref="E14:E24" si="1">D14+C14</f>
        <v>288</v>
      </c>
      <c r="F14" s="10" t="s">
        <v>27</v>
      </c>
      <c r="G14" s="10">
        <f>194+482+152+374+40+430+460+290+230+94+390+117+288</f>
        <v>3541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224.42</v>
      </c>
      <c r="D15" s="10">
        <v>97.99</v>
      </c>
      <c r="E15" s="10">
        <f t="shared" si="1"/>
        <v>322.41</v>
      </c>
      <c r="F15" s="10" t="s">
        <v>27</v>
      </c>
      <c r="G15" s="10">
        <f>1051.94+1011.04+795.49+543.9+807.96+742.7+812+543.06+526.23+781.93+406.11+655.94+322.41</f>
        <v>9000.71</v>
      </c>
      <c r="H15" s="10"/>
      <c r="I15" s="22"/>
      <c r="J15" s="19" t="s">
        <v>30</v>
      </c>
      <c r="K15" s="10">
        <v>2.43</v>
      </c>
      <c r="L15" s="10">
        <v>2.42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9</v>
      </c>
      <c r="D16" s="10">
        <v>15</v>
      </c>
      <c r="E16" s="10">
        <f t="shared" si="1"/>
        <v>24</v>
      </c>
      <c r="F16" s="10" t="s">
        <v>14</v>
      </c>
      <c r="G16" s="10">
        <f>18+33+12+30+3+30+36+21+15+9+27+9+24</f>
        <v>267</v>
      </c>
      <c r="H16" s="10"/>
      <c r="I16" s="22">
        <f>G16/G3</f>
        <v>2.28205128205128</v>
      </c>
      <c r="J16" s="19" t="s">
        <v>32</v>
      </c>
      <c r="K16" s="20">
        <f>3.1308178+2.8699152+2.220183+1.4538464+2.0633116+2.064706+2.1593316+1.47515+1.4789079+1.9842568+1.0469972+1.6107242+0.7824764</f>
        <v>24.3406241</v>
      </c>
      <c r="L16" s="10"/>
      <c r="M16" s="10">
        <f>(C15*K15+L15*D15)/1000</f>
        <v>0.7824764</v>
      </c>
    </row>
    <row r="17" s="1" customFormat="1" ht="25" customHeight="1" spans="1:13">
      <c r="A17" s="12">
        <v>12</v>
      </c>
      <c r="B17" s="8" t="s">
        <v>33</v>
      </c>
      <c r="C17" s="7">
        <v>0.075</v>
      </c>
      <c r="D17" s="7">
        <v>0.0125</v>
      </c>
      <c r="E17" s="10">
        <f t="shared" si="1"/>
        <v>0.0875</v>
      </c>
      <c r="F17" s="10" t="s">
        <v>14</v>
      </c>
      <c r="G17" s="10">
        <f>0+0+0.125+0+0.075+0+0+0.075+0.125+0+0+0+0.0875</f>
        <v>0.4875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0+0+0+0+0+0+0+0+0+0+0+0+0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0+2+0+2+0+2+0+2+0+0+0+2+0</f>
        <v>10</v>
      </c>
      <c r="H19" s="24"/>
      <c r="I19" s="22">
        <f>G19/G3</f>
        <v>0.0854700854700855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0+2+0+2+0+2+0+2+0+0+0+2+0</f>
        <v>10</v>
      </c>
      <c r="H20" s="24"/>
      <c r="I20" s="22">
        <f>G20/G3</f>
        <v>0.0854700854700855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0</v>
      </c>
      <c r="D21" s="7">
        <v>0</v>
      </c>
      <c r="E21" s="10">
        <f t="shared" si="1"/>
        <v>0</v>
      </c>
      <c r="F21" s="10" t="s">
        <v>38</v>
      </c>
      <c r="G21" s="10">
        <f>9+7+6+0+9+5+3+9+3+1+3+8+0</f>
        <v>63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685</v>
      </c>
      <c r="D22" s="7">
        <v>132</v>
      </c>
      <c r="E22" s="10">
        <f t="shared" si="1"/>
        <v>817</v>
      </c>
      <c r="F22" s="10" t="s">
        <v>27</v>
      </c>
      <c r="G22" s="10">
        <f>1104+849+1313+485+1053+1404+1362+598+991+862+1020+758+817</f>
        <v>12616</v>
      </c>
      <c r="H22" s="26"/>
      <c r="I22" s="22">
        <f>E22/M22</f>
        <v>65.36</v>
      </c>
      <c r="J22" s="19" t="s">
        <v>40</v>
      </c>
      <c r="K22" s="10">
        <f>19+13+23+6.5+17.5+24+24+9.5+18+14.5+16+11+12.5</f>
        <v>208.5</v>
      </c>
      <c r="L22" s="10">
        <f>G22/K22</f>
        <v>60.5083932853717</v>
      </c>
      <c r="M22" s="10">
        <v>12.5</v>
      </c>
    </row>
    <row r="23" s="1" customFormat="1" ht="25" customHeight="1" spans="1:13">
      <c r="A23" s="12">
        <v>18</v>
      </c>
      <c r="B23" s="8" t="s">
        <v>41</v>
      </c>
      <c r="C23" s="7">
        <v>861</v>
      </c>
      <c r="D23" s="7">
        <v>124</v>
      </c>
      <c r="E23" s="10">
        <f t="shared" si="1"/>
        <v>985</v>
      </c>
      <c r="F23" s="10" t="s">
        <v>27</v>
      </c>
      <c r="G23" s="10">
        <f>1232+1135+1443+592+1010+1680+1758+814+1199+766+1182+649+985</f>
        <v>14445</v>
      </c>
      <c r="H23" s="24"/>
      <c r="I23" s="22">
        <f>E23/M22</f>
        <v>78.8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0</v>
      </c>
      <c r="D24" s="7">
        <v>171</v>
      </c>
      <c r="E24" s="10">
        <f t="shared" si="1"/>
        <v>171</v>
      </c>
      <c r="F24" s="10" t="s">
        <v>27</v>
      </c>
      <c r="G24" s="10">
        <f>403+357+520+369+601+404+442+288+87+362+261+279+171</f>
        <v>4544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30.11</v>
      </c>
      <c r="D25" s="7">
        <v>29.55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122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127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123</v>
      </c>
      <c r="D32" s="32"/>
      <c r="E32" s="32"/>
      <c r="F32" s="32"/>
      <c r="G32" s="32"/>
      <c r="H32" s="33"/>
      <c r="I32" s="30" t="s">
        <v>47</v>
      </c>
      <c r="J32" s="31" t="s">
        <v>52</v>
      </c>
      <c r="K32" s="28" t="s">
        <v>128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129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130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0+0+12+20+0+0+0+0+0+18+0+0+0</f>
        <v>50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6.38</v>
      </c>
      <c r="D38" s="10">
        <v>6.35</v>
      </c>
      <c r="E38" s="10">
        <f t="shared" si="2"/>
        <v>12.73</v>
      </c>
      <c r="F38" s="10" t="s">
        <v>27</v>
      </c>
      <c r="G38" s="10">
        <f>12.74+12.68+12.74+12.66+12.69+12.65+12.68+12.65+12.82+12.72+12.7+12.87+12.73</f>
        <v>165.33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11</v>
      </c>
      <c r="D39" s="10">
        <v>9</v>
      </c>
      <c r="E39" s="10">
        <f t="shared" si="2"/>
        <v>20</v>
      </c>
      <c r="F39" s="10" t="s">
        <v>27</v>
      </c>
      <c r="G39" s="10">
        <f>17+20+15+10+28+16+18+22+23+15+33+19+20</f>
        <v>256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12.285</v>
      </c>
      <c r="D40" s="10">
        <v>0</v>
      </c>
      <c r="E40" s="10">
        <f t="shared" si="2"/>
        <v>12.285</v>
      </c>
      <c r="F40" s="10" t="s">
        <v>14</v>
      </c>
      <c r="G40" s="10">
        <f>10.4355+1.6065+14.9715+0+7.5195+6.1695+11.313+0+12.7845+0+5.5755+6.615+12.285</f>
        <v>89.2755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49</v>
      </c>
      <c r="D42" s="10">
        <v>26</v>
      </c>
      <c r="E42" s="10">
        <f t="shared" si="2"/>
        <v>75</v>
      </c>
      <c r="F42" s="10" t="s">
        <v>27</v>
      </c>
      <c r="G42" s="10">
        <f>263+335+279+465+237+293+268+197+387+510+118+34+75</f>
        <v>3461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492</v>
      </c>
      <c r="D43" s="10">
        <v>509</v>
      </c>
      <c r="E43" s="10">
        <f t="shared" si="2"/>
        <v>1001</v>
      </c>
      <c r="F43" s="10" t="s">
        <v>27</v>
      </c>
      <c r="G43" s="10">
        <f>985+980+990+985+972+980+994+995+1020+1025+1029+1021+1001</f>
        <v>12977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</f>
        <v>0</v>
      </c>
      <c r="H44" s="24"/>
      <c r="I44" s="7">
        <v>465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</f>
        <v>0</v>
      </c>
      <c r="H45" s="24"/>
      <c r="I45" s="7">
        <v>93.8088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3</v>
      </c>
      <c r="D46" s="7">
        <v>5</v>
      </c>
      <c r="E46" s="10">
        <f>D46+C46</f>
        <v>8</v>
      </c>
      <c r="F46" s="10" t="s">
        <v>38</v>
      </c>
      <c r="G46" s="10">
        <f>5+5+6+7+8+7+5+5+5+7+7+7+8</f>
        <v>82</v>
      </c>
      <c r="H46" s="24"/>
      <c r="I46" s="10"/>
      <c r="J46" s="40"/>
      <c r="K46" s="28"/>
      <c r="L46" s="19" t="s">
        <v>69</v>
      </c>
      <c r="M46" s="7">
        <v>8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P10" sqref="P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131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4.5</v>
      </c>
      <c r="D3" s="9">
        <v>0</v>
      </c>
      <c r="E3" s="10">
        <f t="shared" ref="E3:E13" si="0">C3+D3</f>
        <v>4.5</v>
      </c>
      <c r="F3" s="10" t="s">
        <v>14</v>
      </c>
      <c r="G3" s="10">
        <f>6.5+16+4.5+16+1+12.5+15.5+12+5+5.5+10+4+8.5+4.5</f>
        <v>121.5</v>
      </c>
      <c r="H3" s="10">
        <v>256</v>
      </c>
      <c r="I3" s="10">
        <f>H3-G3</f>
        <v>134.5</v>
      </c>
      <c r="J3" s="11"/>
      <c r="K3" s="10"/>
      <c r="L3" s="10"/>
      <c r="M3" s="10">
        <f>I3/16</f>
        <v>8.40625</v>
      </c>
    </row>
    <row r="4" s="1" customFormat="1" ht="35" customHeight="1" spans="1:13">
      <c r="A4" s="12">
        <v>2</v>
      </c>
      <c r="B4" s="8" t="s">
        <v>15</v>
      </c>
      <c r="C4" s="9">
        <v>8</v>
      </c>
      <c r="D4" s="9"/>
      <c r="E4" s="10">
        <f t="shared" si="0"/>
        <v>8</v>
      </c>
      <c r="F4" s="10" t="s">
        <v>14</v>
      </c>
      <c r="G4" s="10">
        <f>0+8+16+4+16+0+14+14+12+6+6+10+4+8</f>
        <v>118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50</v>
      </c>
      <c r="E5" s="10">
        <f t="shared" si="0"/>
        <v>50</v>
      </c>
      <c r="F5" s="10" t="s">
        <v>14</v>
      </c>
      <c r="G5" s="10">
        <f>146+130+171+51+125+166+223+62+155+90+127+67+129+50</f>
        <v>1692</v>
      </c>
      <c r="H5" s="10">
        <v>3600</v>
      </c>
      <c r="I5" s="10">
        <f>H5-G5-G7-G6</f>
        <v>1882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1+2+4+1+13+3+0+0+1+0+1+0+0+0</f>
        <v>26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7</v>
      </c>
      <c r="D8" s="10">
        <v>0</v>
      </c>
      <c r="E8" s="10">
        <f t="shared" si="0"/>
        <v>7</v>
      </c>
      <c r="F8" s="10" t="s">
        <v>14</v>
      </c>
      <c r="G8" s="10">
        <f>0+0+0+0+0+0+0+0+0+0+0+0+0+7</f>
        <v>7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27.33</v>
      </c>
      <c r="D10" s="13"/>
      <c r="E10" s="10">
        <f t="shared" si="0"/>
        <v>27.33</v>
      </c>
      <c r="F10" s="13" t="s">
        <v>14</v>
      </c>
      <c r="G10" s="10">
        <f>0+0+0+31.2+31.46+62.53+0+0+93.47+93.91+31.7+30.93+0+27.33</f>
        <v>402.53</v>
      </c>
      <c r="H10" s="13">
        <v>4.72</v>
      </c>
      <c r="I10" s="21">
        <f>H10-K11</f>
        <v>1.21454</v>
      </c>
      <c r="J10" s="19" t="s">
        <v>22</v>
      </c>
      <c r="K10" s="10">
        <v>30</v>
      </c>
      <c r="L10" s="10">
        <v>0.86</v>
      </c>
      <c r="M10" s="20"/>
    </row>
    <row r="11" s="1" customFormat="1" ht="25" customHeight="1" spans="1:13">
      <c r="A11" s="12">
        <v>6</v>
      </c>
      <c r="B11" s="8" t="s">
        <v>23</v>
      </c>
      <c r="C11" s="10">
        <v>3.726</v>
      </c>
      <c r="D11" s="10">
        <v>0</v>
      </c>
      <c r="E11" s="10">
        <f t="shared" si="0"/>
        <v>3.726</v>
      </c>
      <c r="F11" s="10" t="s">
        <v>14</v>
      </c>
      <c r="G11" s="10">
        <f>8.343+4.3875+5.6565+4.9815+4.7385+4.509+9.234+6.426+5.292+5.2785+3.8205+3.3345+4.3065+3.726</f>
        <v>74.034</v>
      </c>
      <c r="H11" s="10"/>
      <c r="I11" s="22">
        <f>G11/G3</f>
        <v>0.609333333333333</v>
      </c>
      <c r="J11" s="19" t="s">
        <v>24</v>
      </c>
      <c r="K11" s="20">
        <f>0+0+0+0.27144+0.26741+0.537758+0+0+0.84123+0.807626+0.27896+0.265998+0+0.235038</f>
        <v>3.50546</v>
      </c>
      <c r="L11" s="10"/>
      <c r="M11" s="10">
        <f>C10*L10/100</f>
        <v>0.235038</v>
      </c>
    </row>
    <row r="12" s="1" customFormat="1" ht="25" customHeight="1" spans="1:13">
      <c r="A12" s="12">
        <v>7</v>
      </c>
      <c r="B12" s="8" t="s">
        <v>25</v>
      </c>
      <c r="C12" s="10">
        <v>3.2384</v>
      </c>
      <c r="D12" s="10">
        <v>0</v>
      </c>
      <c r="E12" s="10">
        <f t="shared" si="0"/>
        <v>3.2384</v>
      </c>
      <c r="F12" s="10" t="s">
        <v>14</v>
      </c>
      <c r="G12" s="10">
        <f>9.7888+8.9608+16.3208+8.188+5.52+7.4336+11.5552+12.604+12.9536+6.716+4.2136+6.2376+10.212+3.2384</f>
        <v>123.9424</v>
      </c>
      <c r="H12" s="10"/>
      <c r="I12" s="22">
        <f>G12/G3</f>
        <v>1.02010205761317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8</v>
      </c>
      <c r="D13" s="10">
        <v>10</v>
      </c>
      <c r="E13" s="10">
        <f t="shared" si="0"/>
        <v>18</v>
      </c>
      <c r="F13" s="10" t="s">
        <v>27</v>
      </c>
      <c r="G13" s="10">
        <f>203.4+427+259+315+111+439+458+304+389+44+474+12+421+18</f>
        <v>3874.4</v>
      </c>
      <c r="H13" s="10">
        <f>G13*1.05</f>
        <v>4068.12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100</v>
      </c>
      <c r="D14" s="10">
        <v>0</v>
      </c>
      <c r="E14" s="10">
        <f t="shared" ref="E14:E24" si="1">D14+C14</f>
        <v>100</v>
      </c>
      <c r="F14" s="10" t="s">
        <v>27</v>
      </c>
      <c r="G14" s="10">
        <f>194+482+152+374+40+430+460+290+230+94+390+117+288+100</f>
        <v>3641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267.14</v>
      </c>
      <c r="D15" s="10">
        <v>276.67</v>
      </c>
      <c r="E15" s="10">
        <f t="shared" si="1"/>
        <v>543.81</v>
      </c>
      <c r="F15" s="10" t="s">
        <v>27</v>
      </c>
      <c r="G15" s="10">
        <f>1051.94+1011.04+795.49+543.9+807.96+742.7+812+543.06+526.23+781.93+406.11+655.94+322.41+543.81</f>
        <v>9544.52</v>
      </c>
      <c r="H15" s="10"/>
      <c r="I15" s="22"/>
      <c r="J15" s="19" t="s">
        <v>30</v>
      </c>
      <c r="K15" s="10">
        <v>2.33</v>
      </c>
      <c r="L15" s="10">
        <v>2.57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6</v>
      </c>
      <c r="D16" s="10">
        <v>0</v>
      </c>
      <c r="E16" s="10">
        <f t="shared" si="1"/>
        <v>6</v>
      </c>
      <c r="F16" s="10" t="s">
        <v>14</v>
      </c>
      <c r="G16" s="10">
        <f>18+33+12+30+3+30+36+21+15+9+27+9+24+6</f>
        <v>273</v>
      </c>
      <c r="H16" s="10"/>
      <c r="I16" s="22">
        <f>G16/G3</f>
        <v>2.24691358024691</v>
      </c>
      <c r="J16" s="19" t="s">
        <v>32</v>
      </c>
      <c r="K16" s="20">
        <f>3.1308178+2.8699152+2.220183+1.4538464+2.0633116+2.064706+2.1593316+1.47515+1.4789079+1.9842568+1.0469972+1.6107242+0.7824764+1.3334781</f>
        <v>25.6741022</v>
      </c>
      <c r="L16" s="10"/>
      <c r="M16" s="10">
        <f>(C15*K15+L15*D15)/1000</f>
        <v>1.3334781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0+0+0.125+0+0.075+0+0+0.075+0.125+0+0+0+0.0875+0</f>
        <v>0.4875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0+0+0+0+0+0+0+0+0+0+0+0+0+0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0+2+0+2+0+2+0+2+0+0+0+2+0+0</f>
        <v>10</v>
      </c>
      <c r="H19" s="24"/>
      <c r="I19" s="22">
        <f>G19/G3</f>
        <v>0.0823045267489712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0+2+0+2+0+2+0+2+0+0+0+2+0+0</f>
        <v>10</v>
      </c>
      <c r="H20" s="24"/>
      <c r="I20" s="22">
        <f>G20/G3</f>
        <v>0.0823045267489712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4</v>
      </c>
      <c r="D21" s="7">
        <v>0</v>
      </c>
      <c r="E21" s="10">
        <f t="shared" si="1"/>
        <v>4</v>
      </c>
      <c r="F21" s="10" t="s">
        <v>38</v>
      </c>
      <c r="G21" s="10">
        <f>9+7+6+0+9+5+3+9+3+1+3+8+0+4</f>
        <v>67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91</v>
      </c>
      <c r="D22" s="7">
        <v>512</v>
      </c>
      <c r="E22" s="10">
        <f t="shared" si="1"/>
        <v>603</v>
      </c>
      <c r="F22" s="10" t="s">
        <v>27</v>
      </c>
      <c r="G22" s="10">
        <f>1104+849+1313+485+1053+1404+1362+598+991+862+1020+758+817+603</f>
        <v>13219</v>
      </c>
      <c r="H22" s="26"/>
      <c r="I22" s="22">
        <f>E22/M22</f>
        <v>67</v>
      </c>
      <c r="J22" s="19" t="s">
        <v>40</v>
      </c>
      <c r="K22" s="10">
        <f>19+13+23+6.5+17.5+24+24+9.5+18+14.5+16+11+12.5+9</f>
        <v>217.5</v>
      </c>
      <c r="L22" s="10">
        <f>G22/K22</f>
        <v>60.7770114942529</v>
      </c>
      <c r="M22" s="10">
        <v>9</v>
      </c>
    </row>
    <row r="23" s="1" customFormat="1" ht="25" customHeight="1" spans="1:13">
      <c r="A23" s="12">
        <v>18</v>
      </c>
      <c r="B23" s="8" t="s">
        <v>41</v>
      </c>
      <c r="C23" s="7">
        <v>127</v>
      </c>
      <c r="D23" s="7">
        <v>480</v>
      </c>
      <c r="E23" s="10">
        <f t="shared" si="1"/>
        <v>607</v>
      </c>
      <c r="F23" s="10" t="s">
        <v>27</v>
      </c>
      <c r="G23" s="10">
        <f>1232+1135+1443+592+1010+1680+1758+814+1199+766+1182+649+985+607</f>
        <v>15052</v>
      </c>
      <c r="H23" s="24"/>
      <c r="I23" s="22">
        <f>E23/M22</f>
        <v>67.4444444444444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0</v>
      </c>
      <c r="D24" s="7">
        <v>177</v>
      </c>
      <c r="E24" s="10">
        <f t="shared" si="1"/>
        <v>177</v>
      </c>
      <c r="F24" s="10" t="s">
        <v>27</v>
      </c>
      <c r="G24" s="10">
        <f>403+357+520+369+601+404+442+288+87+362+261+279+171+177</f>
        <v>4721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0</v>
      </c>
      <c r="D25" s="7">
        <v>0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127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132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128</v>
      </c>
      <c r="D32" s="32"/>
      <c r="E32" s="32"/>
      <c r="F32" s="32"/>
      <c r="G32" s="32"/>
      <c r="H32" s="33"/>
      <c r="I32" s="30" t="s">
        <v>47</v>
      </c>
      <c r="J32" s="31" t="s">
        <v>52</v>
      </c>
      <c r="K32" s="28" t="s">
        <v>133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134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135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0+0+12+20+0+0+0+0+0+18+0+0+0+0</f>
        <v>50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6.49</v>
      </c>
      <c r="D38" s="10">
        <v>6.37</v>
      </c>
      <c r="E38" s="10">
        <f t="shared" si="2"/>
        <v>12.86</v>
      </c>
      <c r="F38" s="10" t="s">
        <v>27</v>
      </c>
      <c r="G38" s="10">
        <f>12.74+12.68+12.74+12.66+12.69+12.65+12.68+12.65+12.82+12.72+12.7+12.87+12.73+12.86</f>
        <v>178.19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21</v>
      </c>
      <c r="D39" s="10">
        <v>8</v>
      </c>
      <c r="E39" s="10">
        <f t="shared" si="2"/>
        <v>29</v>
      </c>
      <c r="F39" s="10" t="s">
        <v>27</v>
      </c>
      <c r="G39" s="10">
        <f>17+20+15+10+28+16+18+22+23+15+33+19+20+29</f>
        <v>285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0</v>
      </c>
      <c r="D40" s="10">
        <v>0</v>
      </c>
      <c r="E40" s="10">
        <f t="shared" si="2"/>
        <v>0</v>
      </c>
      <c r="F40" s="10" t="s">
        <v>14</v>
      </c>
      <c r="G40" s="10">
        <f>10.4355+1.6065+14.9715+0+7.5195+6.1695+11.313+0+12.7845+0+5.5755+6.615+12.285+0</f>
        <v>89.2755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0</v>
      </c>
      <c r="D42" s="10">
        <v>6</v>
      </c>
      <c r="E42" s="10">
        <f t="shared" si="2"/>
        <v>6</v>
      </c>
      <c r="F42" s="10" t="s">
        <v>27</v>
      </c>
      <c r="G42" s="10">
        <f>263+335+279+465+237+293+268+197+387+510+118+34+75+6</f>
        <v>3467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516</v>
      </c>
      <c r="D43" s="10">
        <v>514</v>
      </c>
      <c r="E43" s="10">
        <f t="shared" si="2"/>
        <v>1030</v>
      </c>
      <c r="F43" s="10" t="s">
        <v>27</v>
      </c>
      <c r="G43" s="10">
        <f>985+980+990+985+972+980+994+995+1020+1025+1029+1021+1001+1030</f>
        <v>14007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</f>
        <v>0</v>
      </c>
      <c r="H44" s="24"/>
      <c r="I44" s="7">
        <v>225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</f>
        <v>0</v>
      </c>
      <c r="H45" s="24"/>
      <c r="I45" s="7">
        <v>94.6774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2</v>
      </c>
      <c r="D46" s="7">
        <v>3</v>
      </c>
      <c r="E46" s="10">
        <f>D46+C46</f>
        <v>5</v>
      </c>
      <c r="F46" s="10" t="s">
        <v>38</v>
      </c>
      <c r="G46" s="10">
        <f>5+5+6+7+8+7+5+5+5+7+7+7+8+5</f>
        <v>87</v>
      </c>
      <c r="H46" s="24"/>
      <c r="I46" s="10"/>
      <c r="J46" s="40"/>
      <c r="K46" s="28"/>
      <c r="L46" s="19" t="s">
        <v>69</v>
      </c>
      <c r="M46" s="7">
        <v>5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P10" sqref="P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136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2</v>
      </c>
      <c r="D3" s="9">
        <v>6.5</v>
      </c>
      <c r="E3" s="10">
        <f t="shared" ref="E3:E13" si="0">C3+D3</f>
        <v>8.5</v>
      </c>
      <c r="F3" s="10" t="s">
        <v>14</v>
      </c>
      <c r="G3" s="10">
        <f>6.5+16+4.5+16+1+12.5+15.5+12+5+5.5+10+4+8.5+4.5+8.5</f>
        <v>130</v>
      </c>
      <c r="H3" s="10">
        <v>256</v>
      </c>
      <c r="I3" s="10">
        <f>H3-G3</f>
        <v>126</v>
      </c>
      <c r="J3" s="11"/>
      <c r="K3" s="10"/>
      <c r="L3" s="10"/>
      <c r="M3" s="10">
        <f>I3/15</f>
        <v>8.4</v>
      </c>
    </row>
    <row r="4" s="1" customFormat="1" ht="35" customHeight="1" spans="1:13">
      <c r="A4" s="12">
        <v>2</v>
      </c>
      <c r="B4" s="8" t="s">
        <v>15</v>
      </c>
      <c r="C4" s="9">
        <v>4</v>
      </c>
      <c r="D4" s="9"/>
      <c r="E4" s="10">
        <f t="shared" si="0"/>
        <v>4</v>
      </c>
      <c r="F4" s="10" t="s">
        <v>14</v>
      </c>
      <c r="G4" s="10">
        <f>0+8+16+4+16+0+14+14+12+6+6+10+4+8+4</f>
        <v>122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94</v>
      </c>
      <c r="D5" s="10">
        <v>19</v>
      </c>
      <c r="E5" s="10">
        <f t="shared" si="0"/>
        <v>113</v>
      </c>
      <c r="F5" s="10" t="s">
        <v>14</v>
      </c>
      <c r="G5" s="10">
        <f>146+130+171+51+125+166+223+62+155+90+127+67+129+50+113</f>
        <v>1805</v>
      </c>
      <c r="H5" s="10">
        <v>3600</v>
      </c>
      <c r="I5" s="10">
        <f>H5-G5-G7-G6</f>
        <v>1765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4</v>
      </c>
      <c r="D7" s="10">
        <v>0</v>
      </c>
      <c r="E7" s="10">
        <f t="shared" si="0"/>
        <v>4</v>
      </c>
      <c r="F7" s="10" t="s">
        <v>14</v>
      </c>
      <c r="G7" s="10">
        <f>1+2+4+1+13+3+0+0+1+0+1+0+0+0+4</f>
        <v>30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0+0+0+0+0+0+0+0+0+0+0+0+0+7+0</f>
        <v>7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31.02</v>
      </c>
      <c r="D10" s="13"/>
      <c r="E10" s="10">
        <f t="shared" si="0"/>
        <v>31.02</v>
      </c>
      <c r="F10" s="13" t="s">
        <v>14</v>
      </c>
      <c r="G10" s="10">
        <f>0+0+0+31.2+31.46+62.53+0+0+93.47+93.91+31.7+30.93+0+27.33+31.02</f>
        <v>433.55</v>
      </c>
      <c r="H10" s="13">
        <v>4.72</v>
      </c>
      <c r="I10" s="21">
        <f>H10-K11</f>
        <v>0.944665999999999</v>
      </c>
      <c r="J10" s="19" t="s">
        <v>22</v>
      </c>
      <c r="K10" s="10">
        <v>90</v>
      </c>
      <c r="L10" s="10">
        <v>0.87</v>
      </c>
      <c r="M10" s="20"/>
    </row>
    <row r="11" s="1" customFormat="1" ht="25" customHeight="1" spans="1:13">
      <c r="A11" s="12">
        <v>6</v>
      </c>
      <c r="B11" s="8" t="s">
        <v>23</v>
      </c>
      <c r="C11" s="10">
        <v>2.808</v>
      </c>
      <c r="D11" s="10">
        <v>0</v>
      </c>
      <c r="E11" s="10">
        <f t="shared" si="0"/>
        <v>2.808</v>
      </c>
      <c r="F11" s="10" t="s">
        <v>14</v>
      </c>
      <c r="G11" s="10">
        <f>8.343+4.3875+5.6565+4.9815+4.7385+4.509+9.234+6.426+5.292+5.2785+3.8205+3.3345+4.3065+3.726+2.808</f>
        <v>76.842</v>
      </c>
      <c r="H11" s="10"/>
      <c r="I11" s="22">
        <f>G11/G3</f>
        <v>0.591092307692308</v>
      </c>
      <c r="J11" s="19" t="s">
        <v>24</v>
      </c>
      <c r="K11" s="20">
        <f>0+0+0+0.27144+0.26741+0.537758+0+0+0.84123+0.807626+0.27896+0.265998+0+0.235038+0.269874</f>
        <v>3.775334</v>
      </c>
      <c r="L11" s="10"/>
      <c r="M11" s="10">
        <f>C10*L10/100</f>
        <v>0.269874</v>
      </c>
    </row>
    <row r="12" s="1" customFormat="1" ht="25" customHeight="1" spans="1:13">
      <c r="A12" s="12">
        <v>7</v>
      </c>
      <c r="B12" s="8" t="s">
        <v>25</v>
      </c>
      <c r="C12" s="10">
        <v>11.132</v>
      </c>
      <c r="D12" s="10">
        <v>0</v>
      </c>
      <c r="E12" s="10">
        <f t="shared" si="0"/>
        <v>11.132</v>
      </c>
      <c r="F12" s="10" t="s">
        <v>14</v>
      </c>
      <c r="G12" s="10">
        <f>9.7888+8.9608+16.3208+8.188+5.52+7.4336+11.5552+12.604+12.9536+6.716+4.2136+6.2376+10.212+3.2384+11.132</f>
        <v>135.0744</v>
      </c>
      <c r="H12" s="10"/>
      <c r="I12" s="22">
        <f>G12/G3</f>
        <v>1.03903384615385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142</v>
      </c>
      <c r="D13" s="10">
        <v>220</v>
      </c>
      <c r="E13" s="10">
        <f t="shared" si="0"/>
        <v>362</v>
      </c>
      <c r="F13" s="10" t="s">
        <v>27</v>
      </c>
      <c r="G13" s="10">
        <f>203.4+427+259+315+111+439+458+304+389+44+474+12+421+18+362</f>
        <v>4236.4</v>
      </c>
      <c r="H13" s="10">
        <f>G13*1.05</f>
        <v>4448.22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47</v>
      </c>
      <c r="D14" s="10">
        <v>186</v>
      </c>
      <c r="E14" s="10">
        <f t="shared" ref="E14:E24" si="1">D14+C14</f>
        <v>233</v>
      </c>
      <c r="F14" s="10" t="s">
        <v>27</v>
      </c>
      <c r="G14" s="10">
        <f>194+482+152+374+40+430+460+290+230+94+390+117+288+100+233</f>
        <v>3874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304.72</v>
      </c>
      <c r="D15" s="10">
        <v>245.83</v>
      </c>
      <c r="E15" s="10">
        <f t="shared" si="1"/>
        <v>550.55</v>
      </c>
      <c r="F15" s="10" t="s">
        <v>27</v>
      </c>
      <c r="G15" s="10">
        <f>1051.94+1011.04+795.49+543.9+807.96+742.7+812+543.06+526.23+781.93+406.11+655.94+322.41+543.81+550.55</f>
        <v>10095.07</v>
      </c>
      <c r="H15" s="10"/>
      <c r="I15" s="22"/>
      <c r="J15" s="19" t="s">
        <v>30</v>
      </c>
      <c r="K15" s="10">
        <v>2.45</v>
      </c>
      <c r="L15" s="10">
        <v>2.43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3</v>
      </c>
      <c r="D16" s="10">
        <v>15</v>
      </c>
      <c r="E16" s="10">
        <f t="shared" si="1"/>
        <v>18</v>
      </c>
      <c r="F16" s="10" t="s">
        <v>14</v>
      </c>
      <c r="G16" s="10">
        <f>18+33+12+30+3+30+36+21+15+9+27+9+24+6+18</f>
        <v>291</v>
      </c>
      <c r="H16" s="10"/>
      <c r="I16" s="22">
        <f>G16/G3</f>
        <v>2.23846153846154</v>
      </c>
      <c r="J16" s="19" t="s">
        <v>32</v>
      </c>
      <c r="K16" s="20">
        <f>3.1308178+2.8699152+2.220183+1.4538464+2.0633116+2.064706+2.1593316+1.47515+1.4789079+1.9842568+1.0469972+1.6107242+0.7824764+1.3334781+1.3439309</f>
        <v>27.0180331</v>
      </c>
      <c r="L16" s="10"/>
      <c r="M16" s="10">
        <f>(C15*K15+L15*D15)/1000</f>
        <v>1.3439309</v>
      </c>
    </row>
    <row r="17" s="1" customFormat="1" ht="25" customHeight="1" spans="1:13">
      <c r="A17" s="12">
        <v>12</v>
      </c>
      <c r="B17" s="8" t="s">
        <v>33</v>
      </c>
      <c r="C17" s="7">
        <v>0.0875</v>
      </c>
      <c r="D17" s="7">
        <v>0</v>
      </c>
      <c r="E17" s="10">
        <f t="shared" si="1"/>
        <v>0.0875</v>
      </c>
      <c r="F17" s="10" t="s">
        <v>14</v>
      </c>
      <c r="G17" s="10">
        <f>0+0+0.125+0+0.075+0+0+0.075+0.125+0+0+0+0.0875+0+0.0875</f>
        <v>0.575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0+0+0+0+0+0+0+0+0+0+0+0+0+0+0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0+2+0+2+0+2+0+2+0+0+0+2+0+0+2</f>
        <v>12</v>
      </c>
      <c r="H19" s="24"/>
      <c r="I19" s="22">
        <f>G19/G3</f>
        <v>0.0923076923076923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0+2+0+2+0+2+0+2+0+0+0+2+0+0+2</f>
        <v>12</v>
      </c>
      <c r="H20" s="24"/>
      <c r="I20" s="22">
        <f>G20/G3</f>
        <v>0.0923076923076923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2</v>
      </c>
      <c r="D21" s="7">
        <v>7</v>
      </c>
      <c r="E21" s="10">
        <f t="shared" si="1"/>
        <v>9</v>
      </c>
      <c r="F21" s="10" t="s">
        <v>38</v>
      </c>
      <c r="G21" s="10">
        <f>9+7+6+0+9+5+3+9+3+1+3+8+0+4+9</f>
        <v>76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694</v>
      </c>
      <c r="D22" s="7">
        <v>116</v>
      </c>
      <c r="E22" s="10">
        <f t="shared" si="1"/>
        <v>810</v>
      </c>
      <c r="F22" s="10" t="s">
        <v>27</v>
      </c>
      <c r="G22" s="10">
        <f>1104+849+1313+485+1053+1404+1362+598+991+862+1020+758+817+603+810</f>
        <v>14029</v>
      </c>
      <c r="H22" s="26"/>
      <c r="I22" s="22">
        <f>E22/M22</f>
        <v>62.3076923076923</v>
      </c>
      <c r="J22" s="19" t="s">
        <v>40</v>
      </c>
      <c r="K22" s="10">
        <f>19+13+23+6.5+17.5+24+24+9.5+18+14.5+16+11+12.5+9+13</f>
        <v>230.5</v>
      </c>
      <c r="L22" s="10">
        <f>G22/K22</f>
        <v>60.8633405639913</v>
      </c>
      <c r="M22" s="10">
        <v>13</v>
      </c>
    </row>
    <row r="23" s="1" customFormat="1" ht="25" customHeight="1" spans="1:13">
      <c r="A23" s="12">
        <v>18</v>
      </c>
      <c r="B23" s="8" t="s">
        <v>41</v>
      </c>
      <c r="C23" s="7">
        <v>725</v>
      </c>
      <c r="D23" s="7">
        <v>272</v>
      </c>
      <c r="E23" s="10">
        <f t="shared" si="1"/>
        <v>997</v>
      </c>
      <c r="F23" s="10" t="s">
        <v>27</v>
      </c>
      <c r="G23" s="10">
        <f>1232+1135+1443+592+1010+1680+1758+814+1199+766+1182+649+985+607+997</f>
        <v>16049</v>
      </c>
      <c r="H23" s="24"/>
      <c r="I23" s="22">
        <f>E23/M22</f>
        <v>76.6923076923077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264</v>
      </c>
      <c r="D24" s="7">
        <v>148</v>
      </c>
      <c r="E24" s="10">
        <f t="shared" si="1"/>
        <v>412</v>
      </c>
      <c r="F24" s="10" t="s">
        <v>27</v>
      </c>
      <c r="G24" s="10">
        <f>403+357+520+369+601+404+442+288+87+362+261+279+171+177+412</f>
        <v>5133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33.61</v>
      </c>
      <c r="D25" s="7">
        <v>31.36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132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137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133</v>
      </c>
      <c r="D32" s="32"/>
      <c r="E32" s="32"/>
      <c r="F32" s="32"/>
      <c r="G32" s="32"/>
      <c r="H32" s="33"/>
      <c r="I32" s="30" t="s">
        <v>79</v>
      </c>
      <c r="J32" s="31" t="s">
        <v>52</v>
      </c>
      <c r="K32" s="28" t="s">
        <v>137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138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139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0+0+12+20+0+0+0+0+0+18+0+0+0+0+0</f>
        <v>50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6.36</v>
      </c>
      <c r="D38" s="10">
        <v>6.44</v>
      </c>
      <c r="E38" s="10">
        <f t="shared" si="2"/>
        <v>12.8</v>
      </c>
      <c r="F38" s="10" t="s">
        <v>27</v>
      </c>
      <c r="G38" s="10">
        <f>12.74+12.68+12.74+12.66+12.69+12.65+12.68+12.65+12.82+12.72+12.7+12.87+12.73+12.86+12.8</f>
        <v>190.99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36</v>
      </c>
      <c r="D39" s="10">
        <v>0</v>
      </c>
      <c r="E39" s="10">
        <f t="shared" si="2"/>
        <v>36</v>
      </c>
      <c r="F39" s="10" t="s">
        <v>27</v>
      </c>
      <c r="G39" s="10">
        <f>17+20+15+10+28+16+18+22+23+15+33+19+20+29+36</f>
        <v>321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11.475</v>
      </c>
      <c r="D40" s="10">
        <v>0</v>
      </c>
      <c r="E40" s="10">
        <f t="shared" si="2"/>
        <v>11.475</v>
      </c>
      <c r="F40" s="10" t="s">
        <v>14</v>
      </c>
      <c r="G40" s="10">
        <f>10.4355+1.6065+14.9715+0+7.5195+6.1695+11.313+0+12.7845+0+5.5755+6.615+12.285+0+11.475</f>
        <v>100.7505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137</v>
      </c>
      <c r="D42" s="10">
        <v>0</v>
      </c>
      <c r="E42" s="10">
        <f t="shared" si="2"/>
        <v>137</v>
      </c>
      <c r="F42" s="10" t="s">
        <v>27</v>
      </c>
      <c r="G42" s="10">
        <f>263+335+279+465+237+293+268+197+387+510+118+34+75+6+137</f>
        <v>3604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514</v>
      </c>
      <c r="D43" s="10">
        <v>514</v>
      </c>
      <c r="E43" s="10">
        <f t="shared" si="2"/>
        <v>1028</v>
      </c>
      <c r="F43" s="10" t="s">
        <v>27</v>
      </c>
      <c r="G43" s="10">
        <f>985+980+990+985+972+980+994+995+1020+1025+1029+1021+1001+1030+1028</f>
        <v>15035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</f>
        <v>0</v>
      </c>
      <c r="H44" s="24"/>
      <c r="I44" s="7">
        <v>442.5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</f>
        <v>0</v>
      </c>
      <c r="H45" s="24"/>
      <c r="I45" s="7">
        <v>92.9402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3</v>
      </c>
      <c r="D46" s="7">
        <v>5</v>
      </c>
      <c r="E46" s="10">
        <f>D46+C46</f>
        <v>8</v>
      </c>
      <c r="F46" s="10" t="s">
        <v>38</v>
      </c>
      <c r="G46" s="10">
        <f>5+5+6+7+8+7+5+5+5+7+7+7+8+5+8</f>
        <v>95</v>
      </c>
      <c r="H46" s="24"/>
      <c r="I46" s="10"/>
      <c r="J46" s="40"/>
      <c r="K46" s="28"/>
      <c r="L46" s="19" t="s">
        <v>69</v>
      </c>
      <c r="M46" s="7">
        <v>13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P10" sqref="P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140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2.5</v>
      </c>
      <c r="D3" s="9">
        <v>0</v>
      </c>
      <c r="E3" s="10">
        <f t="shared" ref="E3:E13" si="0">C3+D3</f>
        <v>2.5</v>
      </c>
      <c r="F3" s="10" t="s">
        <v>14</v>
      </c>
      <c r="G3" s="10">
        <f>6.5+16+4.5+16+1+12.5+15.5+12+5+5.5+10+4+8.5+4.5+8.5+2.5</f>
        <v>132.5</v>
      </c>
      <c r="H3" s="10">
        <v>256</v>
      </c>
      <c r="I3" s="10">
        <f>H3-G3</f>
        <v>123.5</v>
      </c>
      <c r="J3" s="11"/>
      <c r="K3" s="10"/>
      <c r="L3" s="10"/>
      <c r="M3" s="10">
        <f>I3/14</f>
        <v>8.82142857142857</v>
      </c>
    </row>
    <row r="4" s="1" customFormat="1" ht="35" customHeight="1" spans="1:13">
      <c r="A4" s="12">
        <v>2</v>
      </c>
      <c r="B4" s="8" t="s">
        <v>15</v>
      </c>
      <c r="C4" s="9">
        <v>8</v>
      </c>
      <c r="D4" s="9"/>
      <c r="E4" s="10">
        <f t="shared" si="0"/>
        <v>8</v>
      </c>
      <c r="F4" s="10" t="s">
        <v>14</v>
      </c>
      <c r="G4" s="10">
        <f>0+8+16+4+16+0+14+14+12+6+6+10+4+8+4+8</f>
        <v>130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72</v>
      </c>
      <c r="E5" s="10">
        <f t="shared" si="0"/>
        <v>72</v>
      </c>
      <c r="F5" s="10" t="s">
        <v>14</v>
      </c>
      <c r="G5" s="10">
        <f>146+130+171+51+125+166+223+62+155+90+127+67+129+50+113+72</f>
        <v>1877</v>
      </c>
      <c r="H5" s="10">
        <v>3600</v>
      </c>
      <c r="I5" s="10">
        <f>H5-G5-G7-G6</f>
        <v>1693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1+2+4+1+13+3+0+0+1+0+1+0+0+0+4+0</f>
        <v>30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0+0+0+0+0+0+0+0+0+0+0+0+0+7+0+0</f>
        <v>7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0+0+0+31.2+31.46+62.53+0+0+93.47+93.91+31.7+30.93+0+27.33+31.02+0</f>
        <v>433.55</v>
      </c>
      <c r="H10" s="13">
        <v>4.72</v>
      </c>
      <c r="I10" s="21">
        <f>H10-K11</f>
        <v>0.944665999999999</v>
      </c>
      <c r="J10" s="19" t="s">
        <v>22</v>
      </c>
      <c r="K10" s="10">
        <v>90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2.214</v>
      </c>
      <c r="D11" s="10">
        <v>0</v>
      </c>
      <c r="E11" s="10">
        <f t="shared" si="0"/>
        <v>2.214</v>
      </c>
      <c r="F11" s="10" t="s">
        <v>14</v>
      </c>
      <c r="G11" s="10">
        <f>8.343+4.3875+5.6565+4.9815+4.7385+4.509+9.234+6.426+5.292+5.2785+3.8205+3.3345+4.3065+3.726+2.808+2.214</f>
        <v>79.056</v>
      </c>
      <c r="H11" s="10"/>
      <c r="I11" s="22">
        <f>G11/G3</f>
        <v>0.596649056603774</v>
      </c>
      <c r="J11" s="19" t="s">
        <v>24</v>
      </c>
      <c r="K11" s="20">
        <f>0+0+0+0.27144+0.26741+0.537758+0+0+0.84123+0.807626+0.27896+0.265998+0+0.235038+0.269874+0</f>
        <v>3.775334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0</v>
      </c>
      <c r="D12" s="10">
        <v>0</v>
      </c>
      <c r="E12" s="10">
        <f t="shared" si="0"/>
        <v>0</v>
      </c>
      <c r="F12" s="10" t="s">
        <v>14</v>
      </c>
      <c r="G12" s="10">
        <f>9.7888+8.9608+16.3208+8.188+5.52+7.4336+11.5552+12.604+12.9536+6.716+4.2136+6.2376+10.212+3.2384+11.132+0</f>
        <v>135.0744</v>
      </c>
      <c r="H12" s="10"/>
      <c r="I12" s="22">
        <f>G12/G3</f>
        <v>1.01942943396226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0</v>
      </c>
      <c r="D13" s="10">
        <v>9</v>
      </c>
      <c r="E13" s="10">
        <f t="shared" si="0"/>
        <v>9</v>
      </c>
      <c r="F13" s="10" t="s">
        <v>27</v>
      </c>
      <c r="G13" s="10">
        <f>203.4+427+259+315+111+439+458+304+389+44+474+12+421+18+362+9</f>
        <v>4245.4</v>
      </c>
      <c r="H13" s="10">
        <f>G13*1.05</f>
        <v>4457.67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91</v>
      </c>
      <c r="D14" s="10">
        <v>0</v>
      </c>
      <c r="E14" s="10">
        <f t="shared" ref="E14:E24" si="1">D14+C14</f>
        <v>91</v>
      </c>
      <c r="F14" s="10" t="s">
        <v>27</v>
      </c>
      <c r="G14" s="10">
        <f>194+482+152+374+40+430+460+290+230+94+390+117+288+100+233+91</f>
        <v>3965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364.59</v>
      </c>
      <c r="D15" s="10">
        <v>355.04</v>
      </c>
      <c r="E15" s="10">
        <f t="shared" si="1"/>
        <v>719.63</v>
      </c>
      <c r="F15" s="10" t="s">
        <v>27</v>
      </c>
      <c r="G15" s="10">
        <f>1051.94+1011.04+795.49+543.9+807.96+742.7+812+543.06+526.23+781.93+406.11+655.94+322.41+543.81+550.55+719.63</f>
        <v>10814.7</v>
      </c>
      <c r="H15" s="10"/>
      <c r="I15" s="22"/>
      <c r="J15" s="19" t="s">
        <v>30</v>
      </c>
      <c r="K15" s="10">
        <v>2.48</v>
      </c>
      <c r="L15" s="10">
        <v>2.38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6</v>
      </c>
      <c r="D16" s="10">
        <v>0</v>
      </c>
      <c r="E16" s="10">
        <f t="shared" si="1"/>
        <v>6</v>
      </c>
      <c r="F16" s="10" t="s">
        <v>14</v>
      </c>
      <c r="G16" s="10">
        <f>18+33+12+30+3+30+36+21+15+9+27+9+24+6+18+6</f>
        <v>297</v>
      </c>
      <c r="H16" s="10"/>
      <c r="I16" s="22">
        <f>G16/G3</f>
        <v>2.24150943396226</v>
      </c>
      <c r="J16" s="19" t="s">
        <v>32</v>
      </c>
      <c r="K16" s="20">
        <f>3.1308178+2.8699152+2.220183+1.4538464+2.0633116+2.064706+2.1593316+1.47515+1.4789079+1.9842568+1.0469972+1.6107242+0.7824764+1.3334781+1.3439309+1.7491784</f>
        <v>28.7672115</v>
      </c>
      <c r="L16" s="10"/>
      <c r="M16" s="10">
        <f>(C15*K15+L15*D15)/1000</f>
        <v>1.7491784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0+0+0.125+0+0.075+0+0+0.075+0.125+0+0+0+0.0875+0+0.0875+0</f>
        <v>0.575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0+0+0+0+0+0+0+0+0+0+0+0+0+0+0+0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0+2+0+2+0+2+0+2+0+0+0+2+0+0+2+0</f>
        <v>12</v>
      </c>
      <c r="H19" s="24"/>
      <c r="I19" s="22">
        <f>G19/G3</f>
        <v>0.0905660377358491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0+2+0+2+0+2+0+2+0+0+0+2+0+0+2+0</f>
        <v>12</v>
      </c>
      <c r="H20" s="24"/>
      <c r="I20" s="22">
        <f>G20/G3</f>
        <v>0.0905660377358491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0</v>
      </c>
      <c r="D21" s="7">
        <v>0</v>
      </c>
      <c r="E21" s="10">
        <f t="shared" si="1"/>
        <v>0</v>
      </c>
      <c r="F21" s="10" t="s">
        <v>38</v>
      </c>
      <c r="G21" s="10">
        <f>9+7+6+0+9+5+3+9+3+1+3+8+0+4+9+0</f>
        <v>76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39</v>
      </c>
      <c r="D22" s="7">
        <v>648</v>
      </c>
      <c r="E22" s="10">
        <f t="shared" si="1"/>
        <v>687</v>
      </c>
      <c r="F22" s="10" t="s">
        <v>27</v>
      </c>
      <c r="G22" s="10">
        <f>1104+849+1313+485+1053+1404+1362+598+991+862+1020+758+817+603+810+687</f>
        <v>14716</v>
      </c>
      <c r="H22" s="26"/>
      <c r="I22" s="22">
        <f>E22/M22</f>
        <v>59.7391304347826</v>
      </c>
      <c r="J22" s="19" t="s">
        <v>40</v>
      </c>
      <c r="K22" s="10">
        <f>19+13+23+6.5+17.5+24+24+9.5+18+14.5+16+11+12.5+9+13+11.5</f>
        <v>242</v>
      </c>
      <c r="L22" s="10">
        <f>G22/K22</f>
        <v>60.8099173553719</v>
      </c>
      <c r="M22" s="10">
        <v>11.5</v>
      </c>
    </row>
    <row r="23" s="1" customFormat="1" ht="25" customHeight="1" spans="1:13">
      <c r="A23" s="12">
        <v>18</v>
      </c>
      <c r="B23" s="8" t="s">
        <v>41</v>
      </c>
      <c r="C23" s="7">
        <v>0</v>
      </c>
      <c r="D23" s="7">
        <v>642</v>
      </c>
      <c r="E23" s="10">
        <f t="shared" si="1"/>
        <v>642</v>
      </c>
      <c r="F23" s="10" t="s">
        <v>27</v>
      </c>
      <c r="G23" s="10">
        <f>1232+1135+1443+592+1010+1680+1758+814+1199+766+1182+649+985+607+997+642</f>
        <v>16691</v>
      </c>
      <c r="H23" s="24"/>
      <c r="I23" s="22">
        <f>E23/M22</f>
        <v>55.8260869565217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180</v>
      </c>
      <c r="D24" s="7">
        <v>324</v>
      </c>
      <c r="E24" s="10">
        <f t="shared" si="1"/>
        <v>504</v>
      </c>
      <c r="F24" s="10" t="s">
        <v>27</v>
      </c>
      <c r="G24" s="10">
        <f>403+357+520+369+601+404+442+288+87+362+261+279+171+177+412+504</f>
        <v>5637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0</v>
      </c>
      <c r="D25" s="7">
        <v>0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137</v>
      </c>
      <c r="D31" s="32"/>
      <c r="E31" s="32"/>
      <c r="F31" s="32"/>
      <c r="G31" s="32"/>
      <c r="H31" s="33"/>
      <c r="I31" s="30" t="s">
        <v>79</v>
      </c>
      <c r="J31" s="31" t="s">
        <v>48</v>
      </c>
      <c r="K31" s="28" t="s">
        <v>141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137</v>
      </c>
      <c r="D32" s="32"/>
      <c r="E32" s="32"/>
      <c r="F32" s="32"/>
      <c r="G32" s="32"/>
      <c r="H32" s="33"/>
      <c r="I32" s="30" t="s">
        <v>79</v>
      </c>
      <c r="J32" s="31" t="s">
        <v>52</v>
      </c>
      <c r="K32" s="28" t="s">
        <v>142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143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144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0+0+12+20+0+0+0+0+0+18+0+0+0+0+0+0</f>
        <v>50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6.36</v>
      </c>
      <c r="D38" s="10">
        <v>6.43</v>
      </c>
      <c r="E38" s="10">
        <f t="shared" si="2"/>
        <v>12.79</v>
      </c>
      <c r="F38" s="10" t="s">
        <v>27</v>
      </c>
      <c r="G38" s="10">
        <f>12.74+12.68+12.74+12.66+12.69+12.65+12.68+12.65+12.82+12.72+12.7+12.87+12.73+12.86+12.8+12.79</f>
        <v>203.78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33</v>
      </c>
      <c r="D39" s="10">
        <v>0</v>
      </c>
      <c r="E39" s="10">
        <f t="shared" si="2"/>
        <v>33</v>
      </c>
      <c r="F39" s="10" t="s">
        <v>27</v>
      </c>
      <c r="G39" s="10">
        <f>17+20+15+10+28+16+18+22+23+15+33+19+20+29+36+33</f>
        <v>354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0</v>
      </c>
      <c r="D40" s="10">
        <v>0</v>
      </c>
      <c r="E40" s="10">
        <f t="shared" si="2"/>
        <v>0</v>
      </c>
      <c r="F40" s="10" t="s">
        <v>14</v>
      </c>
      <c r="G40" s="10">
        <f>10.4355+1.6065+14.9715+0+7.5195+6.1695+11.313+0+12.7845+0+5.5755+6.615+12.285+0+11.475+0</f>
        <v>100.7505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3</v>
      </c>
      <c r="D42" s="10">
        <v>33</v>
      </c>
      <c r="E42" s="10">
        <f t="shared" si="2"/>
        <v>36</v>
      </c>
      <c r="F42" s="10" t="s">
        <v>27</v>
      </c>
      <c r="G42" s="10">
        <f>263+335+279+465+237+293+268+197+387+510+118+34+75+6+137+36</f>
        <v>3640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516</v>
      </c>
      <c r="D43" s="10">
        <v>516</v>
      </c>
      <c r="E43" s="10">
        <f t="shared" si="2"/>
        <v>1032</v>
      </c>
      <c r="F43" s="10" t="s">
        <v>27</v>
      </c>
      <c r="G43" s="10">
        <f>985+980+990+985+972+980+994+995+1020+1025+1029+1021+1001+1030+1028+1032</f>
        <v>16067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0+0+0+0+0+0+0+0+0+0+0+0+0+0+0+0</f>
        <v>0</v>
      </c>
      <c r="H44" s="24"/>
      <c r="I44" s="7">
        <v>540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0+0+0+0+0+0+0+0+0+0+0+0+0+0+0+0</f>
        <v>0</v>
      </c>
      <c r="H45" s="24"/>
      <c r="I45" s="7">
        <v>87.7286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3</v>
      </c>
      <c r="D46" s="7">
        <v>5</v>
      </c>
      <c r="E46" s="10">
        <f>D46+C46</f>
        <v>8</v>
      </c>
      <c r="F46" s="10" t="s">
        <v>38</v>
      </c>
      <c r="G46" s="10">
        <f>5+5+6+7+8+7+5+5+5+7+7+7+8+5+8+8</f>
        <v>103</v>
      </c>
      <c r="H46" s="24"/>
      <c r="I46" s="10"/>
      <c r="J46" s="40"/>
      <c r="K46" s="28"/>
      <c r="L46" s="19" t="s">
        <v>69</v>
      </c>
      <c r="M46" s="7">
        <v>11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P10" sqref="P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145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4.5</v>
      </c>
      <c r="D3" s="9">
        <v>7.5</v>
      </c>
      <c r="E3" s="10">
        <f t="shared" ref="E3:E13" si="0">C3+D3</f>
        <v>12</v>
      </c>
      <c r="F3" s="10" t="s">
        <v>14</v>
      </c>
      <c r="G3" s="10">
        <f>6.5+16+4.5+16+1+12.5+15.5+12+5+5.5+10+4+8.5+4.5+8.5+2.5+12</f>
        <v>144.5</v>
      </c>
      <c r="H3" s="10">
        <v>256</v>
      </c>
      <c r="I3" s="10">
        <f>H3-G3</f>
        <v>111.5</v>
      </c>
      <c r="J3" s="11"/>
      <c r="K3" s="10"/>
      <c r="L3" s="10"/>
      <c r="M3" s="10">
        <f>I3/13</f>
        <v>8.57692307692308</v>
      </c>
    </row>
    <row r="4" s="1" customFormat="1" ht="35" customHeight="1" spans="1:13">
      <c r="A4" s="12">
        <v>2</v>
      </c>
      <c r="B4" s="8" t="s">
        <v>15</v>
      </c>
      <c r="C4" s="9">
        <v>4</v>
      </c>
      <c r="D4" s="9"/>
      <c r="E4" s="10">
        <f t="shared" si="0"/>
        <v>4</v>
      </c>
      <c r="F4" s="10" t="s">
        <v>14</v>
      </c>
      <c r="G4" s="10">
        <f>0+8+16+4+16+0+14+14+12+6+6+10+4+8+4+8+4</f>
        <v>134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100</v>
      </c>
      <c r="D5" s="10">
        <v>81</v>
      </c>
      <c r="E5" s="10">
        <f t="shared" si="0"/>
        <v>181</v>
      </c>
      <c r="F5" s="10" t="s">
        <v>14</v>
      </c>
      <c r="G5" s="10">
        <f>146+130+171+51+125+166+223+62+155+90+127+67+129+50+113+72+181</f>
        <v>2058</v>
      </c>
      <c r="H5" s="10">
        <v>3600</v>
      </c>
      <c r="I5" s="10">
        <f>H5-G5-G7-G6</f>
        <v>1512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1+2+4+1+13+3+0+0+1+0+1+0+0+0+4+0+0</f>
        <v>30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0+0+0+0+0+0+0+0+0+0+0+0+0+7+0+0+0</f>
        <v>7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0+0+0+31.2+31.46+62.53+0+0+93.47+93.91+31.7+30.93+0+27.33+31.02+0+0</f>
        <v>433.55</v>
      </c>
      <c r="H10" s="13">
        <v>4.72</v>
      </c>
      <c r="I10" s="21">
        <f>H10-K11</f>
        <v>0.944665999999999</v>
      </c>
      <c r="J10" s="19" t="s">
        <v>22</v>
      </c>
      <c r="K10" s="10">
        <v>90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4.05</v>
      </c>
      <c r="D11" s="10">
        <v>0</v>
      </c>
      <c r="E11" s="10">
        <f t="shared" si="0"/>
        <v>4.05</v>
      </c>
      <c r="F11" s="10" t="s">
        <v>14</v>
      </c>
      <c r="G11" s="10">
        <f>8.343+4.3875+5.6565+4.9815+4.7385+4.509+9.234+6.426+5.292+5.2785+3.8205+3.3345+4.3065+3.726+2.808+2.214+4.05</f>
        <v>83.106</v>
      </c>
      <c r="H11" s="10"/>
      <c r="I11" s="22">
        <f>G11/G3</f>
        <v>0.575128027681661</v>
      </c>
      <c r="J11" s="19" t="s">
        <v>24</v>
      </c>
      <c r="K11" s="20">
        <f>0+0+0+0.27144+0.26741+0.537758+0+0+0.84123+0.807626+0.27896+0.265998+0+0.235038+0.269874+0+0</f>
        <v>3.775334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8.9792</v>
      </c>
      <c r="D12" s="10">
        <v>0</v>
      </c>
      <c r="E12" s="10">
        <f t="shared" si="0"/>
        <v>8.9792</v>
      </c>
      <c r="F12" s="10" t="s">
        <v>14</v>
      </c>
      <c r="G12" s="10">
        <f>9.7888+8.9608+16.3208+8.188+5.52+7.4336+11.5552+12.604+12.9536+6.716+4.2136+6.2376+10.212+3.2384+11.132+0+8.9792</f>
        <v>144.0536</v>
      </c>
      <c r="H12" s="10"/>
      <c r="I12" s="22">
        <f>G12/G3</f>
        <v>0.996910726643599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205</v>
      </c>
      <c r="D13" s="10">
        <v>207</v>
      </c>
      <c r="E13" s="10">
        <f t="shared" si="0"/>
        <v>412</v>
      </c>
      <c r="F13" s="10" t="s">
        <v>27</v>
      </c>
      <c r="G13" s="10">
        <f>203.4+427+259+315+111+439+458+304+389+44+474+12+421+18+362+9+412</f>
        <v>4657.4</v>
      </c>
      <c r="H13" s="10">
        <f>G13*1.05</f>
        <v>4890.27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143</v>
      </c>
      <c r="D14" s="10">
        <v>241</v>
      </c>
      <c r="E14" s="10">
        <f t="shared" ref="E14:E24" si="1">D14+C14</f>
        <v>384</v>
      </c>
      <c r="F14" s="10" t="s">
        <v>27</v>
      </c>
      <c r="G14" s="10">
        <f>194+482+152+374+40+430+460+290+230+94+390+117+288+100+233+91+384</f>
        <v>4349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414.47</v>
      </c>
      <c r="D15" s="10">
        <v>381.26</v>
      </c>
      <c r="E15" s="10">
        <f t="shared" si="1"/>
        <v>795.73</v>
      </c>
      <c r="F15" s="10" t="s">
        <v>27</v>
      </c>
      <c r="G15" s="10">
        <f>1051.94+1011.04+795.49+543.9+807.96+742.7+812+543.06+526.23+781.93+406.11+655.94+322.41+543.81+550.55+719.63+795.73</f>
        <v>11610.43</v>
      </c>
      <c r="H15" s="10"/>
      <c r="I15" s="22"/>
      <c r="J15" s="19" t="s">
        <v>30</v>
      </c>
      <c r="K15" s="10">
        <v>2.66</v>
      </c>
      <c r="L15" s="10">
        <v>2.43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12</v>
      </c>
      <c r="D16" s="10">
        <v>15</v>
      </c>
      <c r="E16" s="10">
        <f t="shared" si="1"/>
        <v>27</v>
      </c>
      <c r="F16" s="10" t="s">
        <v>14</v>
      </c>
      <c r="G16" s="10">
        <f>18+33+12+30+3+30+36+21+15+9+27+9+24+6+18+6+27</f>
        <v>324</v>
      </c>
      <c r="H16" s="10"/>
      <c r="I16" s="22">
        <f>G16/G3</f>
        <v>2.24221453287197</v>
      </c>
      <c r="J16" s="19" t="s">
        <v>32</v>
      </c>
      <c r="K16" s="20">
        <f>3.1308178+2.8699152+2.220183+1.4538464+2.0633116+2.064706+2.1593316+1.47515+1.4789079+1.9842568+1.0469972+1.6107242+0.7824764+1.3334781+1.3439309+1.7491784+2.028952</f>
        <v>30.7961635</v>
      </c>
      <c r="L16" s="10"/>
      <c r="M16" s="10">
        <f>(C15*K15+L15*D15)/1000</f>
        <v>2.028952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0+0+0.125+0+0.075+0+0+0.075+0.125+0+0+0+0.0875+0+0.0875+0+0</f>
        <v>0.575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0+0+0+0+0+0+0+0+0+0+0+0+0+0+0+0+0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0+2+0+2+0+2+0+2+0+0+0+2+0+0+2+0+0</f>
        <v>12</v>
      </c>
      <c r="H19" s="24"/>
      <c r="I19" s="22">
        <f>G19/G3</f>
        <v>0.0830449826989619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0+2+0+2+0+2+0+2+0+0+0+2+0+0+2+0+0</f>
        <v>12</v>
      </c>
      <c r="H20" s="24"/>
      <c r="I20" s="22">
        <f>G20/G3</f>
        <v>0.0830449826989619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0</v>
      </c>
      <c r="D21" s="7">
        <v>1</v>
      </c>
      <c r="E21" s="10">
        <f t="shared" si="1"/>
        <v>1</v>
      </c>
      <c r="F21" s="10" t="s">
        <v>38</v>
      </c>
      <c r="G21" s="10">
        <f>9+7+6+0+9+5+3+9+3+1+3+8+0+4+9+0+1</f>
        <v>77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721</v>
      </c>
      <c r="D22" s="7">
        <v>727</v>
      </c>
      <c r="E22" s="10">
        <f t="shared" si="1"/>
        <v>1448</v>
      </c>
      <c r="F22" s="10" t="s">
        <v>27</v>
      </c>
      <c r="G22" s="10">
        <f>1104+849+1313+485+1053+1404+1362+598+991+862+1020+758+817+603+810+687+1448</f>
        <v>16164</v>
      </c>
      <c r="H22" s="26"/>
      <c r="I22" s="22">
        <f>E22/M22</f>
        <v>60.3333333333333</v>
      </c>
      <c r="J22" s="19" t="s">
        <v>40</v>
      </c>
      <c r="K22" s="10">
        <f>19+13+23+6.5+17.5+24+24+9.5+18+14.5+16+11+12.5+9+13+11.5+24</f>
        <v>266</v>
      </c>
      <c r="L22" s="10">
        <f>G22/K22</f>
        <v>60.7669172932331</v>
      </c>
      <c r="M22" s="10">
        <v>24</v>
      </c>
    </row>
    <row r="23" s="1" customFormat="1" ht="25" customHeight="1" spans="1:13">
      <c r="A23" s="12">
        <v>18</v>
      </c>
      <c r="B23" s="8" t="s">
        <v>41</v>
      </c>
      <c r="C23" s="7">
        <v>877</v>
      </c>
      <c r="D23" s="7">
        <v>797</v>
      </c>
      <c r="E23" s="10">
        <f t="shared" si="1"/>
        <v>1674</v>
      </c>
      <c r="F23" s="10" t="s">
        <v>27</v>
      </c>
      <c r="G23" s="10">
        <f>1232+1135+1443+592+1010+1680+1758+814+1199+766+1182+649+985+607+997+642+1674</f>
        <v>18365</v>
      </c>
      <c r="H23" s="24"/>
      <c r="I23" s="22">
        <f>E23/M22</f>
        <v>69.75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342</v>
      </c>
      <c r="D24" s="7">
        <v>26</v>
      </c>
      <c r="E24" s="10">
        <f t="shared" si="1"/>
        <v>368</v>
      </c>
      <c r="F24" s="10" t="s">
        <v>27</v>
      </c>
      <c r="G24" s="10">
        <f>403+357+520+369+601+404+442+288+87+362+261+279+171+177+412+504+368</f>
        <v>6005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30.91</v>
      </c>
      <c r="D25" s="7">
        <v>28.41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141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146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142</v>
      </c>
      <c r="D32" s="32"/>
      <c r="E32" s="32"/>
      <c r="F32" s="32"/>
      <c r="G32" s="32"/>
      <c r="H32" s="33"/>
      <c r="I32" s="30" t="s">
        <v>79</v>
      </c>
      <c r="J32" s="31" t="s">
        <v>52</v>
      </c>
      <c r="K32" s="28" t="s">
        <v>147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148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149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0+0+12+20+0+0+0+0+0+18+0+0+0+0+0+0+0</f>
        <v>50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6.23</v>
      </c>
      <c r="D38" s="10">
        <v>6.44</v>
      </c>
      <c r="E38" s="10">
        <f t="shared" si="2"/>
        <v>12.67</v>
      </c>
      <c r="F38" s="10" t="s">
        <v>27</v>
      </c>
      <c r="G38" s="10">
        <f>12.74+12.68+12.74+12.66+12.69+12.65+12.68+12.65+12.82+12.72+12.7+12.87+12.73+12.86+12.8+12.79+12.67</f>
        <v>216.45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0</v>
      </c>
      <c r="D39" s="10">
        <v>0</v>
      </c>
      <c r="E39" s="10">
        <f t="shared" si="2"/>
        <v>0</v>
      </c>
      <c r="F39" s="10" t="s">
        <v>27</v>
      </c>
      <c r="G39" s="10">
        <f>17+20+15+10+28+16+18+22+23+15+33+19+20+29+36+33+0</f>
        <v>354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10.3005</v>
      </c>
      <c r="D40" s="10">
        <v>0</v>
      </c>
      <c r="E40" s="10">
        <f t="shared" si="2"/>
        <v>10.3005</v>
      </c>
      <c r="F40" s="10" t="s">
        <v>14</v>
      </c>
      <c r="G40" s="10">
        <f>10.4355+1.6065+14.9715+0+7.5195+6.1695+11.313+0+12.7845+0+5.5755+6.615+12.285+0+11.475+0+10.3005</f>
        <v>111.051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0</v>
      </c>
      <c r="D42" s="10">
        <v>0</v>
      </c>
      <c r="E42" s="10">
        <f t="shared" si="2"/>
        <v>0</v>
      </c>
      <c r="F42" s="10" t="s">
        <v>27</v>
      </c>
      <c r="G42" s="10">
        <f>263+335+279+465+237+293+268+197+387+510+118+34+75+6+137+36+0</f>
        <v>3640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515</v>
      </c>
      <c r="D43" s="10">
        <v>509</v>
      </c>
      <c r="E43" s="10">
        <f t="shared" si="2"/>
        <v>1024</v>
      </c>
      <c r="F43" s="10" t="s">
        <v>27</v>
      </c>
      <c r="G43" s="10">
        <f>985+980+990+985+972+980+994+995+1020+1025+1029+1021+1001+1030+1028+1032+1024</f>
        <v>17091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0+0+0+0+0+0+0+0+0+0+0+0+0+0+0+0+0</f>
        <v>0</v>
      </c>
      <c r="H44" s="24"/>
      <c r="I44" s="7">
        <v>532.5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0+0+0+0+0+0+0+0+0+0+0+0+0+0+0+0+0</f>
        <v>0</v>
      </c>
      <c r="H45" s="24"/>
      <c r="I45" s="7">
        <v>120.7354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2</v>
      </c>
      <c r="D46" s="7">
        <v>5</v>
      </c>
      <c r="E46" s="10">
        <f>D46+C46</f>
        <v>7</v>
      </c>
      <c r="F46" s="10" t="s">
        <v>38</v>
      </c>
      <c r="G46" s="10">
        <f>5+5+6+7+8+7+5+5+5+7+7+7+8+5+8+8+7</f>
        <v>110</v>
      </c>
      <c r="H46" s="24"/>
      <c r="I46" s="10"/>
      <c r="J46" s="40"/>
      <c r="K46" s="28"/>
      <c r="L46" s="19" t="s">
        <v>69</v>
      </c>
      <c r="M46" s="7">
        <v>9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P10" sqref="P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150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6.5</v>
      </c>
      <c r="D3" s="9">
        <v>4</v>
      </c>
      <c r="E3" s="10">
        <f t="shared" ref="E3:E13" si="0">C3+D3</f>
        <v>10.5</v>
      </c>
      <c r="F3" s="10" t="s">
        <v>14</v>
      </c>
      <c r="G3" s="10">
        <f>6.5+16+4.5+16+1+12.5+15.5+12+5+5.5+10+4+8.5+4.5+8.5+2.5+12+10.5</f>
        <v>155</v>
      </c>
      <c r="H3" s="10">
        <v>256</v>
      </c>
      <c r="I3" s="10">
        <f>H3-G3</f>
        <v>101</v>
      </c>
      <c r="J3" s="11"/>
      <c r="K3" s="10"/>
      <c r="L3" s="10"/>
      <c r="M3" s="10">
        <f>I3/12</f>
        <v>8.41666666666667</v>
      </c>
    </row>
    <row r="4" s="1" customFormat="1" ht="35" customHeight="1" spans="1:13">
      <c r="A4" s="12">
        <v>2</v>
      </c>
      <c r="B4" s="8" t="s">
        <v>15</v>
      </c>
      <c r="C4" s="9">
        <v>12</v>
      </c>
      <c r="D4" s="9"/>
      <c r="E4" s="10">
        <f t="shared" si="0"/>
        <v>12</v>
      </c>
      <c r="F4" s="10" t="s">
        <v>14</v>
      </c>
      <c r="G4" s="10">
        <f>0+8+16+4+16+0+14+14+12+6+6+10+4+8+4+8+4+12</f>
        <v>146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87</v>
      </c>
      <c r="D5" s="10">
        <v>24</v>
      </c>
      <c r="E5" s="10">
        <f t="shared" si="0"/>
        <v>111</v>
      </c>
      <c r="F5" s="10" t="s">
        <v>14</v>
      </c>
      <c r="G5" s="10">
        <f>146+130+171+51+125+166+223+62+155+90+127+67+129+50+113+72+181+111</f>
        <v>2169</v>
      </c>
      <c r="H5" s="10">
        <v>3600</v>
      </c>
      <c r="I5" s="10">
        <f>H5-G5-G7-G6</f>
        <v>1401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1+2+4+1+13+3+0+0+1+0+1+0+0+0+4+0+0+0</f>
        <v>30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0+0+0+0+0+0+0+0+0+0+0+0+0+7+0+0+0+0</f>
        <v>7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30.19</v>
      </c>
      <c r="D10" s="13"/>
      <c r="E10" s="10">
        <f t="shared" si="0"/>
        <v>30.19</v>
      </c>
      <c r="F10" s="13" t="s">
        <v>14</v>
      </c>
      <c r="G10" s="10">
        <f>0+0+0+31.2+31.46+62.53+0+0+93.47+93.91+31.7+30.93+0+27.33+31.02+0+0+30.19</f>
        <v>463.74</v>
      </c>
      <c r="H10" s="13">
        <v>4.72</v>
      </c>
      <c r="I10" s="21">
        <f>H10-K11</f>
        <v>0.672955999999999</v>
      </c>
      <c r="J10" s="19" t="s">
        <v>22</v>
      </c>
      <c r="K10" s="10">
        <v>60</v>
      </c>
      <c r="L10" s="10">
        <v>0.9</v>
      </c>
      <c r="M10" s="20"/>
    </row>
    <row r="11" s="1" customFormat="1" ht="25" customHeight="1" spans="1:13">
      <c r="A11" s="12">
        <v>6</v>
      </c>
      <c r="B11" s="8" t="s">
        <v>23</v>
      </c>
      <c r="C11" s="10">
        <v>5.5485</v>
      </c>
      <c r="D11" s="10">
        <v>0</v>
      </c>
      <c r="E11" s="10">
        <f t="shared" si="0"/>
        <v>5.5485</v>
      </c>
      <c r="F11" s="10" t="s">
        <v>14</v>
      </c>
      <c r="G11" s="10">
        <f>8.343+4.3875+5.6565+4.9815+4.7385+4.509+9.234+6.426+5.292+5.2785+3.8205+3.3345+4.3065+3.726+2.808+2.214+4.05+5.5485</f>
        <v>88.6545</v>
      </c>
      <c r="H11" s="10"/>
      <c r="I11" s="22">
        <f>G11/G3</f>
        <v>0.571964516129032</v>
      </c>
      <c r="J11" s="19" t="s">
        <v>24</v>
      </c>
      <c r="K11" s="20">
        <f>0+0+0+0.27144+0.26741+0.537758+0+0+0.84123+0.807626+0.27896+0.265998+0+0.235038+0.269874+0+0+0.27171</f>
        <v>4.047044</v>
      </c>
      <c r="L11" s="10"/>
      <c r="M11" s="10">
        <f>C10*L10/100</f>
        <v>0.27171</v>
      </c>
    </row>
    <row r="12" s="1" customFormat="1" ht="25" customHeight="1" spans="1:13">
      <c r="A12" s="12">
        <v>7</v>
      </c>
      <c r="B12" s="8" t="s">
        <v>25</v>
      </c>
      <c r="C12" s="10">
        <v>9.4576</v>
      </c>
      <c r="D12" s="10">
        <v>0</v>
      </c>
      <c r="E12" s="10">
        <f t="shared" si="0"/>
        <v>9.4576</v>
      </c>
      <c r="F12" s="10" t="s">
        <v>14</v>
      </c>
      <c r="G12" s="10">
        <f>9.7888+8.9608+16.3208+8.188+5.52+7.4336+11.5552+12.604+12.9536+6.716+4.2136+6.2376+10.212+3.2384+11.132+0+8.9792+9.4576</f>
        <v>153.5112</v>
      </c>
      <c r="H12" s="10"/>
      <c r="I12" s="22">
        <f>G12/G3</f>
        <v>0.990394838709677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192</v>
      </c>
      <c r="D13" s="10">
        <v>244</v>
      </c>
      <c r="E13" s="10">
        <f t="shared" si="0"/>
        <v>436</v>
      </c>
      <c r="F13" s="10" t="s">
        <v>27</v>
      </c>
      <c r="G13" s="10">
        <f>203.4+427+259+315+111+439+458+304+389+44+474+12+421+18+362+9+412+436</f>
        <v>5093.4</v>
      </c>
      <c r="H13" s="10">
        <f>G13*1.05</f>
        <v>5348.07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144</v>
      </c>
      <c r="D14" s="10">
        <v>204</v>
      </c>
      <c r="E14" s="10">
        <f t="shared" ref="E14:E24" si="1">D14+C14</f>
        <v>348</v>
      </c>
      <c r="F14" s="10" t="s">
        <v>27</v>
      </c>
      <c r="G14" s="10">
        <f>194+482+152+374+40+430+460+290+230+94+390+117+288+100+233+91+384+348</f>
        <v>4697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274.47</v>
      </c>
      <c r="D15" s="10">
        <v>103.97</v>
      </c>
      <c r="E15" s="10">
        <f t="shared" si="1"/>
        <v>378.44</v>
      </c>
      <c r="F15" s="10" t="s">
        <v>27</v>
      </c>
      <c r="G15" s="10">
        <f>1051.94+1011.04+795.49+543.9+807.96+742.7+812+543.06+526.23+781.93+406.11+655.94+322.41+543.81+550.55+719.63+795.73+378.44</f>
        <v>11988.87</v>
      </c>
      <c r="H15" s="10"/>
      <c r="I15" s="22"/>
      <c r="J15" s="19" t="s">
        <v>30</v>
      </c>
      <c r="K15" s="10">
        <v>2.89</v>
      </c>
      <c r="L15" s="10">
        <v>2.67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12</v>
      </c>
      <c r="D16" s="10">
        <v>12</v>
      </c>
      <c r="E16" s="10">
        <f t="shared" si="1"/>
        <v>24</v>
      </c>
      <c r="F16" s="10" t="s">
        <v>14</v>
      </c>
      <c r="G16" s="10">
        <f>18+33+12+30+3+30+36+21+15+9+27+9+24+6+18+6+27+24</f>
        <v>348</v>
      </c>
      <c r="H16" s="10"/>
      <c r="I16" s="22">
        <f>G16/G3</f>
        <v>2.24516129032258</v>
      </c>
      <c r="J16" s="19" t="s">
        <v>32</v>
      </c>
      <c r="K16" s="20">
        <f>3.1308178+2.8699152+2.220183+1.4538464+2.0633116+2.064706+2.1593316+1.47515+1.4789079+1.9842568+1.0469972+1.6107242+0.7824764+1.3334781+1.3439309+1.7491784+2.028952+1.0708182</f>
        <v>31.8669817</v>
      </c>
      <c r="L16" s="10"/>
      <c r="M16" s="10">
        <f>(C15*K15+L15*D15)/1000</f>
        <v>1.0708182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0+0+0.125+0+0.075+0+0+0.075+0.125+0+0+0+0.0875+0+0.0875+0+0+0</f>
        <v>0.575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0+0+0+0+0+0+0+0+0+0+0+0+0+0+0+0+0+0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0+2+0+2+0+2+0+2+0+0+0+2+0+0+2+0+0+2</f>
        <v>14</v>
      </c>
      <c r="H19" s="24"/>
      <c r="I19" s="22">
        <f>G19/G3</f>
        <v>0.0903225806451613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0+2+0+2+0+2+0+2+0+0+0+2+0+0+2+0+0+2</f>
        <v>14</v>
      </c>
      <c r="H20" s="24"/>
      <c r="I20" s="22">
        <f>G20/G3</f>
        <v>0.0903225806451613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2</v>
      </c>
      <c r="D21" s="7">
        <v>0</v>
      </c>
      <c r="E21" s="10">
        <f t="shared" si="1"/>
        <v>2</v>
      </c>
      <c r="F21" s="10" t="s">
        <v>38</v>
      </c>
      <c r="G21" s="10">
        <f>9+7+6+0+9+5+3+9+3+1+3+8+0+4+9+0+1+2</f>
        <v>79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648</v>
      </c>
      <c r="D22" s="7">
        <v>170</v>
      </c>
      <c r="E22" s="10">
        <f t="shared" si="1"/>
        <v>818</v>
      </c>
      <c r="F22" s="10" t="s">
        <v>27</v>
      </c>
      <c r="G22" s="10">
        <f>1104+849+1313+485+1053+1404+1362+598+991+862+1020+758+817+603+810+687+1448+818</f>
        <v>16982</v>
      </c>
      <c r="H22" s="26"/>
      <c r="I22" s="22">
        <f>E22/M22</f>
        <v>60.5925925925926</v>
      </c>
      <c r="J22" s="19" t="s">
        <v>40</v>
      </c>
      <c r="K22" s="10">
        <f>19+13+23+6.5+17.5+24+24+9.5+18+14.5+16+11+12.5+9+13+11.5+24+13.5</f>
        <v>279.5</v>
      </c>
      <c r="L22" s="10">
        <f>G22/K22</f>
        <v>60.7584973166368</v>
      </c>
      <c r="M22" s="10">
        <v>13.5</v>
      </c>
    </row>
    <row r="23" s="1" customFormat="1" ht="25" customHeight="1" spans="1:13">
      <c r="A23" s="12">
        <v>18</v>
      </c>
      <c r="B23" s="8" t="s">
        <v>41</v>
      </c>
      <c r="C23" s="7">
        <v>768</v>
      </c>
      <c r="D23" s="7">
        <v>167</v>
      </c>
      <c r="E23" s="10">
        <f t="shared" si="1"/>
        <v>935</v>
      </c>
      <c r="F23" s="10" t="s">
        <v>27</v>
      </c>
      <c r="G23" s="10">
        <f>1232+1135+1443+592+1010+1680+1758+814+1199+766+1182+649+985+607+997+642+1674+935</f>
        <v>19300</v>
      </c>
      <c r="H23" s="24"/>
      <c r="I23" s="22">
        <f>E23/M22</f>
        <v>69.2592592592593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361</v>
      </c>
      <c r="D24" s="7">
        <v>257</v>
      </c>
      <c r="E24" s="10">
        <f t="shared" si="1"/>
        <v>618</v>
      </c>
      <c r="F24" s="10" t="s">
        <v>27</v>
      </c>
      <c r="G24" s="10">
        <f>403+357+520+369+601+404+442+288+87+362+261+279+171+177+412+504+368+618</f>
        <v>6623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26.7</v>
      </c>
      <c r="D25" s="7">
        <v>27.87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146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151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147</v>
      </c>
      <c r="D32" s="32"/>
      <c r="E32" s="32"/>
      <c r="F32" s="32"/>
      <c r="G32" s="32"/>
      <c r="H32" s="33"/>
      <c r="I32" s="30" t="s">
        <v>47</v>
      </c>
      <c r="J32" s="31" t="s">
        <v>52</v>
      </c>
      <c r="K32" s="28" t="s">
        <v>152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153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154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0+0+12+20+0+0+0+0+0+18+0+0+0+0+0+0+0+0</f>
        <v>50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6.31</v>
      </c>
      <c r="D38" s="10">
        <v>6.43</v>
      </c>
      <c r="E38" s="10">
        <f t="shared" si="2"/>
        <v>12.74</v>
      </c>
      <c r="F38" s="10" t="s">
        <v>27</v>
      </c>
      <c r="G38" s="10">
        <f>12.74+12.68+12.74+12.66+12.69+12.65+12.68+12.65+12.82+12.72+12.7+12.87+12.73+12.86+12.8+12.79+12.67+12.74</f>
        <v>229.19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27</v>
      </c>
      <c r="D39" s="10">
        <v>12</v>
      </c>
      <c r="E39" s="10">
        <f t="shared" si="2"/>
        <v>39</v>
      </c>
      <c r="F39" s="10" t="s">
        <v>27</v>
      </c>
      <c r="G39" s="10">
        <f>17+20+15+10+28+16+18+22+23+15+33+19+20+29+36+33+0+39</f>
        <v>393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0</v>
      </c>
      <c r="D40" s="10">
        <v>0</v>
      </c>
      <c r="E40" s="10">
        <f t="shared" si="2"/>
        <v>0</v>
      </c>
      <c r="F40" s="10" t="s">
        <v>14</v>
      </c>
      <c r="G40" s="10">
        <f>10.4355+1.6065+14.9715+0+7.5195+6.1695+11.313+0+12.7845+0+5.5755+6.615+12.285+0+11.475+0+10.3005+0</f>
        <v>111.051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0</v>
      </c>
      <c r="D42" s="10">
        <v>0</v>
      </c>
      <c r="E42" s="10">
        <f t="shared" si="2"/>
        <v>0</v>
      </c>
      <c r="F42" s="10" t="s">
        <v>27</v>
      </c>
      <c r="G42" s="10">
        <f>263+335+279+465+237+293+268+197+387+510+118+34+75+6+137+36+0+0</f>
        <v>3640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518</v>
      </c>
      <c r="D43" s="10">
        <v>521</v>
      </c>
      <c r="E43" s="10">
        <f t="shared" si="2"/>
        <v>1039</v>
      </c>
      <c r="F43" s="10" t="s">
        <v>27</v>
      </c>
      <c r="G43" s="10">
        <f>985+980+990+985+972+980+994+995+1020+1025+1029+1021+1001+1030+1028+1032+1024+1039</f>
        <v>18130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0+0+0+0+0+0+0+0+0+0+0+0+0+0+0+0+0+0</f>
        <v>0</v>
      </c>
      <c r="H44" s="24"/>
      <c r="I44" s="7">
        <v>1522.5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0+0+0+0+0+0+0+0+0+0+0+0+0+0+0+0+0+0</f>
        <v>0</v>
      </c>
      <c r="H45" s="24"/>
      <c r="I45" s="7">
        <v>72.0938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3</v>
      </c>
      <c r="D46" s="7">
        <v>2</v>
      </c>
      <c r="E46" s="10">
        <f>D46+C46</f>
        <v>5</v>
      </c>
      <c r="F46" s="10" t="s">
        <v>38</v>
      </c>
      <c r="G46" s="10">
        <f>5+5+6+7+8+7+5+5+5+7+7+7+8+5+8+8+7+5</f>
        <v>115</v>
      </c>
      <c r="H46" s="24"/>
      <c r="I46" s="10"/>
      <c r="J46" s="40"/>
      <c r="K46" s="28"/>
      <c r="L46" s="19" t="s">
        <v>69</v>
      </c>
      <c r="M46" s="7">
        <v>5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P10" sqref="P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155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4.5</v>
      </c>
      <c r="D3" s="9">
        <v>0</v>
      </c>
      <c r="E3" s="10">
        <f t="shared" ref="E3:E13" si="0">C3+D3</f>
        <v>4.5</v>
      </c>
      <c r="F3" s="10" t="s">
        <v>14</v>
      </c>
      <c r="G3" s="10">
        <f>6.5+16+4.5+16+1+12.5+15.5+12+5+5.5+10+4+8.5+4.5+8.5+2.5+12+10.5+4.5</f>
        <v>159.5</v>
      </c>
      <c r="H3" s="10">
        <v>256</v>
      </c>
      <c r="I3" s="10">
        <f>H3-G3</f>
        <v>96.5</v>
      </c>
      <c r="J3" s="11"/>
      <c r="K3" s="10"/>
      <c r="L3" s="10"/>
      <c r="M3" s="10">
        <f>I3/11</f>
        <v>8.77272727272727</v>
      </c>
    </row>
    <row r="4" s="1" customFormat="1" ht="35" customHeight="1" spans="1:13">
      <c r="A4" s="12">
        <v>2</v>
      </c>
      <c r="B4" s="8" t="s">
        <v>15</v>
      </c>
      <c r="C4" s="9">
        <v>10</v>
      </c>
      <c r="D4" s="9"/>
      <c r="E4" s="10">
        <f t="shared" si="0"/>
        <v>10</v>
      </c>
      <c r="F4" s="10" t="s">
        <v>14</v>
      </c>
      <c r="G4" s="10">
        <f>0+8+16+4+16+0+14+14+12+6+6+10+4+8+4+8+4+12+10</f>
        <v>156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146+130+171+51+125+166+223+62+155+90+127+67+129+50+113+72+181+111+0</f>
        <v>2169</v>
      </c>
      <c r="H5" s="10">
        <v>3600</v>
      </c>
      <c r="I5" s="10">
        <f>H5-G5-G7-G6</f>
        <v>1401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1+2+4+1+13+3+0+0+1+0+1+0+0+0+4+0+0+0+0</f>
        <v>30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0+0+0+0+0+0+0+0+0+0+0+0+0+7+0+0+0+0+0</f>
        <v>7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31.53</v>
      </c>
      <c r="D10" s="13"/>
      <c r="E10" s="10">
        <f t="shared" si="0"/>
        <v>31.53</v>
      </c>
      <c r="F10" s="13" t="s">
        <v>14</v>
      </c>
      <c r="G10" s="10">
        <f>0+0+0+31.2+31.46+62.53+0+0+93.47+93.91+31.7+30.93+0+27.33+31.02+0+0+30.19+31.53</f>
        <v>495.27</v>
      </c>
      <c r="H10" s="13">
        <v>4.72</v>
      </c>
      <c r="I10" s="21">
        <f>H10-K11</f>
        <v>0.392338999999999</v>
      </c>
      <c r="J10" s="19" t="s">
        <v>22</v>
      </c>
      <c r="K10" s="10">
        <v>30</v>
      </c>
      <c r="L10" s="10">
        <v>0.89</v>
      </c>
      <c r="M10" s="20"/>
    </row>
    <row r="11" s="1" customFormat="1" ht="25" customHeight="1" spans="1:13">
      <c r="A11" s="12">
        <v>6</v>
      </c>
      <c r="B11" s="8" t="s">
        <v>23</v>
      </c>
      <c r="C11" s="10">
        <v>3.888</v>
      </c>
      <c r="D11" s="10">
        <v>0</v>
      </c>
      <c r="E11" s="10">
        <f t="shared" si="0"/>
        <v>3.888</v>
      </c>
      <c r="F11" s="10" t="s">
        <v>14</v>
      </c>
      <c r="G11" s="10">
        <f>8.343+4.3875+5.6565+4.9815+4.7385+4.509+9.234+6.426+5.292+5.2785+3.8205+3.3345+4.3065+3.726+2.808+2.214+4.05+5.5485+3.888</f>
        <v>92.5425</v>
      </c>
      <c r="H11" s="10"/>
      <c r="I11" s="22">
        <f>G11/G3</f>
        <v>0.580203761755486</v>
      </c>
      <c r="J11" s="19" t="s">
        <v>24</v>
      </c>
      <c r="K11" s="20">
        <f>0+0+0+0.27144+0.26741+0.537758+0+0+0.84123+0.807626+0.27896+0.265998+0+0.235038+0.269874+0+0+0.27171+0.280617</f>
        <v>4.327661</v>
      </c>
      <c r="L11" s="10"/>
      <c r="M11" s="10">
        <f>C10*L10/100</f>
        <v>0.280617</v>
      </c>
    </row>
    <row r="12" s="1" customFormat="1" ht="25" customHeight="1" spans="1:13">
      <c r="A12" s="12">
        <v>7</v>
      </c>
      <c r="B12" s="8" t="s">
        <v>25</v>
      </c>
      <c r="C12" s="10">
        <v>9.1264</v>
      </c>
      <c r="D12" s="10">
        <v>0</v>
      </c>
      <c r="E12" s="10">
        <f t="shared" si="0"/>
        <v>9.1264</v>
      </c>
      <c r="F12" s="10" t="s">
        <v>14</v>
      </c>
      <c r="G12" s="10">
        <f>9.7888+8.9608+16.3208+8.188+5.52+7.4336+11.5552+12.604+12.9536+6.716+4.2136+6.2376+10.212+3.2384+11.132+0+8.9792+9.4576+9.1264</f>
        <v>162.6376</v>
      </c>
      <c r="H12" s="10"/>
      <c r="I12" s="22">
        <f>G12/G3</f>
        <v>1.01967147335423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6</v>
      </c>
      <c r="D13" s="10">
        <v>6</v>
      </c>
      <c r="E13" s="10">
        <f t="shared" si="0"/>
        <v>12</v>
      </c>
      <c r="F13" s="10" t="s">
        <v>27</v>
      </c>
      <c r="G13" s="10">
        <f>203.4+427+259+315+111+439+458+304+389+44+474+12+421+18+362+9+412+436+12</f>
        <v>5105.4</v>
      </c>
      <c r="H13" s="10">
        <f>G13*1.05</f>
        <v>5360.67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90</v>
      </c>
      <c r="D14" s="10">
        <v>31</v>
      </c>
      <c r="E14" s="10">
        <f t="shared" ref="E14:E24" si="1">D14+C14</f>
        <v>121</v>
      </c>
      <c r="F14" s="10" t="s">
        <v>27</v>
      </c>
      <c r="G14" s="10">
        <f>194+482+152+374+40+430+460+290+230+94+390+117+288+100+233+91+384+348+121</f>
        <v>4818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69.86</v>
      </c>
      <c r="D15" s="10">
        <v>65.86</v>
      </c>
      <c r="E15" s="10">
        <f t="shared" si="1"/>
        <v>135.72</v>
      </c>
      <c r="F15" s="10" t="s">
        <v>27</v>
      </c>
      <c r="G15" s="10">
        <f>1051.94+1011.04+795.49+543.9+807.96+742.7+812+543.06+526.23+781.93+406.11+655.94+322.41+543.81+550.55+719.63+795.73+378.44+135.72</f>
        <v>12124.59</v>
      </c>
      <c r="H15" s="10"/>
      <c r="I15" s="22"/>
      <c r="J15" s="19" t="s">
        <v>30</v>
      </c>
      <c r="K15" s="10">
        <v>2.69</v>
      </c>
      <c r="L15" s="10">
        <v>2.67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6</v>
      </c>
      <c r="D16" s="10">
        <v>3</v>
      </c>
      <c r="E16" s="10">
        <f t="shared" si="1"/>
        <v>9</v>
      </c>
      <c r="F16" s="10" t="s">
        <v>14</v>
      </c>
      <c r="G16" s="10">
        <f>18+33+12+30+3+30+36+21+15+9+27+9+24+6+18+6+27+24+9</f>
        <v>357</v>
      </c>
      <c r="H16" s="10"/>
      <c r="I16" s="22">
        <f>G16/G3</f>
        <v>2.23824451410658</v>
      </c>
      <c r="J16" s="19" t="s">
        <v>32</v>
      </c>
      <c r="K16" s="20">
        <f>3.1308178+2.8699152+2.220183+1.4538464+2.0633116+2.064706+2.1593316+1.47515+1.4789079+1.9842568+1.0469972+1.6107242+0.7824764+1.3334781+1.3439309+1.7491784+2.028952+1.0708182+0.3637696</f>
        <v>32.2307513</v>
      </c>
      <c r="L16" s="10"/>
      <c r="M16" s="10">
        <f>(C15*K15+L15*D15)/1000</f>
        <v>0.3637696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0+0+0.125+0+0.075+0+0+0.075+0.125+0+0+0+0.0875+0+0.0875+0+0+0+0</f>
        <v>0.575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0+0+0+0+0+0+0+0+0+0+0+0+0+0+0+0+0+0+0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0+2+0+2+0+2+0+2+0+0+0+2+0+0+2+0+0+2+0</f>
        <v>14</v>
      </c>
      <c r="H19" s="24"/>
      <c r="I19" s="22">
        <f>G19/G3</f>
        <v>0.0877742946708464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0+2+0+2+0+2+0+2+0+0+0+2+0+0+2+0+0+2+0</f>
        <v>14</v>
      </c>
      <c r="H20" s="24"/>
      <c r="I20" s="22">
        <f>G20/G3</f>
        <v>0.0877742946708464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7</v>
      </c>
      <c r="D21" s="7">
        <v>1</v>
      </c>
      <c r="E21" s="10">
        <f t="shared" si="1"/>
        <v>8</v>
      </c>
      <c r="F21" s="10" t="s">
        <v>38</v>
      </c>
      <c r="G21" s="10">
        <f>9+7+6+0+9+5+3+9+3+1+3+8+0+4+9+0+1+2+8</f>
        <v>87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81</v>
      </c>
      <c r="D22" s="7">
        <v>88</v>
      </c>
      <c r="E22" s="10">
        <f t="shared" si="1"/>
        <v>169</v>
      </c>
      <c r="F22" s="10" t="s">
        <v>27</v>
      </c>
      <c r="G22" s="10">
        <f>1104+849+1313+485+1053+1404+1362+598+991+862+1020+758+817+603+810+687+1448+818+169</f>
        <v>17151</v>
      </c>
      <c r="H22" s="26"/>
      <c r="I22" s="22" t="e">
        <f>E22/M22</f>
        <v>#DIV/0!</v>
      </c>
      <c r="J22" s="19" t="s">
        <v>40</v>
      </c>
      <c r="K22" s="10">
        <f>19+13+23+6.5+17.5+24+24+9.5+18+14.5+16+11+12.5+9+13+11.5+24+13.5+0</f>
        <v>279.5</v>
      </c>
      <c r="L22" s="10">
        <f>G22/K22</f>
        <v>61.3631484794276</v>
      </c>
      <c r="M22" s="10">
        <v>0</v>
      </c>
    </row>
    <row r="23" s="1" customFormat="1" ht="25" customHeight="1" spans="1:13">
      <c r="A23" s="12">
        <v>18</v>
      </c>
      <c r="B23" s="8" t="s">
        <v>41</v>
      </c>
      <c r="C23" s="7">
        <v>153</v>
      </c>
      <c r="D23" s="7">
        <v>0</v>
      </c>
      <c r="E23" s="10">
        <f t="shared" si="1"/>
        <v>153</v>
      </c>
      <c r="F23" s="10" t="s">
        <v>27</v>
      </c>
      <c r="G23" s="10">
        <f>1232+1135+1443+592+1010+1680+1758+814+1199+766+1182+649+985+607+997+642+1674+935+153</f>
        <v>19453</v>
      </c>
      <c r="H23" s="24"/>
      <c r="I23" s="22" t="e">
        <f>E23/M22</f>
        <v>#DIV/0!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133</v>
      </c>
      <c r="D24" s="7">
        <v>459</v>
      </c>
      <c r="E24" s="10">
        <f t="shared" si="1"/>
        <v>592</v>
      </c>
      <c r="F24" s="10" t="s">
        <v>27</v>
      </c>
      <c r="G24" s="10">
        <f>403+357+520+369+601+404+442+288+87+362+261+279+171+177+412+504+368+618+592</f>
        <v>7215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0</v>
      </c>
      <c r="D25" s="7">
        <v>0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151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156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152</v>
      </c>
      <c r="D32" s="32"/>
      <c r="E32" s="32"/>
      <c r="F32" s="32"/>
      <c r="G32" s="32"/>
      <c r="H32" s="33"/>
      <c r="I32" s="30" t="s">
        <v>47</v>
      </c>
      <c r="J32" s="31" t="s">
        <v>52</v>
      </c>
      <c r="K32" s="28" t="s">
        <v>157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158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159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0+0+12+20+0+0+0+0+0+18+0+0+0+0+0+0+0+0+0</f>
        <v>50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10.41</v>
      </c>
      <c r="D38" s="10">
        <v>11.23</v>
      </c>
      <c r="E38" s="10">
        <f t="shared" si="2"/>
        <v>21.64</v>
      </c>
      <c r="F38" s="10" t="s">
        <v>27</v>
      </c>
      <c r="G38" s="10">
        <f>12.74+12.68+12.74+12.66+12.69+12.65+12.68+12.65+12.82+12.72+12.7+12.87+12.73+12.86+12.8+12.79+12.67+12.74+21.64</f>
        <v>250.83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13</v>
      </c>
      <c r="D39" s="10">
        <v>9</v>
      </c>
      <c r="E39" s="10">
        <f t="shared" si="2"/>
        <v>22</v>
      </c>
      <c r="F39" s="10" t="s">
        <v>27</v>
      </c>
      <c r="G39" s="10">
        <f>17+20+15+10+28+16+18+22+23+15+33+19+20+29+36+33+0+39+22</f>
        <v>415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0</v>
      </c>
      <c r="D40" s="10">
        <v>0</v>
      </c>
      <c r="E40" s="10">
        <f t="shared" si="2"/>
        <v>0</v>
      </c>
      <c r="F40" s="10" t="s">
        <v>14</v>
      </c>
      <c r="G40" s="10">
        <f>10.4355+1.6065+14.9715+0+7.5195+6.1695+11.313+0+12.7845+0+5.5755+6.615+12.285+0+11.475+0+10.3005+0+0</f>
        <v>111.051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0+0+0+0+0+0+0+0+0+0+0+0+0+0+0+0+0+0+0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101</v>
      </c>
      <c r="D42" s="10">
        <v>0</v>
      </c>
      <c r="E42" s="10">
        <f t="shared" si="2"/>
        <v>101</v>
      </c>
      <c r="F42" s="10" t="s">
        <v>27</v>
      </c>
      <c r="G42" s="10">
        <f>263+335+279+465+237+293+268+197+387+510+118+34+75+6+137+36+0+0+101</f>
        <v>3741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472</v>
      </c>
      <c r="D43" s="10">
        <v>516</v>
      </c>
      <c r="E43" s="10">
        <f t="shared" si="2"/>
        <v>988</v>
      </c>
      <c r="F43" s="10" t="s">
        <v>27</v>
      </c>
      <c r="G43" s="10">
        <f>985+980+990+985+972+980+994+995+1020+1025+1029+1021+1001+1030+1028+1032+1024+1039+988</f>
        <v>19118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0+0+0+0+0+0+0+0+0+0+0+0+0+0+0+0+0+0+0</f>
        <v>0</v>
      </c>
      <c r="H44" s="24"/>
      <c r="I44" s="7">
        <v>1005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0+0+0+0+0+0+0+0+0+0+0+0+0+0+0+0+0+0+0</f>
        <v>0</v>
      </c>
      <c r="H45" s="24"/>
      <c r="I45" s="7">
        <v>81.6484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5</v>
      </c>
      <c r="D46" s="7">
        <v>5</v>
      </c>
      <c r="E46" s="10">
        <f>D46+C46</f>
        <v>10</v>
      </c>
      <c r="F46" s="10" t="s">
        <v>38</v>
      </c>
      <c r="G46" s="10">
        <f>5+5+6+7+8+7+5+5+5+7+7+7+8+5+8+8+7+5+10</f>
        <v>125</v>
      </c>
      <c r="H46" s="24"/>
      <c r="I46" s="10"/>
      <c r="J46" s="40"/>
      <c r="K46" s="28"/>
      <c r="L46" s="19" t="s">
        <v>69</v>
      </c>
      <c r="M46" s="7">
        <v>6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P10" sqref="P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160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2.5</v>
      </c>
      <c r="D3" s="9">
        <v>2.5</v>
      </c>
      <c r="E3" s="10">
        <f t="shared" ref="E3:E13" si="0">C3+D3</f>
        <v>5</v>
      </c>
      <c r="F3" s="10" t="s">
        <v>14</v>
      </c>
      <c r="G3" s="10">
        <f>6.5+16+4.5+16+1+12.5+15.5+12+5+5.5+10+4+8.5+4.5+8.5+2.5+12+10.5+4.5+5</f>
        <v>164.5</v>
      </c>
      <c r="H3" s="10">
        <v>256</v>
      </c>
      <c r="I3" s="10">
        <f>H3-G3</f>
        <v>91.5</v>
      </c>
      <c r="J3" s="11"/>
      <c r="K3" s="10"/>
      <c r="L3" s="10"/>
      <c r="M3" s="10">
        <f>I3/10</f>
        <v>9.15</v>
      </c>
    </row>
    <row r="4" s="1" customFormat="1" ht="35" customHeight="1" spans="1:13">
      <c r="A4" s="12">
        <v>2</v>
      </c>
      <c r="B4" s="8" t="s">
        <v>15</v>
      </c>
      <c r="C4" s="9">
        <v>4</v>
      </c>
      <c r="D4" s="9"/>
      <c r="E4" s="10">
        <f t="shared" si="0"/>
        <v>4</v>
      </c>
      <c r="F4" s="10" t="s">
        <v>14</v>
      </c>
      <c r="G4" s="10">
        <f>0+8+16+4+16+0+14+14+12+6+6+10+4+8+4+8+4+12+10+4</f>
        <v>160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32</v>
      </c>
      <c r="D5" s="10">
        <v>119</v>
      </c>
      <c r="E5" s="10">
        <f t="shared" si="0"/>
        <v>151</v>
      </c>
      <c r="F5" s="10" t="s">
        <v>14</v>
      </c>
      <c r="G5" s="10">
        <f>146+130+171+51+125+166+223+62+155+90+127+67+129+50+113+72+181+111+0+151</f>
        <v>2320</v>
      </c>
      <c r="H5" s="10">
        <v>3600</v>
      </c>
      <c r="I5" s="10">
        <f>H5-G5-G7-G6</f>
        <v>1250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1+2+4+1+13+3+0+0+1+0+1+0+0+0+4+0+0+0+0+0</f>
        <v>30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0+0+0+0+0+0+0+0+0+0+0+0+0+7+0+0+0+0+0+0</f>
        <v>7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0+0+0+31.2+31.46+62.53+0+0+93.47+93.91+31.7+30.93+0+27.33+31.02+0+0+30.19+31.53+0</f>
        <v>495.27</v>
      </c>
      <c r="H10" s="13">
        <v>4.72</v>
      </c>
      <c r="I10" s="21">
        <f>H10-K11</f>
        <v>0.392338999999999</v>
      </c>
      <c r="J10" s="19" t="s">
        <v>22</v>
      </c>
      <c r="K10" s="10">
        <v>30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2.4165</v>
      </c>
      <c r="D11" s="10">
        <v>1.377</v>
      </c>
      <c r="E11" s="10">
        <f t="shared" si="0"/>
        <v>3.7935</v>
      </c>
      <c r="F11" s="10" t="s">
        <v>14</v>
      </c>
      <c r="G11" s="10">
        <f>8.343+4.3875+5.6565+4.9815+4.7385+4.509+9.234+6.426+5.292+5.2785+3.8205+3.3345+4.3065+3.726+2.808+2.214+4.05+5.5485+3.888+3.7935</f>
        <v>96.336</v>
      </c>
      <c r="H11" s="10"/>
      <c r="I11" s="22">
        <f>G11/G3</f>
        <v>0.585629179331307</v>
      </c>
      <c r="J11" s="19" t="s">
        <v>24</v>
      </c>
      <c r="K11" s="20">
        <f>0+0+0+0.27144+0.26741+0.537758+0+0+0.84123+0.807626+0.27896+0.265998+0+0.235038+0.269874+0+0+0.27171+0.280617+0</f>
        <v>4.327661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4.048</v>
      </c>
      <c r="D12" s="10">
        <v>0</v>
      </c>
      <c r="E12" s="10">
        <f t="shared" si="0"/>
        <v>4.048</v>
      </c>
      <c r="F12" s="10" t="s">
        <v>14</v>
      </c>
      <c r="G12" s="10">
        <f>9.7888+8.9608+16.3208+8.188+5.52+7.4336+11.5552+12.604+12.9536+6.716+4.2136+6.2376+10.212+3.2384+11.132+0+8.9792+9.4576+9.1264+4.048</f>
        <v>166.6856</v>
      </c>
      <c r="H12" s="10"/>
      <c r="I12" s="22">
        <f>G12/G3</f>
        <v>1.01328632218845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6</v>
      </c>
      <c r="D13" s="10">
        <v>176</v>
      </c>
      <c r="E13" s="10">
        <f t="shared" si="0"/>
        <v>182</v>
      </c>
      <c r="F13" s="10" t="s">
        <v>27</v>
      </c>
      <c r="G13" s="10">
        <f>203.4+427+259+315+111+439+458+304+389+44+474+12+421+18+362+9+412+436+12+182</f>
        <v>5287.4</v>
      </c>
      <c r="H13" s="10">
        <f>G13*1.05</f>
        <v>5551.77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20</v>
      </c>
      <c r="D14" s="10">
        <v>138</v>
      </c>
      <c r="E14" s="10">
        <f t="shared" ref="E14:E24" si="1">D14+C14</f>
        <v>158</v>
      </c>
      <c r="F14" s="10" t="s">
        <v>27</v>
      </c>
      <c r="G14" s="10">
        <f>194+482+152+374+40+430+460+290+230+94+390+117+288+100+233+91+384+348+121+158</f>
        <v>4976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254.83</v>
      </c>
      <c r="D15" s="10">
        <v>354.84</v>
      </c>
      <c r="E15" s="10">
        <f t="shared" si="1"/>
        <v>609.67</v>
      </c>
      <c r="F15" s="10" t="s">
        <v>27</v>
      </c>
      <c r="G15" s="10">
        <f>1051.94+1011.04+795.49+543.9+807.96+742.7+812+543.06+526.23+781.93+406.11+655.94+322.41+543.81+550.55+719.63+795.73+378.44+135.72+609.67</f>
        <v>12734.26</v>
      </c>
      <c r="H15" s="10"/>
      <c r="I15" s="22"/>
      <c r="J15" s="19" t="s">
        <v>30</v>
      </c>
      <c r="K15" s="10">
        <v>2.78</v>
      </c>
      <c r="L15" s="10">
        <v>2.77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3</v>
      </c>
      <c r="D16" s="10">
        <v>9</v>
      </c>
      <c r="E16" s="10">
        <f t="shared" si="1"/>
        <v>12</v>
      </c>
      <c r="F16" s="10" t="s">
        <v>14</v>
      </c>
      <c r="G16" s="10">
        <f>18+33+12+30+3+30+36+21+15+9+27+9+24+6+18+6+27+24+9+12</f>
        <v>369</v>
      </c>
      <c r="H16" s="10"/>
      <c r="I16" s="22">
        <f>G16/G3</f>
        <v>2.24316109422492</v>
      </c>
      <c r="J16" s="19" t="s">
        <v>32</v>
      </c>
      <c r="K16" s="20">
        <f>3.1308178+2.8699152+2.220183+1.4538464+2.0633116+2.064706+2.1593316+1.47515+1.4789079+1.9842568+1.0469972+1.6107242+0.7824764+1.3334781+1.3439309+1.7491784+2.028952+1.0708182+0.3637696+1.6913342</f>
        <v>33.9220855</v>
      </c>
      <c r="L16" s="10"/>
      <c r="M16" s="10">
        <f>(C15*K15+L15*D15)/1000</f>
        <v>1.6913342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0+0+0.125+0+0.075+0+0+0.075+0.125+0+0+0+0.0875+0+0.0875+0+0+0+0+0</f>
        <v>0.575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0+0+0+0+0+0+0+0+0+0+0+0+0+0+0+0+0+0+0+0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0+2+0+2+0+2+0+2+0+0+0+2+0+0+2+0+0+2+0+0</f>
        <v>14</v>
      </c>
      <c r="H19" s="24"/>
      <c r="I19" s="22">
        <f>G19/G3</f>
        <v>0.0851063829787234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0+2+0+2+0+2+0+2+0+0+0+2+0+0+2+0+0+2+0+0</f>
        <v>14</v>
      </c>
      <c r="H20" s="24"/>
      <c r="I20" s="22">
        <f>G20/G3</f>
        <v>0.0851063829787234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0</v>
      </c>
      <c r="D21" s="7">
        <v>2</v>
      </c>
      <c r="E21" s="10">
        <f t="shared" si="1"/>
        <v>2</v>
      </c>
      <c r="F21" s="10" t="s">
        <v>38</v>
      </c>
      <c r="G21" s="10">
        <f>9+7+6+0+9+5+3+9+3+1+3+8+0+4+9+0+1+2+8+2</f>
        <v>89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486</v>
      </c>
      <c r="D22" s="7">
        <v>692</v>
      </c>
      <c r="E22" s="10">
        <f t="shared" si="1"/>
        <v>1178</v>
      </c>
      <c r="F22" s="10" t="s">
        <v>27</v>
      </c>
      <c r="G22" s="10">
        <f>1104+849+1313+485+1053+1404+1362+598+991+862+1020+758+817+603+810+687+1448+818+169+1178</f>
        <v>18329</v>
      </c>
      <c r="H22" s="26"/>
      <c r="I22" s="22">
        <f>E22/M22</f>
        <v>58.9</v>
      </c>
      <c r="J22" s="19" t="s">
        <v>40</v>
      </c>
      <c r="K22" s="10">
        <f>19+13+23+6.5+17.5+24+24+9.5+18+14.5+16+11+12.5+9+13+11.5+24+13.5+0+20</f>
        <v>299.5</v>
      </c>
      <c r="L22" s="10">
        <f>G22/K22</f>
        <v>61.1986644407346</v>
      </c>
      <c r="M22" s="10">
        <v>20</v>
      </c>
    </row>
    <row r="23" s="1" customFormat="1" ht="25" customHeight="1" spans="1:13">
      <c r="A23" s="12">
        <v>18</v>
      </c>
      <c r="B23" s="8" t="s">
        <v>41</v>
      </c>
      <c r="C23" s="7">
        <v>427</v>
      </c>
      <c r="D23" s="7">
        <v>829</v>
      </c>
      <c r="E23" s="10">
        <f t="shared" si="1"/>
        <v>1256</v>
      </c>
      <c r="F23" s="10" t="s">
        <v>27</v>
      </c>
      <c r="G23" s="10">
        <f>1232+1135+1443+592+1010+1680+1758+814+1199+766+1182+649+985+607+997+642+1674+935+153+1256</f>
        <v>20709</v>
      </c>
      <c r="H23" s="24"/>
      <c r="I23" s="22">
        <f>E23/M22</f>
        <v>62.8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0</v>
      </c>
      <c r="D24" s="7">
        <v>418</v>
      </c>
      <c r="E24" s="10">
        <f t="shared" si="1"/>
        <v>418</v>
      </c>
      <c r="F24" s="10" t="s">
        <v>27</v>
      </c>
      <c r="G24" s="10">
        <f>403+357+520+369+601+404+442+288+87+362+261+279+171+177+412+504+368+618+592+418</f>
        <v>7633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0</v>
      </c>
      <c r="D25" s="7">
        <v>27.39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156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157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157</v>
      </c>
      <c r="D32" s="32"/>
      <c r="E32" s="32"/>
      <c r="F32" s="32"/>
      <c r="G32" s="32"/>
      <c r="H32" s="33"/>
      <c r="I32" s="30" t="s">
        <v>79</v>
      </c>
      <c r="J32" s="31" t="s">
        <v>52</v>
      </c>
      <c r="K32" s="28" t="s">
        <v>157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161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162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0+0+12+20+0+0+0+0+0+18+0+0+0+0+0+0+0+0+0+0</f>
        <v>50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11.39</v>
      </c>
      <c r="D38" s="10">
        <v>11.32</v>
      </c>
      <c r="E38" s="10">
        <f t="shared" si="2"/>
        <v>22.71</v>
      </c>
      <c r="F38" s="10" t="s">
        <v>27</v>
      </c>
      <c r="G38" s="10">
        <f>12.74+12.68+12.74+12.66+12.69+12.65+12.68+12.65+12.82+12.72+12.7+12.87+12.73+12.86+12.8+12.79+12.67+12.74+21.64+22.71</f>
        <v>273.54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11</v>
      </c>
      <c r="D39" s="10">
        <v>8</v>
      </c>
      <c r="E39" s="10">
        <f t="shared" si="2"/>
        <v>19</v>
      </c>
      <c r="F39" s="10" t="s">
        <v>27</v>
      </c>
      <c r="G39" s="10">
        <f>17+20+15+10+28+16+18+22+23+15+33+19+20+29+36+33+0+39+22+19</f>
        <v>434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22.5585</v>
      </c>
      <c r="D40" s="10">
        <v>0</v>
      </c>
      <c r="E40" s="10">
        <f t="shared" si="2"/>
        <v>22.5585</v>
      </c>
      <c r="F40" s="10" t="s">
        <v>14</v>
      </c>
      <c r="G40" s="10">
        <f>10.4355+1.6065+14.9715+0+7.5195+6.1695+11.313+0+12.7845+0+5.5755+6.615+12.285+0+11.475+0+10.3005+0+0+22.5585</f>
        <v>133.6095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0+0+0+0+0+0+0+0+0+0+0+0+0+0+0+0+0+0+0+0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21</v>
      </c>
      <c r="D42" s="10">
        <v>0</v>
      </c>
      <c r="E42" s="10">
        <f t="shared" si="2"/>
        <v>21</v>
      </c>
      <c r="F42" s="10" t="s">
        <v>27</v>
      </c>
      <c r="G42" s="10">
        <f>263+335+279+465+237+293+268+197+387+510+118+34+75+6+137+36+0+0+101+21</f>
        <v>3762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519</v>
      </c>
      <c r="D43" s="10">
        <v>516</v>
      </c>
      <c r="E43" s="10">
        <f t="shared" si="2"/>
        <v>1035</v>
      </c>
      <c r="F43" s="10" t="s">
        <v>27</v>
      </c>
      <c r="G43" s="10">
        <f>985+980+990+985+972+980+994+995+1020+1025+1029+1021+1001+1030+1028+1032+1024+1039+988+1035</f>
        <v>20153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0+0+0+0+0+0+0+0+0+0+0+0+0+0+0+0+0+0+0+0</f>
        <v>0</v>
      </c>
      <c r="H44" s="24"/>
      <c r="I44" s="7">
        <v>750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0+0+0+0+0+0+0+0+0+0+0+0+0+0+0+0+0+0+0+0</f>
        <v>0</v>
      </c>
      <c r="H45" s="24"/>
      <c r="I45" s="7">
        <v>81.6484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5</v>
      </c>
      <c r="D46" s="7">
        <v>4</v>
      </c>
      <c r="E46" s="10">
        <f>D46+C46</f>
        <v>9</v>
      </c>
      <c r="F46" s="10" t="s">
        <v>38</v>
      </c>
      <c r="G46" s="10">
        <f>5+5+6+7+8+7+5+5+5+7+7+7+8+5+8+8+7+5+10+9</f>
        <v>134</v>
      </c>
      <c r="H46" s="24"/>
      <c r="I46" s="10"/>
      <c r="J46" s="40"/>
      <c r="K46" s="28"/>
      <c r="L46" s="19" t="s">
        <v>69</v>
      </c>
      <c r="M46" s="7">
        <v>4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P10" sqref="P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163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6.5</v>
      </c>
      <c r="D3" s="9">
        <v>8.5</v>
      </c>
      <c r="E3" s="10">
        <f t="shared" ref="E3:E13" si="0">C3+D3</f>
        <v>15</v>
      </c>
      <c r="F3" s="10" t="s">
        <v>14</v>
      </c>
      <c r="G3" s="10">
        <f>6.5+16+4.5+16+1+12.5+15.5+12+5+5.5+10+4+8.5+4.5+8.5+2.5+12+10.5+4.5+5+15</f>
        <v>179.5</v>
      </c>
      <c r="H3" s="10">
        <v>256</v>
      </c>
      <c r="I3" s="10">
        <f>H3-G3</f>
        <v>76.5</v>
      </c>
      <c r="J3" s="11"/>
      <c r="K3" s="10"/>
      <c r="L3" s="10"/>
      <c r="M3" s="10">
        <f>I3/9</f>
        <v>8.5</v>
      </c>
    </row>
    <row r="4" s="1" customFormat="1" ht="35" customHeight="1" spans="1:13">
      <c r="A4" s="12">
        <v>2</v>
      </c>
      <c r="B4" s="8" t="s">
        <v>15</v>
      </c>
      <c r="C4" s="9">
        <v>6</v>
      </c>
      <c r="D4" s="9"/>
      <c r="E4" s="10">
        <f t="shared" si="0"/>
        <v>6</v>
      </c>
      <c r="F4" s="10" t="s">
        <v>14</v>
      </c>
      <c r="G4" s="10">
        <f>0+8+16+4+16+0+14+14+12+6+6+10+4+8+4+8+4+12+10+4+6</f>
        <v>166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62</v>
      </c>
      <c r="D5" s="10">
        <v>0</v>
      </c>
      <c r="E5" s="10">
        <f t="shared" si="0"/>
        <v>62</v>
      </c>
      <c r="F5" s="10" t="s">
        <v>14</v>
      </c>
      <c r="G5" s="10">
        <f>146+130+171+51+125+166+223+62+155+90+127+67+129+50+113+72+181+111+0+151+62</f>
        <v>2382</v>
      </c>
      <c r="H5" s="10">
        <v>3600</v>
      </c>
      <c r="I5" s="10">
        <f>H5-G5-G7-G6</f>
        <v>1188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0+0+0+0+0+0+0+0+0+0+0+0+0+0+0+0+0+0+0+0+0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1+2+4+1+13+3+0+0+1+0+1+0+0+0+4+0+0+0+0+0+0</f>
        <v>30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0+0+0+0+0+0+0+0+0+0+0+0+0+7+0+0+0+0+0+0+0</f>
        <v>7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0+0+0+31.2+31.46+62.53+0+0+93.47+93.91+31.7+30.93+0+27.33+31.02+0+0+30.19+31.53+0+0</f>
        <v>495.27</v>
      </c>
      <c r="H10" s="13">
        <v>4.72</v>
      </c>
      <c r="I10" s="21">
        <f>H10-K11</f>
        <v>0.392338999999999</v>
      </c>
      <c r="J10" s="19" t="s">
        <v>22</v>
      </c>
      <c r="K10" s="10">
        <v>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4.968</v>
      </c>
      <c r="D11" s="10">
        <v>0</v>
      </c>
      <c r="E11" s="10">
        <f t="shared" si="0"/>
        <v>4.968</v>
      </c>
      <c r="F11" s="10" t="s">
        <v>14</v>
      </c>
      <c r="G11" s="10">
        <f>8.343+4.3875+5.6565+4.9815+4.7385+4.509+9.234+6.426+5.292+5.2785+3.8205+3.3345+4.3065+3.726+2.808+2.214+4.05+5.5485+3.888+3.7935+4.968</f>
        <v>101.304</v>
      </c>
      <c r="H11" s="10"/>
      <c r="I11" s="22">
        <f>G11/G3</f>
        <v>0.564367688022284</v>
      </c>
      <c r="J11" s="19" t="s">
        <v>24</v>
      </c>
      <c r="K11" s="20">
        <f>0+0+0+0.27144+0.26741+0.537758+0+0+0.84123+0.807626+0.27896+0.265998+0+0.235038+0.269874+0+0+0.27171+0.280617+0+0</f>
        <v>4.327661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10.0832</v>
      </c>
      <c r="D12" s="10">
        <v>0</v>
      </c>
      <c r="E12" s="10">
        <f t="shared" si="0"/>
        <v>10.0832</v>
      </c>
      <c r="F12" s="10" t="s">
        <v>14</v>
      </c>
      <c r="G12" s="10">
        <f>9.7888+8.9608+16.3208+8.188+5.52+7.4336+11.5552+12.604+12.9536+6.716+4.2136+6.2376+10.212+3.2384+11.132+0+8.9792+9.4576+9.1264+4.048+10.0832</f>
        <v>176.7688</v>
      </c>
      <c r="H12" s="10"/>
      <c r="I12" s="22">
        <f>G12/G3</f>
        <v>0.984784401114206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326</v>
      </c>
      <c r="D13" s="10">
        <v>6</v>
      </c>
      <c r="E13" s="10">
        <f t="shared" si="0"/>
        <v>332</v>
      </c>
      <c r="F13" s="10" t="s">
        <v>27</v>
      </c>
      <c r="G13" s="10">
        <f>203.4+427+259+315+111+439+458+304+389+44+474+12+421+18+362+9+412+436+12+182+332</f>
        <v>5619.4</v>
      </c>
      <c r="H13" s="10">
        <f>G13*1.05</f>
        <v>5900.37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275</v>
      </c>
      <c r="D14" s="10">
        <v>114</v>
      </c>
      <c r="E14" s="10">
        <f t="shared" ref="E14:E24" si="1">D14+C14</f>
        <v>389</v>
      </c>
      <c r="F14" s="10" t="s">
        <v>27</v>
      </c>
      <c r="G14" s="10">
        <f>194+482+152+374+40+430+460+290+230+94+390+117+288+100+233+91+384+348+121+158+389</f>
        <v>5365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354.61</v>
      </c>
      <c r="D15" s="10">
        <v>392.15</v>
      </c>
      <c r="E15" s="10">
        <f t="shared" si="1"/>
        <v>746.76</v>
      </c>
      <c r="F15" s="10" t="s">
        <v>27</v>
      </c>
      <c r="G15" s="10">
        <f>1051.94+1011.04+795.49+543.9+807.96+742.7+812+543.06+526.23+781.93+406.11+655.94+322.41+543.81+550.55+719.63+795.73+378.44+135.72+609.67+746.76</f>
        <v>13481.02</v>
      </c>
      <c r="H15" s="10"/>
      <c r="I15" s="22"/>
      <c r="J15" s="19" t="s">
        <v>30</v>
      </c>
      <c r="K15" s="10">
        <v>2.89</v>
      </c>
      <c r="L15" s="10">
        <v>2.58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18</v>
      </c>
      <c r="D16" s="10">
        <v>12</v>
      </c>
      <c r="E16" s="10">
        <f t="shared" si="1"/>
        <v>30</v>
      </c>
      <c r="F16" s="10" t="s">
        <v>14</v>
      </c>
      <c r="G16" s="10">
        <f>18+33+12+30+3+30+36+21+15+9+27+9+24+6+18+6+27+24+9+12+30</f>
        <v>399</v>
      </c>
      <c r="H16" s="10"/>
      <c r="I16" s="22">
        <f>G16/G3</f>
        <v>2.22284122562674</v>
      </c>
      <c r="J16" s="19" t="s">
        <v>32</v>
      </c>
      <c r="K16" s="20">
        <f>3.1308178+2.8699152+2.220183+1.4538464+2.0633116+2.064706+2.1593316+1.47515+1.4789079+1.9842568+1.0469972+1.6107242+0.7824764+1.3334781+1.3439309+1.7491784+2.028952+1.0708182+0.3637696+1.6913342+2.0365699</f>
        <v>35.9586554</v>
      </c>
      <c r="L16" s="10"/>
      <c r="M16" s="10">
        <f>(C15*K15+L15*D15)/1000</f>
        <v>2.0365699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0+0+0.125+0+0.075+0+0+0.075+0.125+0+0+0+0.0875+0+0.0875+0+0+0+0+0+0</f>
        <v>0.575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0+0+0+0+0+0+0+0+0+0+0+0+0+0+0+0+0+0+0+0+0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0+2+0+2+0+2+0+2+0+0+0+2+0+0+2+0+0+2+0+0+2</f>
        <v>16</v>
      </c>
      <c r="H19" s="24"/>
      <c r="I19" s="22">
        <f>G19/G3</f>
        <v>0.0891364902506964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0+2+0+2+0+2+0+2+0+0+0+2+0+0+2+0+0+2+0+0+2</f>
        <v>16</v>
      </c>
      <c r="H20" s="24"/>
      <c r="I20" s="22">
        <f>G20/G3</f>
        <v>0.0891364902506964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1</v>
      </c>
      <c r="D21" s="7">
        <v>4</v>
      </c>
      <c r="E21" s="10">
        <f t="shared" si="1"/>
        <v>5</v>
      </c>
      <c r="F21" s="10" t="s">
        <v>38</v>
      </c>
      <c r="G21" s="10">
        <f>9+7+6+0+9+5+3+9+3+1+3+8+0+4+9+0+1+2+8+2+5</f>
        <v>94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442</v>
      </c>
      <c r="D22" s="7">
        <v>319</v>
      </c>
      <c r="E22" s="10">
        <f t="shared" si="1"/>
        <v>761</v>
      </c>
      <c r="F22" s="10" t="s">
        <v>27</v>
      </c>
      <c r="G22" s="10">
        <f>1104+849+1313+485+1053+1404+1362+598+991+862+1020+758+817+603+810+687+1448+818+169+1178+761</f>
        <v>19090</v>
      </c>
      <c r="H22" s="26"/>
      <c r="I22" s="22">
        <f>E22/M22</f>
        <v>63.4166666666667</v>
      </c>
      <c r="J22" s="19" t="s">
        <v>40</v>
      </c>
      <c r="K22" s="10">
        <f>19+13+23+6.5+17.5+24+24+9.5+18+14.5+16+11+12.5+9+13+11.5+24+13.5+0+20+12</f>
        <v>311.5</v>
      </c>
      <c r="L22" s="10">
        <f>G22/K22</f>
        <v>61.2841091492777</v>
      </c>
      <c r="M22" s="10">
        <v>12</v>
      </c>
    </row>
    <row r="23" s="1" customFormat="1" ht="25" customHeight="1" spans="1:13">
      <c r="A23" s="12">
        <v>18</v>
      </c>
      <c r="B23" s="8" t="s">
        <v>41</v>
      </c>
      <c r="C23" s="7">
        <v>579</v>
      </c>
      <c r="D23" s="7">
        <v>301</v>
      </c>
      <c r="E23" s="10">
        <f t="shared" si="1"/>
        <v>880</v>
      </c>
      <c r="F23" s="10" t="s">
        <v>27</v>
      </c>
      <c r="G23" s="10">
        <f>1232+1135+1443+592+1010+1680+1758+814+1199+766+1182+649+985+607+997+642+1674+935+153+1256+880</f>
        <v>21589</v>
      </c>
      <c r="H23" s="24"/>
      <c r="I23" s="22">
        <f>E23/M22</f>
        <v>73.3333333333333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483</v>
      </c>
      <c r="D24" s="7">
        <v>341</v>
      </c>
      <c r="E24" s="10">
        <f t="shared" si="1"/>
        <v>824</v>
      </c>
      <c r="F24" s="10" t="s">
        <v>27</v>
      </c>
      <c r="G24" s="10">
        <f>403+357+520+369+601+404+442+288+87+362+261+279+171+177+412+504+368+618+592+418+824</f>
        <v>8457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30.34</v>
      </c>
      <c r="D25" s="7">
        <v>0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157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164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157</v>
      </c>
      <c r="D32" s="32"/>
      <c r="E32" s="32"/>
      <c r="F32" s="32"/>
      <c r="G32" s="32"/>
      <c r="H32" s="33"/>
      <c r="I32" s="30" t="s">
        <v>47</v>
      </c>
      <c r="J32" s="31" t="s">
        <v>52</v>
      </c>
      <c r="K32" s="28" t="s">
        <v>165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166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167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0+0+12+20+0+0+0+0+0+18+0+0+0+0+0+0+0+0+0+0+0</f>
        <v>50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11.42</v>
      </c>
      <c r="D38" s="10">
        <v>10.31</v>
      </c>
      <c r="E38" s="10">
        <f t="shared" si="2"/>
        <v>21.73</v>
      </c>
      <c r="F38" s="10" t="s">
        <v>27</v>
      </c>
      <c r="G38" s="10">
        <f>12.74+12.68+12.74+12.66+12.69+12.65+12.68+12.65+12.82+12.72+12.7+12.87+12.73+12.86+12.8+12.79+12.67+12.74+21.64+22.71+21.73</f>
        <v>295.27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41</v>
      </c>
      <c r="D39" s="10">
        <v>0</v>
      </c>
      <c r="E39" s="10">
        <f t="shared" si="2"/>
        <v>41</v>
      </c>
      <c r="F39" s="10" t="s">
        <v>27</v>
      </c>
      <c r="G39" s="10">
        <f>17+20+15+10+28+16+18+22+23+15+33+19+20+29+36+33+0+39+22+19+41</f>
        <v>475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18.1575</v>
      </c>
      <c r="D40" s="10">
        <v>0</v>
      </c>
      <c r="E40" s="10">
        <f t="shared" si="2"/>
        <v>18.1575</v>
      </c>
      <c r="F40" s="10" t="s">
        <v>14</v>
      </c>
      <c r="G40" s="10">
        <f>10.4355+1.6065+14.9715+0+7.5195+6.1695+11.313+0+12.7845+0+5.5755+6.615+12.285+0+11.475+0+10.3005+0+0+22.5585+18.1575</f>
        <v>151.767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0+0+0+0+0+0+0+0+0+0+0+0+0+0+0+0+0+0+0+0+0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0</v>
      </c>
      <c r="D42" s="10">
        <v>210</v>
      </c>
      <c r="E42" s="10">
        <f t="shared" si="2"/>
        <v>210</v>
      </c>
      <c r="F42" s="10" t="s">
        <v>27</v>
      </c>
      <c r="G42" s="10">
        <f>263+335+279+465+237+293+268+197+387+510+118+34+75+6+137+36+0+0+101+21+210</f>
        <v>3972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519</v>
      </c>
      <c r="D43" s="10">
        <v>517</v>
      </c>
      <c r="E43" s="10">
        <f t="shared" si="2"/>
        <v>1036</v>
      </c>
      <c r="F43" s="10" t="s">
        <v>27</v>
      </c>
      <c r="G43" s="10">
        <f>985+980+990+985+972+980+994+995+1020+1025+1029+1021+1001+1030+1028+1032+1024+1039+988+1035+1036</f>
        <v>21189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0+0+0+0+0+0+0+0+0+0+0+0+0+0+0+0+0+0+0+0+0</f>
        <v>0</v>
      </c>
      <c r="H44" s="24"/>
      <c r="I44" s="7">
        <v>562.5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0+0+0+0+0+0+0+0+0+0+0+0+0+0+0+0+0+0+0+0+0</f>
        <v>0</v>
      </c>
      <c r="H45" s="24"/>
      <c r="I45" s="7">
        <v>108.575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6</v>
      </c>
      <c r="D46" s="7">
        <v>5</v>
      </c>
      <c r="E46" s="10">
        <f>D46+C46</f>
        <v>11</v>
      </c>
      <c r="F46" s="10" t="s">
        <v>38</v>
      </c>
      <c r="G46" s="10">
        <f>5+5+6+7+8+7+5+5+5+7+7+7+8+5+8+8+7+5+10+9+11</f>
        <v>145</v>
      </c>
      <c r="H46" s="24"/>
      <c r="I46" s="10"/>
      <c r="J46" s="40"/>
      <c r="K46" s="28"/>
      <c r="L46" s="19" t="s">
        <v>69</v>
      </c>
      <c r="M46" s="7">
        <v>6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P10" sqref="P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168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0.5</v>
      </c>
      <c r="D3" s="9">
        <v>5</v>
      </c>
      <c r="E3" s="10">
        <f t="shared" ref="E3:E13" si="0">C3+D3</f>
        <v>5.5</v>
      </c>
      <c r="F3" s="10" t="s">
        <v>14</v>
      </c>
      <c r="G3" s="10">
        <f>6.5+16+4.5+16+1+12.5+15.5+12+5+5.5+10+4+8.5+4.5+8.5+2.5+12+10.5+4.5+5+15+5.5</f>
        <v>185</v>
      </c>
      <c r="H3" s="10">
        <v>256</v>
      </c>
      <c r="I3" s="10">
        <f>H3-G3</f>
        <v>71</v>
      </c>
      <c r="J3" s="11"/>
      <c r="K3" s="10"/>
      <c r="L3" s="10"/>
      <c r="M3" s="10">
        <f>I3/8</f>
        <v>8.875</v>
      </c>
    </row>
    <row r="4" s="1" customFormat="1" ht="35" customHeight="1" spans="1:13">
      <c r="A4" s="12">
        <v>2</v>
      </c>
      <c r="B4" s="8" t="s">
        <v>15</v>
      </c>
      <c r="C4" s="9">
        <v>14</v>
      </c>
      <c r="D4" s="9"/>
      <c r="E4" s="10">
        <f t="shared" si="0"/>
        <v>14</v>
      </c>
      <c r="F4" s="10" t="s">
        <v>14</v>
      </c>
      <c r="G4" s="10">
        <f>0+8+16+4+16+0+14+14+12+6+6+10+4+8+4+8+4+12+10+4+6+14</f>
        <v>180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121</v>
      </c>
      <c r="D5" s="10">
        <v>108</v>
      </c>
      <c r="E5" s="10">
        <f t="shared" si="0"/>
        <v>229</v>
      </c>
      <c r="F5" s="10" t="s">
        <v>14</v>
      </c>
      <c r="G5" s="10">
        <f>146+130+171+51+125+166+223+62+155+90+127+67+129+50+113+72+181+111+0+151+62+229</f>
        <v>2611</v>
      </c>
      <c r="H5" s="10">
        <v>3600</v>
      </c>
      <c r="I5" s="10">
        <f>H5-G5-G7-G6</f>
        <v>958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0+0+0+0+0+0+0+0+0+0+0+0+0+0+0+0+0+0+0+0+0+0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1</v>
      </c>
      <c r="E7" s="10">
        <f t="shared" si="0"/>
        <v>1</v>
      </c>
      <c r="F7" s="10" t="s">
        <v>14</v>
      </c>
      <c r="G7" s="10">
        <f>1+2+4+1+13+3+0+0+1+0+1+0+0+0+4+0+0+0+0+0+0+1</f>
        <v>31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1</v>
      </c>
      <c r="E8" s="10">
        <f t="shared" si="0"/>
        <v>1</v>
      </c>
      <c r="F8" s="10" t="s">
        <v>14</v>
      </c>
      <c r="G8" s="10">
        <f>0+0+0+0+0+0+0+0+0+0+0+0+0+7+0+0+0+0+0+0+0+1</f>
        <v>8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29.95</v>
      </c>
      <c r="D10" s="13"/>
      <c r="E10" s="10">
        <f t="shared" si="0"/>
        <v>29.95</v>
      </c>
      <c r="F10" s="13" t="s">
        <v>14</v>
      </c>
      <c r="G10" s="10">
        <f>0+0+0+31.2+31.46+62.53+0+0+93.47+93.91+31.7+30.93+0+27.33+31.02+0+0+30.19+31.53+0+0+29.95</f>
        <v>525.22</v>
      </c>
      <c r="H10" s="13">
        <v>4.72</v>
      </c>
      <c r="I10" s="21">
        <f>H10-K11</f>
        <v>0.125783999999999</v>
      </c>
      <c r="J10" s="19" t="s">
        <v>22</v>
      </c>
      <c r="K10" s="10">
        <v>30</v>
      </c>
      <c r="L10" s="10">
        <v>0.89</v>
      </c>
      <c r="M10" s="20"/>
    </row>
    <row r="11" s="1" customFormat="1" ht="25" customHeight="1" spans="1:13">
      <c r="A11" s="12">
        <v>6</v>
      </c>
      <c r="B11" s="8" t="s">
        <v>23</v>
      </c>
      <c r="C11" s="10">
        <v>3.1725</v>
      </c>
      <c r="D11" s="10">
        <v>3.321</v>
      </c>
      <c r="E11" s="10">
        <f t="shared" si="0"/>
        <v>6.4935</v>
      </c>
      <c r="F11" s="10" t="s">
        <v>14</v>
      </c>
      <c r="G11" s="10">
        <f>8.343+4.3875+5.6565+4.9815+4.7385+4.509+9.234+6.426+5.292+5.2785+3.8205+3.3345+4.3065+3.726+2.808+2.214+4.05+5.5485+3.888+3.7935+4.968+6.4935</f>
        <v>107.7975</v>
      </c>
      <c r="H11" s="10"/>
      <c r="I11" s="22">
        <f>G11/G3</f>
        <v>0.582689189189189</v>
      </c>
      <c r="J11" s="19" t="s">
        <v>24</v>
      </c>
      <c r="K11" s="20">
        <f>0+0+0+0.27144+0.26741+0.537758+0+0+0.84123+0.807626+0.27896+0.265998+0+0.235038+0.269874+0+0+0.27171+0.280617+0+0+0.266555</f>
        <v>4.594216</v>
      </c>
      <c r="L11" s="10"/>
      <c r="M11" s="10">
        <f>C10*L10/100</f>
        <v>0.266555</v>
      </c>
    </row>
    <row r="12" s="1" customFormat="1" ht="25" customHeight="1" spans="1:13">
      <c r="A12" s="12">
        <v>7</v>
      </c>
      <c r="B12" s="8" t="s">
        <v>25</v>
      </c>
      <c r="C12" s="10">
        <v>12.1992</v>
      </c>
      <c r="D12" s="10">
        <v>0</v>
      </c>
      <c r="E12" s="10">
        <f t="shared" si="0"/>
        <v>12.1992</v>
      </c>
      <c r="F12" s="10" t="s">
        <v>14</v>
      </c>
      <c r="G12" s="10">
        <f>9.7888+8.9608+16.3208+8.188+5.52+7.4336+11.5552+12.604+12.9536+6.716+4.2136+6.2376+10.212+3.2384+11.132+0+8.9792+9.4576+9.1264+4.048+10.0832+12.1992</f>
        <v>188.968</v>
      </c>
      <c r="H12" s="10"/>
      <c r="I12" s="22">
        <f>G12/G3</f>
        <v>1.02144864864865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109</v>
      </c>
      <c r="D13" s="10">
        <v>208</v>
      </c>
      <c r="E13" s="10">
        <f t="shared" si="0"/>
        <v>317</v>
      </c>
      <c r="F13" s="10" t="s">
        <v>27</v>
      </c>
      <c r="G13" s="10">
        <f>203.4+427+259+315+111+439+458+304+389+44+474+12+421+18+362+9+412+436+12+182+332+317</f>
        <v>5936.4</v>
      </c>
      <c r="H13" s="10">
        <f>G13*1.05</f>
        <v>6233.22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47</v>
      </c>
      <c r="D14" s="10">
        <v>188</v>
      </c>
      <c r="E14" s="10">
        <f t="shared" ref="E14:E24" si="1">D14+C14</f>
        <v>235</v>
      </c>
      <c r="F14" s="10" t="s">
        <v>27</v>
      </c>
      <c r="G14" s="10">
        <f>194+482+152+374+40+430+460+290+230+94+390+117+288+100+233+91+384+348+121+158+389+235</f>
        <v>5600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374.85</v>
      </c>
      <c r="D15" s="10">
        <v>387.63</v>
      </c>
      <c r="E15" s="10">
        <f t="shared" si="1"/>
        <v>762.48</v>
      </c>
      <c r="F15" s="10" t="s">
        <v>27</v>
      </c>
      <c r="G15" s="10">
        <f>1051.94+1011.04+795.49+543.9+807.96+742.7+812+543.06+526.23+781.93+406.11+655.94+322.41+543.81+550.55+719.63+795.73+378.44+135.72+609.67+746.76+762.48</f>
        <v>14243.5</v>
      </c>
      <c r="H15" s="10"/>
      <c r="I15" s="22"/>
      <c r="J15" s="19" t="s">
        <v>30</v>
      </c>
      <c r="K15" s="10">
        <v>2.98</v>
      </c>
      <c r="L15" s="10">
        <v>2.91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3</v>
      </c>
      <c r="D16" s="10">
        <v>12</v>
      </c>
      <c r="E16" s="10">
        <f t="shared" si="1"/>
        <v>15</v>
      </c>
      <c r="F16" s="10" t="s">
        <v>14</v>
      </c>
      <c r="G16" s="10">
        <f>18+33+12+30+3+30+36+21+15+9+27+9+24+6+18+6+27+24+9+12+30+15</f>
        <v>414</v>
      </c>
      <c r="H16" s="10"/>
      <c r="I16" s="22">
        <f>G16/G3</f>
        <v>2.23783783783784</v>
      </c>
      <c r="J16" s="19" t="s">
        <v>32</v>
      </c>
      <c r="K16" s="20">
        <f>3.1308178+2.8699152+2.220183+1.4538464+2.0633116+2.064706+2.1593316+1.47515+1.4789079+1.9842568+1.0469972+1.6107242+0.7824764+1.3334781+1.3439309+1.7491784+2.028952+1.0708182+0.3637696+1.6913342+2.0365699+2.2450563</f>
        <v>38.2037117</v>
      </c>
      <c r="L16" s="10"/>
      <c r="M16" s="10">
        <f>(C15*K15+L15*D15)/1000</f>
        <v>2.2450563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0+0+0.125+0+0.075+0+0+0.075+0.125+0+0+0+0.0875+0+0.0875+0+0+0+0+0+0+0</f>
        <v>0.575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0+0+0+0+0+0+0+0+0+0+0+0+0+0+0+0+0+0+0+0+0+0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0+2+0+2+0+2+0+2+0+0+0+2+0+0+2+0+0+2+0+0+2+0</f>
        <v>16</v>
      </c>
      <c r="H19" s="24"/>
      <c r="I19" s="22">
        <f>G19/G3</f>
        <v>0.0864864864864865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0+2+0+2+0+2+0+2+0+0+0+2+0+0+2+0+0+2+0+0+2+0</f>
        <v>16</v>
      </c>
      <c r="H20" s="24"/>
      <c r="I20" s="22">
        <f>G20/G3</f>
        <v>0.0864864864864865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4</v>
      </c>
      <c r="D21" s="7">
        <v>0</v>
      </c>
      <c r="E21" s="10">
        <f t="shared" si="1"/>
        <v>4</v>
      </c>
      <c r="F21" s="10" t="s">
        <v>38</v>
      </c>
      <c r="G21" s="10">
        <f>9+7+6+0+9+5+3+9+3+1+3+8+0+4+9+0+1+2+8+2+5+4</f>
        <v>98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716</v>
      </c>
      <c r="D22" s="7">
        <v>691</v>
      </c>
      <c r="E22" s="10">
        <f t="shared" si="1"/>
        <v>1407</v>
      </c>
      <c r="F22" s="10" t="s">
        <v>27</v>
      </c>
      <c r="G22" s="10">
        <f>1104+849+1313+485+1053+1404+1362+598+991+862+1020+758+817+603+810+687+1448+818+169+1178+761+1407</f>
        <v>20497</v>
      </c>
      <c r="H22" s="26"/>
      <c r="I22" s="22">
        <f>E22/M22</f>
        <v>58.625</v>
      </c>
      <c r="J22" s="19" t="s">
        <v>40</v>
      </c>
      <c r="K22" s="10">
        <f>19+13+23+6.5+17.5+24+24+9.5+18+14.5+16+11+12.5+9+13+11.5+24+13.5+0+20+12+24</f>
        <v>335.5</v>
      </c>
      <c r="L22" s="10">
        <f>G22/K22</f>
        <v>61.0938897168405</v>
      </c>
      <c r="M22" s="10">
        <v>24</v>
      </c>
    </row>
    <row r="23" s="1" customFormat="1" ht="25" customHeight="1" spans="1:13">
      <c r="A23" s="12">
        <v>18</v>
      </c>
      <c r="B23" s="8" t="s">
        <v>41</v>
      </c>
      <c r="C23" s="7">
        <v>683</v>
      </c>
      <c r="D23" s="7">
        <v>873</v>
      </c>
      <c r="E23" s="10">
        <f t="shared" si="1"/>
        <v>1556</v>
      </c>
      <c r="F23" s="10" t="s">
        <v>27</v>
      </c>
      <c r="G23" s="10">
        <f>1232+1135+1443+592+1010+1680+1758+814+1199+766+1182+649+985+607+997+642+1674+935+153+1256+880+1556</f>
        <v>23145</v>
      </c>
      <c r="H23" s="24"/>
      <c r="I23" s="22">
        <f>E23/M22</f>
        <v>64.8333333333333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278</v>
      </c>
      <c r="D24" s="7">
        <v>203</v>
      </c>
      <c r="E24" s="10">
        <f t="shared" si="1"/>
        <v>481</v>
      </c>
      <c r="F24" s="10" t="s">
        <v>27</v>
      </c>
      <c r="G24" s="10">
        <f>403+357+520+369+601+404+442+288+87+362+261+279+171+177+412+504+368+618+592+418+824+481</f>
        <v>8938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31.24</v>
      </c>
      <c r="D25" s="7">
        <v>30.91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164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169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165</v>
      </c>
      <c r="D32" s="32"/>
      <c r="E32" s="32"/>
      <c r="F32" s="32"/>
      <c r="G32" s="32"/>
      <c r="H32" s="33"/>
      <c r="I32" s="30" t="s">
        <v>47</v>
      </c>
      <c r="J32" s="31" t="s">
        <v>52</v>
      </c>
      <c r="K32" s="28" t="s">
        <v>169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170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171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0+0+12+20+0+0+0+0+0+18+0+0+0+0+0+0+0+0+0+0+0+0</f>
        <v>50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11.4</v>
      </c>
      <c r="D38" s="10">
        <v>11.44</v>
      </c>
      <c r="E38" s="10">
        <f t="shared" si="2"/>
        <v>22.84</v>
      </c>
      <c r="F38" s="10" t="s">
        <v>27</v>
      </c>
      <c r="G38" s="10">
        <f>12.74+12.68+12.74+12.66+12.69+12.65+12.68+12.65+12.82+12.72+12.7+12.87+12.73+12.86+12.8+12.79+12.67+12.74+21.64+22.71+21.73+22.84</f>
        <v>318.11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27</v>
      </c>
      <c r="D39" s="10">
        <v>0</v>
      </c>
      <c r="E39" s="10">
        <f t="shared" si="2"/>
        <v>27</v>
      </c>
      <c r="F39" s="10" t="s">
        <v>27</v>
      </c>
      <c r="G39" s="10">
        <f>17+20+15+10+28+16+18+22+23+15+33+19+20+29+36+33+0+39+22+19+41+27</f>
        <v>502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8.4645</v>
      </c>
      <c r="D40" s="10">
        <v>0</v>
      </c>
      <c r="E40" s="10">
        <f t="shared" si="2"/>
        <v>8.4645</v>
      </c>
      <c r="F40" s="10" t="s">
        <v>14</v>
      </c>
      <c r="G40" s="10">
        <f>10.4355+1.6065+14.9715+0+7.5195+6.1695+11.313+0+12.7845+0+5.5755+6.615+12.285+0+11.475+0+10.3005+0+0+22.5585+18.1575+8.4645</f>
        <v>160.2315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0+0+0+0+0+0+0+0+0+0+0+0+0+0+0+0+0+0+0+0+0+0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166</v>
      </c>
      <c r="D42" s="10">
        <v>0</v>
      </c>
      <c r="E42" s="10">
        <f t="shared" si="2"/>
        <v>166</v>
      </c>
      <c r="F42" s="10" t="s">
        <v>27</v>
      </c>
      <c r="G42" s="10">
        <f>263+335+279+465+237+293+268+197+387+510+118+34+75+6+137+36+0+0+101+21+210+166</f>
        <v>4138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513</v>
      </c>
      <c r="D43" s="10">
        <v>521</v>
      </c>
      <c r="E43" s="10">
        <f t="shared" si="2"/>
        <v>1034</v>
      </c>
      <c r="F43" s="10" t="s">
        <v>27</v>
      </c>
      <c r="G43" s="10">
        <f>985+980+990+985+972+980+994+995+1020+1025+1029+1021+1001+1030+1028+1032+1024+1039+988+1035+1036+1034</f>
        <v>22223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0+0+0+0+0+0+0+0+0+0+0+0+0+0+0+0+0+0+0+0+0+0</f>
        <v>0</v>
      </c>
      <c r="H44" s="24"/>
      <c r="I44" s="7">
        <v>922.5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0+0+0+0+0+0+0+0+0+0+0+0+0+0+0+0+0+0+0+0+0+0</f>
        <v>0</v>
      </c>
      <c r="H45" s="24"/>
      <c r="I45" s="7">
        <v>121.604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5</v>
      </c>
      <c r="D46" s="7">
        <v>7</v>
      </c>
      <c r="E46" s="10">
        <f>D46+C46</f>
        <v>12</v>
      </c>
      <c r="F46" s="10" t="s">
        <v>38</v>
      </c>
      <c r="G46" s="10">
        <f>5+5+6+7+8+7+5+5+5+7+7+7+8+5+8+8+7+5+10+9+11+12</f>
        <v>157</v>
      </c>
      <c r="H46" s="24"/>
      <c r="I46" s="10"/>
      <c r="J46" s="40"/>
      <c r="K46" s="28"/>
      <c r="L46" s="19" t="s">
        <v>69</v>
      </c>
      <c r="M46" s="7">
        <v>8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P10" sqref="P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172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8</v>
      </c>
      <c r="D3" s="9">
        <v>7</v>
      </c>
      <c r="E3" s="10">
        <f t="shared" ref="E3:E13" si="0">C3+D3</f>
        <v>15</v>
      </c>
      <c r="F3" s="10" t="s">
        <v>14</v>
      </c>
      <c r="G3" s="10">
        <f>6.5+16+4.5+16+1+12.5+15.5+12+5+5.5+10+4+8.5+4.5+8.5+2.5+12+10.5+4.5+5+15+5.5+15</f>
        <v>200</v>
      </c>
      <c r="H3" s="10">
        <v>256</v>
      </c>
      <c r="I3" s="10">
        <f>H3-G3</f>
        <v>56</v>
      </c>
      <c r="J3" s="11"/>
      <c r="K3" s="10"/>
      <c r="L3" s="10"/>
      <c r="M3" s="10">
        <f>I3/7</f>
        <v>8</v>
      </c>
    </row>
    <row r="4" s="1" customFormat="1" ht="35" customHeight="1" spans="1:13">
      <c r="A4" s="12">
        <v>2</v>
      </c>
      <c r="B4" s="8" t="s">
        <v>15</v>
      </c>
      <c r="C4" s="9">
        <v>6</v>
      </c>
      <c r="D4" s="9"/>
      <c r="E4" s="10">
        <f t="shared" si="0"/>
        <v>6</v>
      </c>
      <c r="F4" s="10" t="s">
        <v>14</v>
      </c>
      <c r="G4" s="10">
        <f>0+8+16+4+16+0+14+14+12+6+6+10+4+8+4+8+4+12+10+4+6+14+6</f>
        <v>186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97</v>
      </c>
      <c r="D5" s="10">
        <v>79</v>
      </c>
      <c r="E5" s="10">
        <f t="shared" si="0"/>
        <v>176</v>
      </c>
      <c r="F5" s="10" t="s">
        <v>14</v>
      </c>
      <c r="G5" s="10">
        <f>146+130+171+51+125+166+223+62+155+90+127+67+129+50+113+72+181+111+0+151+62+229+176</f>
        <v>2787</v>
      </c>
      <c r="H5" s="10">
        <v>3600</v>
      </c>
      <c r="I5" s="10">
        <f>H5-G5-G7-G6</f>
        <v>782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0+0+0+0+0+0+0+0+0+0+0+0+0+0+0+0+0+0+0+0+0+0+0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1+2+4+1+13+3+0+0+1+0+1+0+0+0+4+0+0+0+0+0+0+1+0</f>
        <v>31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0+0+0+0+0+0+0+0+0+0+0+0+0+7+0+0+0+0+0+0+0+1+0</f>
        <v>8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30.71</v>
      </c>
      <c r="D10" s="13"/>
      <c r="E10" s="10">
        <f t="shared" si="0"/>
        <v>30.71</v>
      </c>
      <c r="F10" s="13" t="s">
        <v>14</v>
      </c>
      <c r="G10" s="10">
        <f>0+0+0+31.2+31.46+62.53+0+0+93.47+93.91+31.7+30.93+0+27.33+31.02+0+0+30.19+31.53+0+0+29.95+30.71</f>
        <v>555.93</v>
      </c>
      <c r="H10" s="13">
        <v>4.72</v>
      </c>
      <c r="I10" s="21">
        <f>H10-K11</f>
        <v>-0.150606000000002</v>
      </c>
      <c r="J10" s="19" t="s">
        <v>22</v>
      </c>
      <c r="K10" s="10">
        <v>0</v>
      </c>
      <c r="L10" s="10">
        <v>0.9</v>
      </c>
      <c r="M10" s="20"/>
    </row>
    <row r="11" s="1" customFormat="1" ht="25" customHeight="1" spans="1:13">
      <c r="A11" s="12">
        <v>6</v>
      </c>
      <c r="B11" s="8" t="s">
        <v>23</v>
      </c>
      <c r="C11" s="10">
        <v>5.13</v>
      </c>
      <c r="D11" s="10">
        <v>0</v>
      </c>
      <c r="E11" s="10">
        <f t="shared" si="0"/>
        <v>5.13</v>
      </c>
      <c r="F11" s="10" t="s">
        <v>14</v>
      </c>
      <c r="G11" s="10">
        <f>8.343+4.3875+5.6565+4.9815+4.7385+4.509+9.234+6.426+5.292+5.2785+3.8205+3.3345+4.3065+3.726+2.808+2.214+4.05+5.5485+3.888+3.7935+4.968+6.4935+5.13</f>
        <v>112.9275</v>
      </c>
      <c r="H11" s="10"/>
      <c r="I11" s="22">
        <f>G11/G3</f>
        <v>0.5646375</v>
      </c>
      <c r="J11" s="19" t="s">
        <v>24</v>
      </c>
      <c r="K11" s="20">
        <f>0+0+0+0.27144+0.26741+0.537758+0+0+0.84123+0.807626+0.27896+0.265998+0+0.235038+0.269874+0+0+0.27171+0.280617+0+0+0.266555+0.27639</f>
        <v>4.870606</v>
      </c>
      <c r="L11" s="10"/>
      <c r="M11" s="10">
        <f>C10*L10/100</f>
        <v>0.27639</v>
      </c>
    </row>
    <row r="12" s="1" customFormat="1" ht="25" customHeight="1" spans="1:13">
      <c r="A12" s="12">
        <v>7</v>
      </c>
      <c r="B12" s="8" t="s">
        <v>25</v>
      </c>
      <c r="C12" s="10">
        <v>7.5256</v>
      </c>
      <c r="D12" s="10">
        <v>0</v>
      </c>
      <c r="E12" s="10">
        <f t="shared" si="0"/>
        <v>7.5256</v>
      </c>
      <c r="F12" s="10" t="s">
        <v>14</v>
      </c>
      <c r="G12" s="10">
        <f>9.7888+8.9608+16.3208+8.188+5.52+7.4336+11.5552+12.604+12.9536+6.716+4.2136+6.2376+10.212+3.2384+11.132+0+8.9792+9.4576+9.1264+4.048+10.0832+12.1992+7.5256</f>
        <v>196.4936</v>
      </c>
      <c r="H12" s="10"/>
      <c r="I12" s="22">
        <f>G12/G3</f>
        <v>0.982468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221</v>
      </c>
      <c r="D13" s="10">
        <v>187</v>
      </c>
      <c r="E13" s="10">
        <f t="shared" si="0"/>
        <v>408</v>
      </c>
      <c r="F13" s="10" t="s">
        <v>27</v>
      </c>
      <c r="G13" s="10">
        <f>203.4+427+259+315+111+439+458+304+389+44+474+12+421+18+362+9+412+436+12+182+332+317+408</f>
        <v>6344.4</v>
      </c>
      <c r="H13" s="10">
        <f>G13*1.05</f>
        <v>6661.62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186</v>
      </c>
      <c r="D14" s="10">
        <v>244</v>
      </c>
      <c r="E14" s="10">
        <f t="shared" ref="E14:E24" si="1">D14+C14</f>
        <v>430</v>
      </c>
      <c r="F14" s="10" t="s">
        <v>27</v>
      </c>
      <c r="G14" s="10">
        <f>194+482+152+374+40+430+460+290+230+94+390+117+288+100+233+91+384+348+121+158+389+235+430</f>
        <v>6030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390.62</v>
      </c>
      <c r="D15" s="10">
        <v>335.65</v>
      </c>
      <c r="E15" s="10">
        <f t="shared" si="1"/>
        <v>726.27</v>
      </c>
      <c r="F15" s="10" t="s">
        <v>27</v>
      </c>
      <c r="G15" s="10">
        <f>1051.94+1011.04+795.49+543.9+807.96+742.7+812+543.06+526.23+781.93+406.11+655.94+322.41+543.81+550.55+719.63+795.73+378.44+135.72+609.67+746.76+762.48+726.27</f>
        <v>14969.77</v>
      </c>
      <c r="H15" s="10"/>
      <c r="I15" s="22"/>
      <c r="J15" s="19" t="s">
        <v>30</v>
      </c>
      <c r="K15" s="10">
        <v>2.98</v>
      </c>
      <c r="L15" s="10">
        <v>2.86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18</v>
      </c>
      <c r="D16" s="10">
        <v>15</v>
      </c>
      <c r="E16" s="10">
        <f t="shared" si="1"/>
        <v>33</v>
      </c>
      <c r="F16" s="10" t="s">
        <v>14</v>
      </c>
      <c r="G16" s="10">
        <f>18+33+12+30+3+30+36+21+15+9+27+9+24+6+18+6+27+24+9+12+30+15+33</f>
        <v>447</v>
      </c>
      <c r="H16" s="10"/>
      <c r="I16" s="22">
        <f>G16/G3</f>
        <v>2.235</v>
      </c>
      <c r="J16" s="19" t="s">
        <v>32</v>
      </c>
      <c r="K16" s="20">
        <f>3.1308178+2.8699152+2.220183+1.4538464+2.0633116+2.064706+2.1593316+1.47515+1.4789079+1.9842568+1.0469972+1.6107242+0.7824764+1.3334781+1.3439309+1.7491784+2.028952+1.0708182+0.3637696+1.6913342+2.0365699+2.2450563+2.1240066</f>
        <v>40.3277183</v>
      </c>
      <c r="L16" s="10"/>
      <c r="M16" s="10">
        <f>(C15*K15+L15*D15)/1000</f>
        <v>2.1240066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0+0+0.125+0+0.075+0+0+0.075+0.125+0+0+0+0.0875+0+0.0875+0+0+0+0+0+0+0+0</f>
        <v>0.575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0+0+0+0+0+0+0+0+0+0+0+0+0+0+0+0+0+0+0+0+0+0+0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0+2+0+2+0+2+0+2+0+0+0+2+0+0+2+0+0+2+0+0+2+0+2</f>
        <v>18</v>
      </c>
      <c r="H19" s="24"/>
      <c r="I19" s="22">
        <f>G19/G3</f>
        <v>0.09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0+2+0+2+0+2+0+2+0+0+0+2+0+0+2+0+0+2+0+0+2+0+2</f>
        <v>18</v>
      </c>
      <c r="H20" s="24"/>
      <c r="I20" s="22">
        <f>G20/G3</f>
        <v>0.09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3</v>
      </c>
      <c r="D21" s="7">
        <v>4</v>
      </c>
      <c r="E21" s="10">
        <f t="shared" si="1"/>
        <v>7</v>
      </c>
      <c r="F21" s="10" t="s">
        <v>38</v>
      </c>
      <c r="G21" s="10">
        <f>9+7+6+0+9+5+3+9+3+1+3+8+0+4+9+0+1+2+8+2+5+4+7</f>
        <v>105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646</v>
      </c>
      <c r="D22" s="7">
        <v>594</v>
      </c>
      <c r="E22" s="10">
        <f t="shared" si="1"/>
        <v>1240</v>
      </c>
      <c r="F22" s="10" t="s">
        <v>27</v>
      </c>
      <c r="G22" s="10">
        <f>1104+849+1313+485+1053+1404+1362+598+991+862+1020+758+817+603+810+687+1448+818+169+1178+761+1407+1240</f>
        <v>21737</v>
      </c>
      <c r="H22" s="26"/>
      <c r="I22" s="22">
        <f>E22/M22</f>
        <v>51.6666666666667</v>
      </c>
      <c r="J22" s="19" t="s">
        <v>40</v>
      </c>
      <c r="K22" s="10">
        <f>19+13+23+6.5+17.5+24+24+9.5+18+14.5+16+11+12.5+9+13+11.5+24+13.5+0+20+12+24+24</f>
        <v>359.5</v>
      </c>
      <c r="L22" s="10">
        <f>G22/K22</f>
        <v>60.4645340751043</v>
      </c>
      <c r="M22" s="10">
        <v>24</v>
      </c>
    </row>
    <row r="23" s="1" customFormat="1" ht="25" customHeight="1" spans="1:13">
      <c r="A23" s="12">
        <v>18</v>
      </c>
      <c r="B23" s="8" t="s">
        <v>41</v>
      </c>
      <c r="C23" s="7">
        <v>804</v>
      </c>
      <c r="D23" s="7">
        <v>646</v>
      </c>
      <c r="E23" s="10">
        <f t="shared" si="1"/>
        <v>1450</v>
      </c>
      <c r="F23" s="10" t="s">
        <v>27</v>
      </c>
      <c r="G23" s="10">
        <f>1232+1135+1443+592+1010+1680+1758+814+1199+766+1182+649+985+607+997+642+1674+935+153+1256+880+1556+1450</f>
        <v>24595</v>
      </c>
      <c r="H23" s="24"/>
      <c r="I23" s="22">
        <f>E23/M22</f>
        <v>60.4166666666667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326</v>
      </c>
      <c r="D24" s="7">
        <v>448</v>
      </c>
      <c r="E24" s="10">
        <f t="shared" si="1"/>
        <v>774</v>
      </c>
      <c r="F24" s="10" t="s">
        <v>27</v>
      </c>
      <c r="G24" s="10">
        <f>403+357+520+369+601+404+442+288+87+362+261+279+171+177+412+504+368+618+592+418+824+481+774</f>
        <v>9712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28.75</v>
      </c>
      <c r="D25" s="7">
        <v>29.55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169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85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169</v>
      </c>
      <c r="D32" s="32"/>
      <c r="E32" s="32"/>
      <c r="F32" s="32"/>
      <c r="G32" s="32"/>
      <c r="H32" s="33"/>
      <c r="I32" s="30" t="s">
        <v>47</v>
      </c>
      <c r="J32" s="31" t="s">
        <v>52</v>
      </c>
      <c r="K32" s="28" t="s">
        <v>85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173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174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0+0+12+20+0+0+0+0+0+18+0+0+0+0+0+0+0+0+0+0+0+0+0</f>
        <v>50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11.33</v>
      </c>
      <c r="D38" s="10">
        <v>11.41</v>
      </c>
      <c r="E38" s="10">
        <f t="shared" si="2"/>
        <v>22.74</v>
      </c>
      <c r="F38" s="10" t="s">
        <v>27</v>
      </c>
      <c r="G38" s="10">
        <f>12.74+12.68+12.74+12.66+12.69+12.65+12.68+12.65+12.82+12.72+12.7+12.87+12.73+12.86+12.8+12.79+12.67+12.74+21.64+22.71+21.73+22.84+22.74</f>
        <v>340.85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19</v>
      </c>
      <c r="D39" s="10">
        <v>0</v>
      </c>
      <c r="E39" s="10">
        <f t="shared" si="2"/>
        <v>19</v>
      </c>
      <c r="F39" s="10" t="s">
        <v>27</v>
      </c>
      <c r="G39" s="10">
        <f>17+20+15+10+28+16+18+22+23+15+33+19+20+29+36+33+0+39+22+19+41+27+19</f>
        <v>521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10.665</v>
      </c>
      <c r="D40" s="10">
        <v>0</v>
      </c>
      <c r="E40" s="10">
        <f t="shared" si="2"/>
        <v>10.665</v>
      </c>
      <c r="F40" s="10" t="s">
        <v>14</v>
      </c>
      <c r="G40" s="10">
        <f>10.4355+1.6065+14.9715+0+7.5195+6.1695+11.313+0+12.7845+0+5.5755+6.615+12.285+0+11.475+0+10.3005+0+0+22.5585+18.1575+8.4645+10.665</f>
        <v>170.8965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0+0+0+0+0+0+0+0+0+0+0+0+0+0+0+0+0+0+0+0+0+0+0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0</v>
      </c>
      <c r="D42" s="10">
        <v>0</v>
      </c>
      <c r="E42" s="10">
        <f t="shared" si="2"/>
        <v>0</v>
      </c>
      <c r="F42" s="10" t="s">
        <v>27</v>
      </c>
      <c r="G42" s="10">
        <f>263+335+279+465+237+293+268+197+387+510+118+34+75+6+137+36+0+0+101+21+210+166+0</f>
        <v>4138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524</v>
      </c>
      <c r="D43" s="10">
        <v>524</v>
      </c>
      <c r="E43" s="10">
        <f t="shared" si="2"/>
        <v>1048</v>
      </c>
      <c r="F43" s="10" t="s">
        <v>27</v>
      </c>
      <c r="G43" s="10">
        <f>985+980+990+985+972+980+994+995+1020+1025+1029+1021+1001+1030+1028+1032+1024+1039+988+1035+1036+1034+1048</f>
        <v>23271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0+0+0+0+0+0+0+0+0+0+0+0+0+0+0+0+0+0+0+0+0+0+0</f>
        <v>0</v>
      </c>
      <c r="H44" s="24"/>
      <c r="I44" s="7">
        <v>1087.5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0+0+0+0+0+0+0+0+0+0+0+0+0+0+0+0+0+0+0+0+0+0+0</f>
        <v>0</v>
      </c>
      <c r="H45" s="24"/>
      <c r="I45" s="7">
        <v>117.261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9</v>
      </c>
      <c r="D46" s="7">
        <v>7</v>
      </c>
      <c r="E46" s="10">
        <f>D46+C46</f>
        <v>16</v>
      </c>
      <c r="F46" s="10" t="s">
        <v>38</v>
      </c>
      <c r="G46" s="10">
        <f>5+5+6+7+8+7+5+5+5+7+7+7+8+5+8+8+7+5+10+9+11+12+16</f>
        <v>173</v>
      </c>
      <c r="H46" s="24"/>
      <c r="I46" s="10"/>
      <c r="J46" s="40"/>
      <c r="K46" s="28"/>
      <c r="L46" s="19" t="s">
        <v>69</v>
      </c>
      <c r="M46" s="7">
        <v>7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P10" sqref="P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175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5</v>
      </c>
      <c r="D3" s="9">
        <v>5</v>
      </c>
      <c r="E3" s="10">
        <f t="shared" ref="E3:E13" si="0">C3+D3</f>
        <v>10</v>
      </c>
      <c r="F3" s="10" t="s">
        <v>14</v>
      </c>
      <c r="G3" s="10">
        <f>6.5+16+4.5+16+1+12.5+15.5+12+5+5.5+10+4+8.5+4.5+8.5+2.5+12+10.5+4.5+5+15+5.5+15+10</f>
        <v>210</v>
      </c>
      <c r="H3" s="10">
        <v>256</v>
      </c>
      <c r="I3" s="10">
        <f>H3-G3</f>
        <v>46</v>
      </c>
      <c r="J3" s="11"/>
      <c r="K3" s="10"/>
      <c r="L3" s="10"/>
      <c r="M3" s="10">
        <f>I3/6</f>
        <v>7.66666666666667</v>
      </c>
    </row>
    <row r="4" s="1" customFormat="1" ht="35" customHeight="1" spans="1:13">
      <c r="A4" s="12">
        <v>2</v>
      </c>
      <c r="B4" s="8" t="s">
        <v>15</v>
      </c>
      <c r="C4" s="9">
        <v>16</v>
      </c>
      <c r="D4" s="9"/>
      <c r="E4" s="10">
        <f t="shared" si="0"/>
        <v>16</v>
      </c>
      <c r="F4" s="10" t="s">
        <v>14</v>
      </c>
      <c r="G4" s="10">
        <f>0+8+16+4+16+0+14+14+12+6+6+10+4+8+4+8+4+12+10+4+6+14+6+16</f>
        <v>202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83</v>
      </c>
      <c r="D5" s="10">
        <v>78</v>
      </c>
      <c r="E5" s="10">
        <f t="shared" si="0"/>
        <v>161</v>
      </c>
      <c r="F5" s="10" t="s">
        <v>14</v>
      </c>
      <c r="G5" s="10">
        <f>146+130+171+51+125+166+223+62+155+90+127+67+129+50+113+72+181+111+0+151+62+229+176+161</f>
        <v>2948</v>
      </c>
      <c r="H5" s="10">
        <v>3600</v>
      </c>
      <c r="I5" s="10">
        <f>H5-G5-G7-G6</f>
        <v>621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0+0+0+0+0+0+0+0+0+0+0+0+0+0+0+0+0+0+0+0+0+0+0+0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1+2+4+1+13+3+0+0+1+0+1+0+0+0+4+0+0+0+0+0+0+1+0+0</f>
        <v>31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0+0+0+0+0+0+0+0+0+0+0+0+0+7+0+0+0+0+0+0+0+1+0+0</f>
        <v>8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30.81</v>
      </c>
      <c r="D10" s="13"/>
      <c r="E10" s="10">
        <f t="shared" si="0"/>
        <v>30.81</v>
      </c>
      <c r="F10" s="13" t="s">
        <v>14</v>
      </c>
      <c r="G10" s="10">
        <f>0+0+0+31.2+31.46+62.53+0+0+93.47+93.91+31.7+30.93+0+27.33+31.02+0+0+30.19+31.53+0+0+29.95+30.71+30.81</f>
        <v>586.74</v>
      </c>
      <c r="H10" s="13">
        <v>4.72</v>
      </c>
      <c r="I10" s="21">
        <f>H10-K11</f>
        <v>-0.427896000000001</v>
      </c>
      <c r="J10" s="19" t="s">
        <v>22</v>
      </c>
      <c r="K10" s="10">
        <v>120</v>
      </c>
      <c r="L10" s="10">
        <v>0.9</v>
      </c>
      <c r="M10" s="20"/>
    </row>
    <row r="11" s="1" customFormat="1" ht="25" customHeight="1" spans="1:13">
      <c r="A11" s="12">
        <v>6</v>
      </c>
      <c r="B11" s="8" t="s">
        <v>23</v>
      </c>
      <c r="C11" s="10">
        <v>3.6315</v>
      </c>
      <c r="D11" s="10">
        <v>2.5245</v>
      </c>
      <c r="E11" s="10">
        <f t="shared" si="0"/>
        <v>6.156</v>
      </c>
      <c r="F11" s="10" t="s">
        <v>14</v>
      </c>
      <c r="G11" s="10">
        <f>8.343+4.3875+5.6565+4.9815+4.7385+4.509+9.234+6.426+5.292+5.2785+3.8205+3.3345+4.3065+3.726+2.808+2.214+4.05+5.5485+3.888+3.7935+4.968+6.4935+5.13+6.156</f>
        <v>119.0835</v>
      </c>
      <c r="H11" s="10"/>
      <c r="I11" s="22">
        <f>G11/G3</f>
        <v>0.567064285714286</v>
      </c>
      <c r="J11" s="19" t="s">
        <v>24</v>
      </c>
      <c r="K11" s="20">
        <f>0+0+0+0.27144+0.26741+0.537758+0+0+0.84123+0.807626+0.27896+0.265998+0+0.235038+0.269874+0+0+0.27171+0.280617+0+0+0.266555+0.27639+0.27729</f>
        <v>5.147896</v>
      </c>
      <c r="L11" s="10"/>
      <c r="M11" s="10">
        <f>C10*L10/100</f>
        <v>0.27729</v>
      </c>
    </row>
    <row r="12" s="1" customFormat="1" ht="25" customHeight="1" spans="1:13">
      <c r="A12" s="12">
        <v>7</v>
      </c>
      <c r="B12" s="8" t="s">
        <v>25</v>
      </c>
      <c r="C12" s="10">
        <v>9.108</v>
      </c>
      <c r="D12" s="10">
        <v>0</v>
      </c>
      <c r="E12" s="10">
        <f t="shared" si="0"/>
        <v>9.108</v>
      </c>
      <c r="F12" s="10" t="s">
        <v>14</v>
      </c>
      <c r="G12" s="10">
        <f>9.7888+8.9608+16.3208+8.188+5.52+7.4336+11.5552+12.604+12.9536+6.716+4.2136+6.2376+10.212+3.2384+11.132+0+8.9792+9.4576+9.1264+4.048+10.0832+12.1992+7.5256+9.108</f>
        <v>205.6016</v>
      </c>
      <c r="H12" s="10"/>
      <c r="I12" s="22">
        <f>G12/G3</f>
        <v>0.979055238095238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199</v>
      </c>
      <c r="D13" s="10">
        <v>183</v>
      </c>
      <c r="E13" s="10">
        <f t="shared" si="0"/>
        <v>382</v>
      </c>
      <c r="F13" s="10" t="s">
        <v>27</v>
      </c>
      <c r="G13" s="10">
        <f>203.4+427+259+315+111+439+458+304+389+44+474+12+421+18+362+9+412+436+12+182+332+317+408+382</f>
        <v>6726.4</v>
      </c>
      <c r="H13" s="10">
        <f>G13*1.05</f>
        <v>7062.72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147</v>
      </c>
      <c r="D14" s="10">
        <v>145</v>
      </c>
      <c r="E14" s="10">
        <f t="shared" ref="E14:E24" si="1">D14+C14</f>
        <v>292</v>
      </c>
      <c r="F14" s="10" t="s">
        <v>27</v>
      </c>
      <c r="G14" s="10">
        <f>194+482+152+374+40+430+460+290+230+94+390+117+288+100+233+91+384+348+121+158+389+235+430+292</f>
        <v>6322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455.4</v>
      </c>
      <c r="D15" s="10">
        <v>462.52</v>
      </c>
      <c r="E15" s="10">
        <f t="shared" si="1"/>
        <v>917.92</v>
      </c>
      <c r="F15" s="10" t="s">
        <v>27</v>
      </c>
      <c r="G15" s="10">
        <f>1051.94+1011.04+795.49+543.9+807.96+742.7+812+543.06+526.23+781.93+406.11+655.94+322.41+543.81+550.55+719.63+795.73+378.44+135.72+609.67+746.76+762.48+726.27+917.92</f>
        <v>15887.69</v>
      </c>
      <c r="H15" s="10"/>
      <c r="I15" s="22"/>
      <c r="J15" s="19" t="s">
        <v>30</v>
      </c>
      <c r="K15" s="10">
        <v>2.88</v>
      </c>
      <c r="L15" s="10">
        <v>2.96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12</v>
      </c>
      <c r="D16" s="10">
        <v>9</v>
      </c>
      <c r="E16" s="10">
        <f t="shared" si="1"/>
        <v>21</v>
      </c>
      <c r="F16" s="10" t="s">
        <v>14</v>
      </c>
      <c r="G16" s="10">
        <f>18+33+12+30+3+30+36+21+15+9+27+9+24+6+18+6+27+24+9+12+30+15+33+21</f>
        <v>468</v>
      </c>
      <c r="H16" s="10"/>
      <c r="I16" s="22">
        <f>G16/G3</f>
        <v>2.22857142857143</v>
      </c>
      <c r="J16" s="19" t="s">
        <v>32</v>
      </c>
      <c r="K16" s="20">
        <f>3.1308178+2.8699152+2.220183+1.4538464+2.0633116+2.064706+2.1593316+1.47515+1.4789079+1.9842568+1.0469972+1.6107242+0.7824764+1.3334781+1.3439309+1.7491784+2.028952+1.0708182+0.3637696+1.6913342+2.0365699+2.2450563+2.1240066+2.6806112</f>
        <v>43.0083295</v>
      </c>
      <c r="L16" s="10"/>
      <c r="M16" s="10">
        <f>(C15*K15+L15*D15)/1000</f>
        <v>2.6806112</v>
      </c>
    </row>
    <row r="17" s="1" customFormat="1" ht="25" customHeight="1" spans="1:13">
      <c r="A17" s="12">
        <v>12</v>
      </c>
      <c r="B17" s="8" t="s">
        <v>33</v>
      </c>
      <c r="C17" s="7">
        <v>0.075</v>
      </c>
      <c r="D17" s="7">
        <v>0.075</v>
      </c>
      <c r="E17" s="10">
        <f t="shared" si="1"/>
        <v>0.15</v>
      </c>
      <c r="F17" s="10" t="s">
        <v>14</v>
      </c>
      <c r="G17" s="10">
        <f>0+0+0.125+0+0.075+0+0+0.075+0.125+0+0+0+0.0875+0+0.0875+0+0+0+0+0+0+0+0+0.15</f>
        <v>0.725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0+0+0+0+0+0+0+0+0+0+0+0+0+0+0+0+0+0+0+0+0+0+0+0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0+2+0+2+0+2+0+2+0+0+0+2+0+0+2+0+0+2+0+0+2+0+2+0</f>
        <v>18</v>
      </c>
      <c r="H19" s="24"/>
      <c r="I19" s="22">
        <f>G19/G3</f>
        <v>0.0857142857142857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0+2+0+2+0+2+0+2+0+0+0+2+0+0+2+0+0+2+0+0+2+0+2+0</f>
        <v>18</v>
      </c>
      <c r="H20" s="24"/>
      <c r="I20" s="22">
        <f>G20/G3</f>
        <v>0.0857142857142857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2</v>
      </c>
      <c r="D21" s="7">
        <v>5</v>
      </c>
      <c r="E21" s="10">
        <f t="shared" si="1"/>
        <v>7</v>
      </c>
      <c r="F21" s="10" t="s">
        <v>38</v>
      </c>
      <c r="G21" s="10">
        <f>9+7+6+0+9+5+3+9+3+1+3+8+0+4+9+0+1+2+8+2+5+4+7+7</f>
        <v>112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574</v>
      </c>
      <c r="D22" s="7">
        <v>621</v>
      </c>
      <c r="E22" s="10">
        <f t="shared" si="1"/>
        <v>1195</v>
      </c>
      <c r="F22" s="10" t="s">
        <v>27</v>
      </c>
      <c r="G22" s="10">
        <f>1104+849+1313+485+1053+1404+1362+598+991+862+1020+758+817+603+810+687+1448+818+169+1178+761+1407+1240+1195</f>
        <v>22932</v>
      </c>
      <c r="H22" s="26"/>
      <c r="I22" s="22">
        <f>E22/M22</f>
        <v>49.7916666666667</v>
      </c>
      <c r="J22" s="19" t="s">
        <v>40</v>
      </c>
      <c r="K22" s="10">
        <f>19+13+23+6.5+17.5+24+24+9.5+18+14.5+16+11+12.5+9+13+11.5+24+13.5+0+20+12+24+24+24</f>
        <v>383.5</v>
      </c>
      <c r="L22" s="10">
        <f>G22/K22</f>
        <v>59.7966101694915</v>
      </c>
      <c r="M22" s="10">
        <v>24</v>
      </c>
    </row>
    <row r="23" s="1" customFormat="1" ht="25" customHeight="1" spans="1:13">
      <c r="A23" s="12">
        <v>18</v>
      </c>
      <c r="B23" s="8" t="s">
        <v>41</v>
      </c>
      <c r="C23" s="7">
        <v>700</v>
      </c>
      <c r="D23" s="7">
        <v>657</v>
      </c>
      <c r="E23" s="10">
        <f t="shared" si="1"/>
        <v>1357</v>
      </c>
      <c r="F23" s="10" t="s">
        <v>27</v>
      </c>
      <c r="G23" s="10">
        <f>1232+1135+1443+592+1010+1680+1758+814+1199+766+1182+649+985+607+997+642+1674+935+153+1256+880+1556+1450+1357</f>
        <v>25952</v>
      </c>
      <c r="H23" s="24"/>
      <c r="I23" s="22">
        <f>E23/M22</f>
        <v>56.5416666666667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422</v>
      </c>
      <c r="D24" s="7">
        <v>329</v>
      </c>
      <c r="E24" s="10">
        <f t="shared" si="1"/>
        <v>751</v>
      </c>
      <c r="F24" s="10" t="s">
        <v>27</v>
      </c>
      <c r="G24" s="10">
        <f>403+357+520+369+601+404+442+288+87+362+261+279+171+177+412+504+368+618+592+418+824+481+774+751</f>
        <v>10463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30.57</v>
      </c>
      <c r="D25" s="7">
        <v>32.67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85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176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85</v>
      </c>
      <c r="D32" s="32"/>
      <c r="E32" s="32"/>
      <c r="F32" s="32"/>
      <c r="G32" s="32"/>
      <c r="H32" s="33"/>
      <c r="I32" s="30" t="s">
        <v>47</v>
      </c>
      <c r="J32" s="31" t="s">
        <v>52</v>
      </c>
      <c r="K32" s="28" t="s">
        <v>177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178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179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0+0+12+20+0+0+0+0+0+18+0+0+0+0+0+0+0+0+0+0+0+0+0+0</f>
        <v>50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11.35</v>
      </c>
      <c r="D38" s="10">
        <v>11.35</v>
      </c>
      <c r="E38" s="10">
        <f t="shared" si="2"/>
        <v>22.7</v>
      </c>
      <c r="F38" s="10" t="s">
        <v>27</v>
      </c>
      <c r="G38" s="10">
        <f>12.74+12.68+12.74+12.66+12.69+12.65+12.68+12.65+12.82+12.72+12.7+12.87+12.73+12.86+12.8+12.79+12.67+12.74+21.64+22.71+21.73+22.84+22.74+22.7</f>
        <v>363.55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10</v>
      </c>
      <c r="D39" s="10">
        <v>0</v>
      </c>
      <c r="E39" s="10">
        <f t="shared" si="2"/>
        <v>10</v>
      </c>
      <c r="F39" s="10" t="s">
        <v>27</v>
      </c>
      <c r="G39" s="10">
        <f>17+20+15+10+28+16+18+22+23+15+33+19+20+29+36+33+0+39+22+19+41+27+19+10</f>
        <v>531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10.4355</v>
      </c>
      <c r="D40" s="10">
        <v>0</v>
      </c>
      <c r="E40" s="10">
        <f t="shared" si="2"/>
        <v>10.4355</v>
      </c>
      <c r="F40" s="10" t="s">
        <v>14</v>
      </c>
      <c r="G40" s="10">
        <f>10.4355+1.6065+14.9715+0+7.5195+6.1695+11.313+0+12.7845+0+5.5755+6.615+12.285+0+11.475+0+10.3005+0+0+22.5585+18.1575+8.4645+10.665+10.4355</f>
        <v>181.332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0+0+0+0+0+0+0+0+0+0+0+0+0+0+0+0+0+0+0+0+0+0+0+0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0</v>
      </c>
      <c r="D42" s="10">
        <v>0</v>
      </c>
      <c r="E42" s="10">
        <f t="shared" si="2"/>
        <v>0</v>
      </c>
      <c r="F42" s="10" t="s">
        <v>27</v>
      </c>
      <c r="G42" s="10">
        <f>263+335+279+465+237+293+268+197+387+510+118+34+75+6+137+36+0+0+101+21+210+166+0+0</f>
        <v>4138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520</v>
      </c>
      <c r="D43" s="10">
        <v>520</v>
      </c>
      <c r="E43" s="10">
        <f t="shared" si="2"/>
        <v>1040</v>
      </c>
      <c r="F43" s="10" t="s">
        <v>27</v>
      </c>
      <c r="G43" s="10">
        <f>985+980+990+985+972+980+994+995+1020+1025+1029+1021+1001+1030+1028+1032+1024+1039+988+1035+1036+1034+1048+1040</f>
        <v>24311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0+0+0+0+0+0+0+0+0+0+0+0+0+0+0+0+0+0+0+0+0+0+0+0</f>
        <v>0</v>
      </c>
      <c r="H44" s="24"/>
      <c r="I44" s="7">
        <v>1065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0+0+0+0+0+0+0+0+0+0+0+0+0+0+0+0+0+0+0+0+0+0+0+0</f>
        <v>0</v>
      </c>
      <c r="H45" s="24"/>
      <c r="I45" s="7">
        <v>114.6552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8</v>
      </c>
      <c r="D46" s="7">
        <v>10</v>
      </c>
      <c r="E46" s="10">
        <f>D46+C46</f>
        <v>18</v>
      </c>
      <c r="F46" s="10" t="s">
        <v>38</v>
      </c>
      <c r="G46" s="10">
        <f>5+5+6+7+8+7+5+5+5+7+7+7+8+5+8+8+7+5+10+9+11+12+16+18</f>
        <v>191</v>
      </c>
      <c r="H46" s="24"/>
      <c r="I46" s="10"/>
      <c r="J46" s="40"/>
      <c r="K46" s="28"/>
      <c r="L46" s="19" t="s">
        <v>69</v>
      </c>
      <c r="M46" s="7">
        <v>0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P10" sqref="P10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180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4.5</v>
      </c>
      <c r="D3" s="9">
        <v>9</v>
      </c>
      <c r="E3" s="10">
        <f t="shared" ref="E3:E13" si="0">C3+D3</f>
        <v>13.5</v>
      </c>
      <c r="F3" s="10" t="s">
        <v>14</v>
      </c>
      <c r="G3" s="10">
        <f>6.5+16+4.5+16+1+12.5+15.5+12+5+5.5+10+4+8.5+4.5+8.5+2.5+12+10.5+4.5+5+15+5.5+15+10+13.5</f>
        <v>223.5</v>
      </c>
      <c r="H3" s="10">
        <v>256</v>
      </c>
      <c r="I3" s="10">
        <f>H3-G3</f>
        <v>32.5</v>
      </c>
      <c r="J3" s="11"/>
      <c r="K3" s="10"/>
      <c r="L3" s="10"/>
      <c r="M3" s="10">
        <f>I3/5</f>
        <v>6.5</v>
      </c>
    </row>
    <row r="4" s="1" customFormat="1" ht="35" customHeight="1" spans="1:13">
      <c r="A4" s="12">
        <v>2</v>
      </c>
      <c r="B4" s="8" t="s">
        <v>15</v>
      </c>
      <c r="C4" s="9">
        <v>10</v>
      </c>
      <c r="D4" s="9"/>
      <c r="E4" s="10">
        <f t="shared" si="0"/>
        <v>10</v>
      </c>
      <c r="F4" s="10" t="s">
        <v>14</v>
      </c>
      <c r="G4" s="10">
        <f>0+8+16+4+16+0+14+14+12+6+6+10+4+8+4+8+4+12+10+4+6+14+6+16+10</f>
        <v>212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70</v>
      </c>
      <c r="D5" s="10">
        <v>0</v>
      </c>
      <c r="E5" s="10">
        <f t="shared" si="0"/>
        <v>70</v>
      </c>
      <c r="F5" s="10" t="s">
        <v>14</v>
      </c>
      <c r="G5" s="10">
        <f>146+130+171+51+125+166+223+62+155+90+127+67+129+50+113+72+181+111+0+151+62+229+176+161+70</f>
        <v>3018</v>
      </c>
      <c r="H5" s="10">
        <v>3600</v>
      </c>
      <c r="I5" s="10">
        <f>H5-G5-G7-G6</f>
        <v>551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0+0+0+0+0+0+0+0+0+0+0+0+0+0+0+0+0+0+0+0+0+0+0+0+0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1+2+4+1+13+3+0+0+1+0+1+0+0+0+4+0+0+0+0+0+0+1+0+0+0</f>
        <v>31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0+0+0+0+0+0+0+0+0+0+0+0+0+7+0+0+0+0+0+0+0+1+0+0+0</f>
        <v>8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0+0+0+31.2+31.46+62.53+0+0+93.47+93.91+31.7+30.93+0+27.33+31.02+0+0+30.19+31.53+0+0+29.95+30.71+30.81+0</f>
        <v>586.74</v>
      </c>
      <c r="H10" s="13">
        <v>4.72</v>
      </c>
      <c r="I10" s="21">
        <f>H10-K11</f>
        <v>-0.427896000000001</v>
      </c>
      <c r="J10" s="19" t="s">
        <v>22</v>
      </c>
      <c r="K10" s="10">
        <v>120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6.3855</v>
      </c>
      <c r="D11" s="10">
        <v>1.1205</v>
      </c>
      <c r="E11" s="10">
        <f t="shared" si="0"/>
        <v>7.506</v>
      </c>
      <c r="F11" s="10" t="s">
        <v>14</v>
      </c>
      <c r="G11" s="10">
        <f>8.343+4.3875+5.6565+4.9815+4.7385+4.509+9.234+6.426+5.292+5.2785+3.8205+3.3345+4.3065+3.726+2.808+2.214+4.05+5.5485+3.888+3.7935+4.968+6.4935+5.13+6.156+7.506</f>
        <v>126.5895</v>
      </c>
      <c r="H11" s="10"/>
      <c r="I11" s="22">
        <f>G11/G3</f>
        <v>0.566395973154363</v>
      </c>
      <c r="J11" s="19" t="s">
        <v>24</v>
      </c>
      <c r="K11" s="20">
        <f>0+0+0+0.27144+0.26741+0.537758+0+0+0.84123+0.807626+0.27896+0.265998+0+0.235038+0.269874+0+0+0.27171+0.280617+0+0+0.266555+0.27639+0.27729+0</f>
        <v>5.147896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13.6344</v>
      </c>
      <c r="D12" s="10">
        <v>0</v>
      </c>
      <c r="E12" s="10">
        <f t="shared" si="0"/>
        <v>13.6344</v>
      </c>
      <c r="F12" s="10" t="s">
        <v>14</v>
      </c>
      <c r="G12" s="10">
        <f>9.7888+8.9608+16.3208+8.188+5.52+7.4336+11.5552+12.604+12.9536+6.716+4.2136+6.2376+10.212+3.2384+11.132+0+8.9792+9.4576+9.1264+4.048+10.0832+12.1992+7.5256+9.108+13.6344</f>
        <v>219.236</v>
      </c>
      <c r="H12" s="10"/>
      <c r="I12" s="22">
        <f>G12/G3</f>
        <v>0.980921700223713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316</v>
      </c>
      <c r="D13" s="10">
        <v>27</v>
      </c>
      <c r="E13" s="10">
        <f t="shared" si="0"/>
        <v>343</v>
      </c>
      <c r="F13" s="10" t="s">
        <v>27</v>
      </c>
      <c r="G13" s="10">
        <f>203.4+427+259+315+111+439+458+304+389+44+474+12+421+18+362+9+412+436+12+182+332+317+408+382+343</f>
        <v>7069.4</v>
      </c>
      <c r="H13" s="10">
        <f>G13*1.05</f>
        <v>7422.87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230</v>
      </c>
      <c r="D14" s="10">
        <v>153</v>
      </c>
      <c r="E14" s="10">
        <f t="shared" ref="E14:E24" si="1">D14+C14</f>
        <v>383</v>
      </c>
      <c r="F14" s="10" t="s">
        <v>27</v>
      </c>
      <c r="G14" s="10">
        <f>194+482+152+374+40+430+460+290+230+94+390+117+288+100+233+91+384+348+121+158+389+235+430+292+383</f>
        <v>6705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412.27</v>
      </c>
      <c r="D15" s="10">
        <v>421.08</v>
      </c>
      <c r="E15" s="10">
        <f t="shared" si="1"/>
        <v>833.35</v>
      </c>
      <c r="F15" s="10" t="s">
        <v>27</v>
      </c>
      <c r="G15" s="10">
        <f>1051.94+1011.04+795.49+543.9+807.96+742.7+812+543.06+526.23+781.93+406.11+655.94+322.41+543.81+550.55+719.63+795.73+378.44+135.72+609.67+746.76+762.48+726.27+917.92+833.35</f>
        <v>16721.04</v>
      </c>
      <c r="H15" s="10"/>
      <c r="I15" s="22"/>
      <c r="J15" s="19" t="s">
        <v>30</v>
      </c>
      <c r="K15" s="10">
        <v>2.6</v>
      </c>
      <c r="L15" s="10">
        <v>2.61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15</v>
      </c>
      <c r="D16" s="10">
        <v>15</v>
      </c>
      <c r="E16" s="10">
        <f t="shared" si="1"/>
        <v>30</v>
      </c>
      <c r="F16" s="10" t="s">
        <v>14</v>
      </c>
      <c r="G16" s="10">
        <f>18+33+12+30+3+30+36+21+15+9+27+9+24+6+18+6+27+24+9+12+30+15+33+21+30</f>
        <v>498</v>
      </c>
      <c r="H16" s="10"/>
      <c r="I16" s="22">
        <f>G16/G3</f>
        <v>2.22818791946309</v>
      </c>
      <c r="J16" s="19" t="s">
        <v>32</v>
      </c>
      <c r="K16" s="20">
        <f>3.1308178+2.8699152+2.220183+1.4538464+2.0633116+2.064706+2.1593316+1.47515+1.4789079+1.9842568+1.0469972+1.6107242+0.7824764+1.3334781+1.3439309+1.7491784+2.028952+1.0708182+0.3637696+1.6913342+2.0365699+2.2450563+2.1240066+2.6806112+2.1709208</f>
        <v>45.1792503</v>
      </c>
      <c r="L16" s="10"/>
      <c r="M16" s="10">
        <f>(C15*K15+L15*D15)/1000</f>
        <v>2.1709208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0+0+0.125+0+0.075+0+0+0.075+0.125+0+0+0+0.0875+0+0.0875+0+0+0+0+0+0+0+0+0.15+0</f>
        <v>0.725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0+0+0+0+0+0+0+0+0+0+0+0+0+0+0+0+0+0+0+0+0+0+0+0+0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0+2+0+2+0+2+0+2+0+0+0+2+0+0+2+0+0+2+0+0+2+0+2+0+2</f>
        <v>20</v>
      </c>
      <c r="H19" s="24"/>
      <c r="I19" s="22">
        <f>G19/G3</f>
        <v>0.0894854586129754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0+2+0+2+0+2+0+2+0+0+0+2+0+0+2+0+0+2+0+0+2+0+2+0+2</f>
        <v>20</v>
      </c>
      <c r="H20" s="24"/>
      <c r="I20" s="22">
        <f>G20/G3</f>
        <v>0.0894854586129754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2</v>
      </c>
      <c r="D21" s="7">
        <v>6</v>
      </c>
      <c r="E21" s="10">
        <f t="shared" si="1"/>
        <v>8</v>
      </c>
      <c r="F21" s="10" t="s">
        <v>38</v>
      </c>
      <c r="G21" s="10">
        <f>9+7+6+0+9+5+3+9+3+1+3+8+0+4+9+0+1+2+8+2+5+4+7+7+8</f>
        <v>120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478</v>
      </c>
      <c r="D22" s="7">
        <v>313</v>
      </c>
      <c r="E22" s="10">
        <f t="shared" si="1"/>
        <v>791</v>
      </c>
      <c r="F22" s="10" t="s">
        <v>27</v>
      </c>
      <c r="G22" s="10">
        <f>1104+849+1313+485+1053+1404+1362+598+991+862+1020+758+817+603+810+687+1448+818+169+1178+761+1407+1240+1195+791</f>
        <v>23723</v>
      </c>
      <c r="H22" s="26"/>
      <c r="I22" s="22">
        <f>E22/M22</f>
        <v>63.28</v>
      </c>
      <c r="J22" s="19" t="s">
        <v>40</v>
      </c>
      <c r="K22" s="10">
        <f>19+13+23+6.5+17.5+24+24+9.5+18+14.5+16+11+12.5+9+13+11.5+24+13.5+0+20+12+24+24+24+12.5</f>
        <v>396</v>
      </c>
      <c r="L22" s="10">
        <f>G22/K22</f>
        <v>59.9065656565657</v>
      </c>
      <c r="M22" s="10">
        <v>12.5</v>
      </c>
    </row>
    <row r="23" s="1" customFormat="1" ht="25" customHeight="1" spans="1:13">
      <c r="A23" s="12">
        <v>18</v>
      </c>
      <c r="B23" s="8" t="s">
        <v>41</v>
      </c>
      <c r="C23" s="7">
        <v>585</v>
      </c>
      <c r="D23" s="7">
        <v>409</v>
      </c>
      <c r="E23" s="10">
        <f t="shared" si="1"/>
        <v>994</v>
      </c>
      <c r="F23" s="10" t="s">
        <v>27</v>
      </c>
      <c r="G23" s="10">
        <f>1232+1135+1443+592+1010+1680+1758+814+1199+766+1182+649+985+607+997+642+1674+935+153+1256+880+1556+1450+1357+994</f>
        <v>26946</v>
      </c>
      <c r="H23" s="24"/>
      <c r="I23" s="22">
        <f>E23/M22</f>
        <v>79.52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396</v>
      </c>
      <c r="D24" s="7">
        <v>234</v>
      </c>
      <c r="E24" s="10">
        <f t="shared" si="1"/>
        <v>630</v>
      </c>
      <c r="F24" s="10" t="s">
        <v>27</v>
      </c>
      <c r="G24" s="10">
        <f>403+357+520+369+601+404+442+288+87+362+261+279+171+177+412+504+368+618+592+418+824+481+774+751+630</f>
        <v>11093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30.8</v>
      </c>
      <c r="D25" s="7">
        <v>0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176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181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177</v>
      </c>
      <c r="D32" s="32"/>
      <c r="E32" s="32"/>
      <c r="F32" s="32"/>
      <c r="G32" s="32"/>
      <c r="H32" s="33"/>
      <c r="I32" s="30" t="s">
        <v>47</v>
      </c>
      <c r="J32" s="31" t="s">
        <v>52</v>
      </c>
      <c r="K32" s="28" t="s">
        <v>182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178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183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0+0+12+20+0+0+0+0+0+18+0+0+0+0+0+0+0+0+0+0+0+0+0+0+0</f>
        <v>50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11.48</v>
      </c>
      <c r="D38" s="10">
        <v>11.28</v>
      </c>
      <c r="E38" s="10">
        <f t="shared" si="2"/>
        <v>22.76</v>
      </c>
      <c r="F38" s="10" t="s">
        <v>27</v>
      </c>
      <c r="G38" s="10">
        <f>12.74+12.68+12.74+12.66+12.69+12.65+12.68+12.65+12.82+12.72+12.7+12.87+12.73+12.86+12.8+12.79+12.67+12.74+21.64+22.71+21.73+22.84+22.74+22.7+22.76</f>
        <v>386.31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20</v>
      </c>
      <c r="D39" s="10">
        <v>6</v>
      </c>
      <c r="E39" s="10">
        <f t="shared" si="2"/>
        <v>26</v>
      </c>
      <c r="F39" s="10" t="s">
        <v>27</v>
      </c>
      <c r="G39" s="10">
        <f>17+20+15+10+28+16+18+22+23+15+33+19+20+29+36+33+0+39+22+19+41+27+19+10+26</f>
        <v>557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11.502</v>
      </c>
      <c r="D40" s="10">
        <v>0</v>
      </c>
      <c r="E40" s="10">
        <f t="shared" si="2"/>
        <v>11.502</v>
      </c>
      <c r="F40" s="10" t="s">
        <v>14</v>
      </c>
      <c r="G40" s="10">
        <f>10.4355+1.6065+14.9715+0+7.5195+6.1695+11.313+0+12.7845+0+5.5755+6.615+12.285+0+11.475+0+10.3005+0+0+22.5585+18.1575+8.4645+10.665+10.4355+11.502</f>
        <v>192.834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0+0+0+0+0+0+0+0+0+0+0+0+0+0+0+0+0+0+0+0+0+0+0+0+0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49</v>
      </c>
      <c r="D42" s="10">
        <v>23</v>
      </c>
      <c r="E42" s="10">
        <f t="shared" si="2"/>
        <v>72</v>
      </c>
      <c r="F42" s="10" t="s">
        <v>27</v>
      </c>
      <c r="G42" s="10">
        <f>263+335+279+465+237+293+268+197+387+510+118+34+75+6+137+36+0+0+101+21+210+166+0+0+72</f>
        <v>4210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516</v>
      </c>
      <c r="D43" s="10">
        <v>506</v>
      </c>
      <c r="E43" s="10">
        <f t="shared" si="2"/>
        <v>1022</v>
      </c>
      <c r="F43" s="10" t="s">
        <v>27</v>
      </c>
      <c r="G43" s="10">
        <f>985+980+990+985+972+980+994+995+1020+1025+1029+1021+1001+1030+1028+1032+1024+1039+988+1035+1036+1034+1048+1040+1022</f>
        <v>25333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0+0+0+0+0+0+0+0+0+0+0+0+0+0+0+0+0+0+0+0+0+0+0+0+0</f>
        <v>0</v>
      </c>
      <c r="H44" s="24"/>
      <c r="I44" s="7">
        <v>1065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0+0+0+0+0+0+0+0+0+0+0+0+0+0+0+0+0+0+0+0+0+0+0+0+0</f>
        <v>0</v>
      </c>
      <c r="H45" s="24"/>
      <c r="I45" s="7">
        <v>114.6552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10</v>
      </c>
      <c r="D46" s="7">
        <v>6</v>
      </c>
      <c r="E46" s="10">
        <f>D46+C46</f>
        <v>16</v>
      </c>
      <c r="F46" s="10" t="s">
        <v>38</v>
      </c>
      <c r="G46" s="10">
        <f>5+5+6+7+8+7+5+5+5+7+7+7+8+5+8+8+7+5+10+9+11+12+16+18+16</f>
        <v>207</v>
      </c>
      <c r="H46" s="24"/>
      <c r="I46" s="10"/>
      <c r="J46" s="40"/>
      <c r="K46" s="28"/>
      <c r="L46" s="19" t="s">
        <v>69</v>
      </c>
      <c r="M46" s="7">
        <v>6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Q5" sqref="Q5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184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0</v>
      </c>
      <c r="D3" s="9">
        <v>8.5</v>
      </c>
      <c r="E3" s="10">
        <f t="shared" ref="E3:E13" si="0">C3+D3</f>
        <v>8.5</v>
      </c>
      <c r="F3" s="10" t="s">
        <v>14</v>
      </c>
      <c r="G3" s="10">
        <f>6.5+16+4.5+16+1+12.5+15.5+12+5+5.5+10+4+8.5+4.5+8.5+2.5+12+10.5+4.5+5+15+5.5+15+10+13.5+8.5</f>
        <v>232</v>
      </c>
      <c r="H3" s="10">
        <v>256</v>
      </c>
      <c r="I3" s="10">
        <f>H3-G3</f>
        <v>24</v>
      </c>
      <c r="J3" s="11"/>
      <c r="K3" s="10"/>
      <c r="L3" s="10"/>
      <c r="M3" s="10">
        <f>I3/4</f>
        <v>6</v>
      </c>
    </row>
    <row r="4" s="1" customFormat="1" ht="35" customHeight="1" spans="1:13">
      <c r="A4" s="12">
        <v>2</v>
      </c>
      <c r="B4" s="8" t="s">
        <v>15</v>
      </c>
      <c r="C4" s="9">
        <v>12</v>
      </c>
      <c r="D4" s="9"/>
      <c r="E4" s="10">
        <f t="shared" si="0"/>
        <v>12</v>
      </c>
      <c r="F4" s="10" t="s">
        <v>14</v>
      </c>
      <c r="G4" s="10">
        <f>0+8+16+4+16+0+14+14+12+6+6+10+4+8+4+8+4+12+10+4+6+14+6+16+10+12</f>
        <v>224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121</v>
      </c>
      <c r="D5" s="10">
        <v>53</v>
      </c>
      <c r="E5" s="10">
        <f t="shared" si="0"/>
        <v>174</v>
      </c>
      <c r="F5" s="10" t="s">
        <v>14</v>
      </c>
      <c r="G5" s="10">
        <f>146+130+171+51+125+166+223+62+155+90+127+67+129+50+113+72+181+111+0+151+62+229+176+161+70+174</f>
        <v>3192</v>
      </c>
      <c r="H5" s="10">
        <v>3600</v>
      </c>
      <c r="I5" s="10">
        <f>H5-G5-G7-G6</f>
        <v>375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0+0+0+0+0+0+0+0+0+0+0+0+0+0+0+0+0+0+0+0+0+0+0+0+0+0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2</v>
      </c>
      <c r="D7" s="10">
        <v>0</v>
      </c>
      <c r="E7" s="10">
        <f t="shared" si="0"/>
        <v>2</v>
      </c>
      <c r="F7" s="10" t="s">
        <v>14</v>
      </c>
      <c r="G7" s="10">
        <f>1+2+4+1+13+3+0+0+1+0+1+0+0+0+4+0+0+0+0+0+0+1+0+0+0+2</f>
        <v>33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0+0+0+0+0+0+0+0+0+0+0+0+0+7+0+0+0+0+0+0+0+1+0+0+0+0</f>
        <v>8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0+0+0+31.2+31.46+62.53+0+0+93.47+93.91+31.7+30.93+0+27.33+31.02+0+0+30.19+31.53+0+0+29.95+30.71+30.81+0+0</f>
        <v>586.74</v>
      </c>
      <c r="H10" s="13">
        <v>4.72</v>
      </c>
      <c r="I10" s="21">
        <f>H10-K11</f>
        <v>-0.427896000000001</v>
      </c>
      <c r="J10" s="19" t="s">
        <v>22</v>
      </c>
      <c r="K10" s="10">
        <v>180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3.7665</v>
      </c>
      <c r="D11" s="10">
        <v>0</v>
      </c>
      <c r="E11" s="10">
        <f t="shared" si="0"/>
        <v>3.7665</v>
      </c>
      <c r="F11" s="10" t="s">
        <v>14</v>
      </c>
      <c r="G11" s="10">
        <f>8.343+4.3875+5.6565+4.9815+4.7385+4.509+9.234+6.426+5.292+5.2785+3.8205+3.3345+4.3065+3.726+2.808+2.214+4.05+5.5485+3.888+3.7935+4.968+6.4935+5.13+6.156+7.506+3.7665</f>
        <v>130.356</v>
      </c>
      <c r="H11" s="10"/>
      <c r="I11" s="22">
        <f>G11/G3</f>
        <v>0.561879310344828</v>
      </c>
      <c r="J11" s="19" t="s">
        <v>24</v>
      </c>
      <c r="K11" s="20">
        <f>0+0+0+0.27144+0.26741+0.537758+0+0+0.84123+0.807626+0.27896+0.265998+0+0.235038+0.269874+0+0+0.27171+0.280617+0+0+0.266555+0.27639+0.27729+0+0</f>
        <v>5.147896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10.3408</v>
      </c>
      <c r="D12" s="10">
        <v>0</v>
      </c>
      <c r="E12" s="10">
        <f t="shared" si="0"/>
        <v>10.3408</v>
      </c>
      <c r="F12" s="10" t="s">
        <v>14</v>
      </c>
      <c r="G12" s="10">
        <f>9.7888+8.9608+16.3208+8.188+5.52+7.4336+11.5552+12.604+12.9536+6.716+4.2136+6.2376+10.212+3.2384+11.132+0+8.9792+9.4576+9.1264+4.048+10.0832+12.1992+7.5256+9.108+13.6344+10.3408</f>
        <v>229.5768</v>
      </c>
      <c r="H12" s="10"/>
      <c r="I12" s="22">
        <f>G12/G3</f>
        <v>0.989555172413793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94</v>
      </c>
      <c r="D13" s="10">
        <v>284</v>
      </c>
      <c r="E13" s="10">
        <f t="shared" si="0"/>
        <v>378</v>
      </c>
      <c r="F13" s="10" t="s">
        <v>27</v>
      </c>
      <c r="G13" s="10">
        <f>203.4+427+259+315+111+439+458+304+389+44+474+12+421+18+362+9+412+436+12+182+332+317+408+382+343+378</f>
        <v>7447.4</v>
      </c>
      <c r="H13" s="10">
        <f>G13*1.05</f>
        <v>7819.77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60</v>
      </c>
      <c r="D14" s="10">
        <v>228</v>
      </c>
      <c r="E14" s="10">
        <f t="shared" ref="E14:E24" si="1">D14+C14</f>
        <v>288</v>
      </c>
      <c r="F14" s="10" t="s">
        <v>27</v>
      </c>
      <c r="G14" s="10">
        <f>194+482+152+374+40+430+460+290+230+94+390+117+288+100+233+91+384+348+121+158+389+235+430+292+383+288</f>
        <v>6993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282.59</v>
      </c>
      <c r="D15" s="10">
        <v>122.42</v>
      </c>
      <c r="E15" s="10">
        <f t="shared" si="1"/>
        <v>405.01</v>
      </c>
      <c r="F15" s="10" t="s">
        <v>27</v>
      </c>
      <c r="G15" s="10">
        <f>1051.94+1011.04+795.49+543.9+807.96+742.7+812+543.06+526.23+781.93+406.11+655.94+322.41+543.81+550.55+719.63+795.73+378.44+135.72+609.67+746.76+762.48+726.27+917.92+833.35+405.01</f>
        <v>17126.05</v>
      </c>
      <c r="H15" s="10"/>
      <c r="I15" s="22"/>
      <c r="J15" s="19" t="s">
        <v>30</v>
      </c>
      <c r="K15" s="10">
        <v>2.7</v>
      </c>
      <c r="L15" s="10">
        <v>2.67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3</v>
      </c>
      <c r="D16" s="10">
        <v>15</v>
      </c>
      <c r="E16" s="10">
        <f t="shared" si="1"/>
        <v>18</v>
      </c>
      <c r="F16" s="10" t="s">
        <v>14</v>
      </c>
      <c r="G16" s="10">
        <f>18+33+12+30+3+30+36+21+15+9+27+9+24+6+18+6+27+24+9+12+30+15+33+21+30+18</f>
        <v>516</v>
      </c>
      <c r="H16" s="10"/>
      <c r="I16" s="22">
        <f>G16/G3</f>
        <v>2.22413793103448</v>
      </c>
      <c r="J16" s="19" t="s">
        <v>32</v>
      </c>
      <c r="K16" s="20">
        <f>3.1308178+2.8699152+2.220183+1.4538464+2.0633116+2.064706+2.1593316+1.47515+1.4789079+1.9842568+1.0469972+1.6107242+0.7824764+1.3334781+1.3439309+1.7491784+2.028952+1.0708182+0.3637696+1.6913342+2.0365699+2.2450563+2.1240066+2.6806112+2.1709208+1.0898544</f>
        <v>46.2691047</v>
      </c>
      <c r="L16" s="10"/>
      <c r="M16" s="10">
        <f>(C15*K15+L15*D15)/1000</f>
        <v>1.0898544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0+0+0.125+0+0.075+0+0+0.075+0.125+0+0+0+0.0875+0+0.0875+0+0+0+0+0+0+0+0+0.15+0+0</f>
        <v>0.725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0+0+0+0+0+0+0+0+0+0+0+0+0+0+0+0+0+0+0+0+0+0+0+0+0+0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0+2+0+2+0+2+0+2+0+0+0+2+0+0+2+0+0+2+0+0+2+0+2+0+2+0</f>
        <v>20</v>
      </c>
      <c r="H19" s="24"/>
      <c r="I19" s="22">
        <f>G19/G3</f>
        <v>0.0862068965517241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0+2+0+2+0+2+0+2+0+0+0+2+0+0+2+0+0+2+0+0+2+0+2+0+2+0</f>
        <v>20</v>
      </c>
      <c r="H20" s="24"/>
      <c r="I20" s="22">
        <f>G20/G3</f>
        <v>0.0862068965517241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2</v>
      </c>
      <c r="D21" s="7">
        <v>0</v>
      </c>
      <c r="E21" s="10">
        <f t="shared" si="1"/>
        <v>2</v>
      </c>
      <c r="F21" s="10" t="s">
        <v>38</v>
      </c>
      <c r="G21" s="10">
        <f>9+7+6+0+9+5+3+9+3+1+3+8+0+4+9+0+1+2+8+2+5+4+7+7+8+2</f>
        <v>122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639</v>
      </c>
      <c r="D22" s="7">
        <v>363</v>
      </c>
      <c r="E22" s="10">
        <f t="shared" si="1"/>
        <v>1002</v>
      </c>
      <c r="F22" s="10" t="s">
        <v>27</v>
      </c>
      <c r="G22" s="10">
        <f>1104+849+1313+485+1053+1404+1362+598+991+862+1020+758+817+603+810+687+1448+818+169+1178+761+1407+1240+1195+791+1002</f>
        <v>24725</v>
      </c>
      <c r="H22" s="26"/>
      <c r="I22" s="22">
        <f>E22/M22</f>
        <v>58.9411764705882</v>
      </c>
      <c r="J22" s="19" t="s">
        <v>40</v>
      </c>
      <c r="K22" s="10">
        <f>19+13+23+6.5+17.5+24+24+9.5+18+14.5+16+11+12.5+9+13+11.5+24+13.5+0+20+12+24+24+24+12.5+17</f>
        <v>413</v>
      </c>
      <c r="L22" s="10">
        <f>G22/K22</f>
        <v>59.8668280871671</v>
      </c>
      <c r="M22" s="10">
        <v>17</v>
      </c>
    </row>
    <row r="23" s="1" customFormat="1" ht="25" customHeight="1" spans="1:13">
      <c r="A23" s="12">
        <v>18</v>
      </c>
      <c r="B23" s="8" t="s">
        <v>41</v>
      </c>
      <c r="C23" s="7">
        <v>733</v>
      </c>
      <c r="D23" s="7">
        <v>456</v>
      </c>
      <c r="E23" s="10">
        <f t="shared" si="1"/>
        <v>1189</v>
      </c>
      <c r="F23" s="10" t="s">
        <v>27</v>
      </c>
      <c r="G23" s="10">
        <f>1232+1135+1443+592+1010+1680+1758+814+1199+766+1182+649+985+607+997+642+1674+935+153+1256+880+1556+1450+1357+994+1189</f>
        <v>28135</v>
      </c>
      <c r="H23" s="24"/>
      <c r="I23" s="22">
        <f>E23/M22</f>
        <v>69.9411764705882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226</v>
      </c>
      <c r="D24" s="7">
        <v>609</v>
      </c>
      <c r="E24" s="10">
        <f t="shared" si="1"/>
        <v>835</v>
      </c>
      <c r="F24" s="10" t="s">
        <v>27</v>
      </c>
      <c r="G24" s="10">
        <f>403+357+520+369+601+404+442+288+87+362+261+279+171+177+412+504+368+618+592+418+824+481+774+751+630+835</f>
        <v>11928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0</v>
      </c>
      <c r="D25" s="7">
        <v>33.75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181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185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182</v>
      </c>
      <c r="D32" s="32"/>
      <c r="E32" s="32"/>
      <c r="F32" s="32"/>
      <c r="G32" s="32"/>
      <c r="H32" s="33"/>
      <c r="I32" s="30" t="s">
        <v>47</v>
      </c>
      <c r="J32" s="31" t="s">
        <v>52</v>
      </c>
      <c r="K32" s="28" t="s">
        <v>186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187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188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0+0+12+20+0+0+0+0+0+18+0+0+0+0+0+0+0+0+0+0+0+0+0+0+0+0</f>
        <v>50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11.3</v>
      </c>
      <c r="D38" s="10">
        <v>11.28</v>
      </c>
      <c r="E38" s="10">
        <f t="shared" si="2"/>
        <v>22.58</v>
      </c>
      <c r="F38" s="10" t="s">
        <v>27</v>
      </c>
      <c r="G38" s="10">
        <f>12.74+12.68+12.74+12.66+12.69+12.65+12.68+12.65+12.82+12.72+12.7+12.87+12.73+12.86+12.8+12.79+12.67+12.74+21.64+22.71+21.73+22.84+22.74+22.7+22.76+22.58</f>
        <v>408.89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8</v>
      </c>
      <c r="D39" s="10">
        <v>8</v>
      </c>
      <c r="E39" s="10">
        <f t="shared" si="2"/>
        <v>16</v>
      </c>
      <c r="F39" s="10" t="s">
        <v>27</v>
      </c>
      <c r="G39" s="10">
        <f>17+20+15+10+28+16+18+22+23+15+33+19+20+29+36+33+0+39+22+19+41+27+19+10+26+16</f>
        <v>573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12.6765</v>
      </c>
      <c r="D40" s="10">
        <v>0</v>
      </c>
      <c r="E40" s="10">
        <f t="shared" si="2"/>
        <v>12.6765</v>
      </c>
      <c r="F40" s="10" t="s">
        <v>14</v>
      </c>
      <c r="G40" s="10">
        <f>10.4355+1.6065+14.9715+0+7.5195+6.1695+11.313+0+12.7845+0+5.5755+6.615+12.285+0+11.475+0+10.3005+0+0+22.5585+18.1575+8.4645+10.665+10.4355+11.502+12.6765</f>
        <v>205.5105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0+0+0+0+0+0+0+0+0+0+0+0+0+0+0+0+0+0+0+0+0+0+0+0+0+0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0</v>
      </c>
      <c r="D42" s="10">
        <v>0</v>
      </c>
      <c r="E42" s="10">
        <f t="shared" si="2"/>
        <v>0</v>
      </c>
      <c r="F42" s="10" t="s">
        <v>27</v>
      </c>
      <c r="G42" s="10">
        <f>263+335+279+465+237+293+268+197+387+510+118+34+75+6+137+36+0+0+101+21+210+166+0+0+72+0</f>
        <v>4210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515</v>
      </c>
      <c r="D43" s="10">
        <v>511</v>
      </c>
      <c r="E43" s="10">
        <f t="shared" si="2"/>
        <v>1026</v>
      </c>
      <c r="F43" s="10" t="s">
        <v>27</v>
      </c>
      <c r="G43" s="10">
        <f>985+980+990+985+972+980+994+995+1020+1025+1029+1021+1001+1030+1028+1032+1024+1039+988+1035+1036+1034+1048+1040+1022+1026</f>
        <v>26359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0+0+0+0+0+0+0+0+0+0+0+0+0+0+0+0+0+0+0+0+0+0+0+0+0+0</f>
        <v>0</v>
      </c>
      <c r="H44" s="24"/>
      <c r="I44" s="7">
        <v>945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0+0+0+0+0+0+0+0+0+0+0+0+0+0+0+0+0+0+0+0+0+0+0+0+0+0</f>
        <v>0</v>
      </c>
      <c r="H45" s="24"/>
      <c r="I45" s="7">
        <v>127.6842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7</v>
      </c>
      <c r="D46" s="7">
        <v>7</v>
      </c>
      <c r="E46" s="10">
        <f>D46+C46</f>
        <v>14</v>
      </c>
      <c r="F46" s="10" t="s">
        <v>38</v>
      </c>
      <c r="G46" s="10">
        <f>5+5+6+7+8+7+5+5+5+7+7+7+8+5+8+8+7+5+10+9+11+12+16+18+16+14</f>
        <v>221</v>
      </c>
      <c r="H46" s="24"/>
      <c r="I46" s="10"/>
      <c r="J46" s="40"/>
      <c r="K46" s="28"/>
      <c r="L46" s="19" t="s">
        <v>69</v>
      </c>
      <c r="M46" s="7">
        <v>10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G4" sqref="G4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189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5</v>
      </c>
      <c r="D3" s="9">
        <v>0</v>
      </c>
      <c r="E3" s="10">
        <f t="shared" ref="E3:E13" si="0">C3+D3</f>
        <v>5</v>
      </c>
      <c r="F3" s="10" t="s">
        <v>14</v>
      </c>
      <c r="G3" s="10">
        <f>6.5+16+4.5+16+1+12.5+15.5+12+5+5.5+10+4+8.5+4.5+8.5+2.5+12+10.5+4.5+5+15+5.5+15+10+13.5+8.5+5</f>
        <v>237</v>
      </c>
      <c r="H3" s="10">
        <v>256</v>
      </c>
      <c r="I3" s="10">
        <f>H3-G3</f>
        <v>19</v>
      </c>
      <c r="J3" s="11"/>
      <c r="K3" s="10"/>
      <c r="L3" s="10"/>
      <c r="M3" s="10">
        <f>I3/3</f>
        <v>6.33333333333333</v>
      </c>
    </row>
    <row r="4" s="1" customFormat="1" ht="35" customHeight="1" spans="1:13">
      <c r="A4" s="12">
        <v>2</v>
      </c>
      <c r="B4" s="8" t="s">
        <v>15</v>
      </c>
      <c r="C4" s="9">
        <v>10</v>
      </c>
      <c r="D4" s="9"/>
      <c r="E4" s="10">
        <f t="shared" si="0"/>
        <v>10</v>
      </c>
      <c r="F4" s="10" t="s">
        <v>14</v>
      </c>
      <c r="G4" s="10">
        <f>0+8+16+4+16+0+14+14+12+6+6+10+4+8+4+8+4+12+10+4+6+14+6+16+10+12+10</f>
        <v>234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104</v>
      </c>
      <c r="E5" s="10">
        <f t="shared" si="0"/>
        <v>104</v>
      </c>
      <c r="F5" s="10" t="s">
        <v>14</v>
      </c>
      <c r="G5" s="10">
        <f>146+130+171+51+125+166+223+62+155+90+127+67+129+50+113+72+181+111+0+151+62+229+176+161+70+174+104</f>
        <v>3296</v>
      </c>
      <c r="H5" s="10">
        <v>3600</v>
      </c>
      <c r="I5" s="10">
        <f>H5-G5-G7-G6</f>
        <v>271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0+0+0+0+0+0+0+0+0+0+0+0+0+0+0+0+0+0+0+0+0+0+0+0+0+0+0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1+2+4+1+13+3+0+0+1+0+1+0+0+0+4+0+0+0+0+0+0+1+0+0+0+2+0</f>
        <v>33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0+0+0+0+0+0+0+0+0+0+0+0+0+7+0+0+0+0+0+0+0+1+0+0+0+0+0</f>
        <v>8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0+0+0+31.2+31.46+62.53+0+0+93.47+93.91+31.7+30.93+0+27.33+31.02+0+0+30.19+31.53+0+0+29.95+30.71+30.81+0+0+0</f>
        <v>586.74</v>
      </c>
      <c r="H10" s="13">
        <v>4.72</v>
      </c>
      <c r="I10" s="21">
        <f>H10-K11</f>
        <v>-0.427896000000001</v>
      </c>
      <c r="J10" s="19" t="s">
        <v>22</v>
      </c>
      <c r="K10" s="10">
        <v>150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5.2785</v>
      </c>
      <c r="D11" s="10">
        <v>0</v>
      </c>
      <c r="E11" s="10">
        <f t="shared" si="0"/>
        <v>5.2785</v>
      </c>
      <c r="F11" s="10" t="s">
        <v>14</v>
      </c>
      <c r="G11" s="10">
        <f>8.343+4.3875+5.6565+4.9815+4.7385+4.509+9.234+6.426+5.292+5.2785+3.8205+3.3345+4.3065+3.726+2.808+2.214+4.05+5.5485+3.888+3.7935+4.968+6.4935+5.13+6.156+7.506+3.7665+5.2785</f>
        <v>135.6345</v>
      </c>
      <c r="H11" s="10"/>
      <c r="I11" s="22">
        <f>G11/G3</f>
        <v>0.572297468354431</v>
      </c>
      <c r="J11" s="19" t="s">
        <v>24</v>
      </c>
      <c r="K11" s="20">
        <f>0+0+0+0.27144+0.26741+0.537758+0+0+0.84123+0.807626+0.27896+0.265998+0+0.235038+0.269874+0+0+0.27171+0.280617+0+0+0.266555+0.27639+0.27729+0+0+0</f>
        <v>5.147896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7.4888</v>
      </c>
      <c r="D12" s="10">
        <v>0</v>
      </c>
      <c r="E12" s="10">
        <f t="shared" si="0"/>
        <v>7.4888</v>
      </c>
      <c r="F12" s="10" t="s">
        <v>14</v>
      </c>
      <c r="G12" s="10">
        <f>9.7888+8.9608+16.3208+8.188+5.52+7.4336+11.5552+12.604+12.9536+6.716+4.2136+6.2376+10.212+3.2384+11.132+0+8.9792+9.4576+9.1264+4.048+10.0832+12.1992+7.5256+9.108+13.6344+10.3408+7.4888</f>
        <v>237.0656</v>
      </c>
      <c r="H12" s="10"/>
      <c r="I12" s="22">
        <f>G12/G3</f>
        <v>1.00027679324894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6</v>
      </c>
      <c r="D13" s="10">
        <v>80</v>
      </c>
      <c r="E13" s="10">
        <f t="shared" si="0"/>
        <v>86</v>
      </c>
      <c r="F13" s="10" t="s">
        <v>27</v>
      </c>
      <c r="G13" s="10">
        <f>203.4+427+259+315+111+439+458+304+389+44+474+12+421+18+362+9+412+436+12+182+332+317+408+382+343+378+86</f>
        <v>7533.4</v>
      </c>
      <c r="H13" s="10">
        <f>G13*1.05</f>
        <v>7910.07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108</v>
      </c>
      <c r="D14" s="10">
        <v>49</v>
      </c>
      <c r="E14" s="10">
        <f t="shared" ref="E14:E24" si="1">D14+C14</f>
        <v>157</v>
      </c>
      <c r="F14" s="10" t="s">
        <v>27</v>
      </c>
      <c r="G14" s="10">
        <f>194+482+152+374+40+430+460+290+230+94+390+117+288+100+233+91+384+348+121+158+389+235+430+292+383+288+157</f>
        <v>7150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304.7</v>
      </c>
      <c r="D15" s="10">
        <v>319.3</v>
      </c>
      <c r="E15" s="10">
        <f t="shared" si="1"/>
        <v>624</v>
      </c>
      <c r="F15" s="10" t="s">
        <v>27</v>
      </c>
      <c r="G15" s="10">
        <f>1051.94+1011.04+795.49+543.9+807.96+742.7+812+543.06+526.23+781.93+406.11+655.94+322.41+543.81+550.55+719.63+795.73+378.44+135.72+609.67+746.76+762.48+726.27+917.92+833.35+405.01+624</f>
        <v>17750.05</v>
      </c>
      <c r="H15" s="10"/>
      <c r="I15" s="22"/>
      <c r="J15" s="19" t="s">
        <v>30</v>
      </c>
      <c r="K15" s="10">
        <v>2.73</v>
      </c>
      <c r="L15" s="10">
        <v>2.61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9</v>
      </c>
      <c r="D16" s="10">
        <v>0</v>
      </c>
      <c r="E16" s="10">
        <f t="shared" si="1"/>
        <v>9</v>
      </c>
      <c r="F16" s="10" t="s">
        <v>14</v>
      </c>
      <c r="G16" s="10">
        <f>18+33+12+30+3+30+36+21+15+9+27+9+24+6+18+6+27+24+9+12+30+15+33+21+30+18+9</f>
        <v>525</v>
      </c>
      <c r="H16" s="10"/>
      <c r="I16" s="22">
        <f>G16/G3</f>
        <v>2.21518987341772</v>
      </c>
      <c r="J16" s="19" t="s">
        <v>32</v>
      </c>
      <c r="K16" s="20">
        <f>3.1308178+2.8699152+2.220183+1.4538464+2.0633116+2.064706+2.1593316+1.47515+1.4789079+1.9842568+1.0469972+1.6107242+0.7824764+1.3334781+1.3439309+1.7491784+2.028952+1.0708182+0.3637696+1.6913342+2.0365699+2.2450563+2.1240066+2.6806112+2.1709208+1.0898544+1.665204</f>
        <v>47.9343087</v>
      </c>
      <c r="L16" s="10"/>
      <c r="M16" s="10">
        <f>(C15*K15+L15*D15)/1000</f>
        <v>1.665204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0.075</v>
      </c>
      <c r="E17" s="10">
        <f t="shared" si="1"/>
        <v>0.075</v>
      </c>
      <c r="F17" s="10" t="s">
        <v>14</v>
      </c>
      <c r="G17" s="10">
        <f>0+0+0.125+0+0.075+0+0+0.075+0.125+0+0+0+0.0875+0+0.0875+0+0+0+0+0+0+0+0+0.15+0+0+0.075</f>
        <v>0.8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0+0+0+0+0+0+0+0+0+0+0+0+0+0+0+0+0+0+0+0+0+0+0+0+0+0+0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0+2+0+2+0+2+0+2+0+0+0+2+0+0+2+0+0+2+0+0+2+0+2+0+2+0+0</f>
        <v>20</v>
      </c>
      <c r="H19" s="24"/>
      <c r="I19" s="22">
        <f>G19/G3</f>
        <v>0.0843881856540084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0+2+0+2+0+2+0+2+0+0+0+2+0+0+2+0+0+2+0+0+2+0+2+0+2+0+0</f>
        <v>20</v>
      </c>
      <c r="H20" s="24"/>
      <c r="I20" s="22">
        <f>G20/G3</f>
        <v>0.0843881856540084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0</v>
      </c>
      <c r="D21" s="7">
        <v>1</v>
      </c>
      <c r="E21" s="10">
        <f t="shared" si="1"/>
        <v>1</v>
      </c>
      <c r="F21" s="10" t="s">
        <v>38</v>
      </c>
      <c r="G21" s="10">
        <f>9+7+6+0+9+5+3+9+3+1+3+8+0+4+9+0+1+2+8+2+5+4+7+7+8+2+1</f>
        <v>123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215</v>
      </c>
      <c r="D22" s="7">
        <v>654</v>
      </c>
      <c r="E22" s="10">
        <f t="shared" si="1"/>
        <v>869</v>
      </c>
      <c r="F22" s="10" t="s">
        <v>27</v>
      </c>
      <c r="G22" s="10">
        <f>1104+849+1313+485+1053+1404+1362+598+991+862+1020+758+817+603+810+687+1448+818+169+1178+761+1407+1240+1195+791+1002+869</f>
        <v>25594</v>
      </c>
      <c r="H22" s="26"/>
      <c r="I22" s="22">
        <f>E22/M22</f>
        <v>62.0714285714286</v>
      </c>
      <c r="J22" s="19" t="s">
        <v>40</v>
      </c>
      <c r="K22" s="10">
        <f>19+13+23+6.5+17.5+24+24+9.5+18+14.5+16+11+12.5+9+13+11.5+24+13.5+0+20+12+24+24+24+12.5+17+14</f>
        <v>427</v>
      </c>
      <c r="L22" s="10">
        <f>G22/K22</f>
        <v>59.9391100702576</v>
      </c>
      <c r="M22" s="10">
        <v>14</v>
      </c>
    </row>
    <row r="23" s="1" customFormat="1" ht="25" customHeight="1" spans="1:13">
      <c r="A23" s="12">
        <v>18</v>
      </c>
      <c r="B23" s="8" t="s">
        <v>41</v>
      </c>
      <c r="C23" s="7">
        <v>211</v>
      </c>
      <c r="D23" s="7">
        <v>717</v>
      </c>
      <c r="E23" s="10">
        <f t="shared" si="1"/>
        <v>928</v>
      </c>
      <c r="F23" s="10" t="s">
        <v>27</v>
      </c>
      <c r="G23" s="10">
        <f>1232+1135+1443+592+1010+1680+1758+814+1199+766+1182+649+985+607+997+642+1674+935+153+1256+880+1556+1450+1357+994+1189+928</f>
        <v>29063</v>
      </c>
      <c r="H23" s="24"/>
      <c r="I23" s="22">
        <f>E23/M22</f>
        <v>66.2857142857143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536</v>
      </c>
      <c r="D24" s="7">
        <v>353</v>
      </c>
      <c r="E24" s="10">
        <f t="shared" si="1"/>
        <v>889</v>
      </c>
      <c r="F24" s="10" t="s">
        <v>27</v>
      </c>
      <c r="G24" s="10">
        <f>403+357+520+369+601+404+442+288+87+362+261+279+171+177+412+504+368+618+592+418+824+481+774+751+630+835+889</f>
        <v>12817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0</v>
      </c>
      <c r="D25" s="7">
        <v>28.97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185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190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186</v>
      </c>
      <c r="D32" s="32"/>
      <c r="E32" s="32"/>
      <c r="F32" s="32"/>
      <c r="G32" s="32"/>
      <c r="H32" s="33"/>
      <c r="I32" s="30" t="s">
        <v>47</v>
      </c>
      <c r="J32" s="31" t="s">
        <v>52</v>
      </c>
      <c r="K32" s="28" t="s">
        <v>191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192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193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0+0+12+20+0+0+0+0+0+18+0+0+0+0+0+0+0+0+0+0+0+0+0+0+0+0+0</f>
        <v>50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11.31</v>
      </c>
      <c r="D38" s="10">
        <v>11.43</v>
      </c>
      <c r="E38" s="10">
        <f t="shared" si="2"/>
        <v>22.74</v>
      </c>
      <c r="F38" s="10" t="s">
        <v>27</v>
      </c>
      <c r="G38" s="10">
        <f>12.74+12.68+12.74+12.66+12.69+12.65+12.68+12.65+12.82+12.72+12.7+12.87+12.73+12.86+12.8+12.79+12.67+12.74+21.64+22.71+21.73+22.84+22.74+22.7+22.76+22.58+22.74</f>
        <v>431.63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6</v>
      </c>
      <c r="D39" s="10">
        <v>0</v>
      </c>
      <c r="E39" s="10">
        <f t="shared" si="2"/>
        <v>6</v>
      </c>
      <c r="F39" s="10" t="s">
        <v>27</v>
      </c>
      <c r="G39" s="10">
        <f>17+20+15+10+28+16+18+22+23+15+33+19+20+29+36+33+0+39+22+19+41+27+19+10+26+16+6</f>
        <v>579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17.577</v>
      </c>
      <c r="D40" s="10">
        <v>0</v>
      </c>
      <c r="E40" s="10">
        <f t="shared" si="2"/>
        <v>17.577</v>
      </c>
      <c r="F40" s="10" t="s">
        <v>14</v>
      </c>
      <c r="G40" s="10">
        <f>10.4355+1.6065+14.9715+0+7.5195+6.1695+11.313+0+12.7845+0+5.5755+6.615+12.285+0+11.475+0+10.3005+0+0+22.5585+18.1575+8.4645+10.665+10.4355+11.502+12.6765+17.577</f>
        <v>223.0875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0+0+0+0+0+0+0+0+0+0+0+0+0+0+0+0+0+0+0+0+0+0+0+0+0+0+0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0</v>
      </c>
      <c r="D42" s="10">
        <v>0</v>
      </c>
      <c r="E42" s="10">
        <f t="shared" si="2"/>
        <v>0</v>
      </c>
      <c r="F42" s="10" t="s">
        <v>27</v>
      </c>
      <c r="G42" s="10">
        <f>263+335+279+465+237+293+268+197+387+510+118+34+75+6+137+36+0+0+101+21+210+166+0+0+72+0+0</f>
        <v>4210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513</v>
      </c>
      <c r="D43" s="10">
        <v>512</v>
      </c>
      <c r="E43" s="10">
        <f t="shared" si="2"/>
        <v>1025</v>
      </c>
      <c r="F43" s="10" t="s">
        <v>27</v>
      </c>
      <c r="G43" s="10">
        <f>985+980+990+985+972+980+994+995+1020+1025+1029+1021+1001+1030+1028+1032+1024+1039+988+1035+1036+1034+1048+1040+1022+1026+1025</f>
        <v>27384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0+0+0+0+0+0+0+0+0+0+0+0+0+0+0+0+0+0+0+0+0+0+0+0+0+0+0</f>
        <v>0</v>
      </c>
      <c r="H44" s="24"/>
      <c r="I44" s="7">
        <v>532.5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0+0+0+0+0+0+0+0+0+0+0+0+0+0+0+0+0+0+0+0+0+0+0+0+0+0+0</f>
        <v>0</v>
      </c>
      <c r="H45" s="24"/>
      <c r="I45" s="7">
        <v>132.8958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5</v>
      </c>
      <c r="D46" s="7">
        <v>4</v>
      </c>
      <c r="E46" s="10">
        <f>D46+C46</f>
        <v>9</v>
      </c>
      <c r="F46" s="10" t="s">
        <v>38</v>
      </c>
      <c r="G46" s="10">
        <f>5+5+6+7+8+7+5+5+5+7+7+7+8+5+8+8+7+5+10+9+11+12+16+18+16+14+9</f>
        <v>230</v>
      </c>
      <c r="H46" s="24"/>
      <c r="I46" s="10"/>
      <c r="J46" s="40"/>
      <c r="K46" s="28"/>
      <c r="L46" s="19" t="s">
        <v>69</v>
      </c>
      <c r="M46" s="7">
        <v>10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workbookViewId="0">
      <selection activeCell="G5" sqref="G5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194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4</v>
      </c>
      <c r="D3" s="9">
        <v>6</v>
      </c>
      <c r="E3" s="10">
        <f t="shared" ref="E3:E13" si="0">C3+D3</f>
        <v>10</v>
      </c>
      <c r="F3" s="10" t="s">
        <v>14</v>
      </c>
      <c r="G3" s="10">
        <f>6.5+16+4.5+16+1+12.5+15.5+12+5+5.5+10+4+8.5+4.5+8.5+2.5+12+10.5+4.5+5+15+5.5+15+10+13.5+8.5+5+10</f>
        <v>247</v>
      </c>
      <c r="H3" s="10">
        <v>256</v>
      </c>
      <c r="I3" s="10">
        <f>H3-G3</f>
        <v>9</v>
      </c>
      <c r="J3" s="11"/>
      <c r="K3" s="10"/>
      <c r="L3" s="10"/>
      <c r="M3" s="10">
        <f>I3/2</f>
        <v>4.5</v>
      </c>
    </row>
    <row r="4" s="1" customFormat="1" ht="35" customHeight="1" spans="1:13">
      <c r="A4" s="12">
        <v>2</v>
      </c>
      <c r="B4" s="8" t="s">
        <v>15</v>
      </c>
      <c r="C4" s="9">
        <v>4</v>
      </c>
      <c r="D4" s="9"/>
      <c r="E4" s="10">
        <f t="shared" si="0"/>
        <v>4</v>
      </c>
      <c r="F4" s="10" t="s">
        <v>14</v>
      </c>
      <c r="G4" s="10">
        <f>0+8+16+4+16+0+14+14+12+6+6+10+4+8+4+8+4+12+10+4+6+14+6+16+10+12+10+4</f>
        <v>238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46</v>
      </c>
      <c r="D5" s="10">
        <v>0</v>
      </c>
      <c r="E5" s="10">
        <f t="shared" si="0"/>
        <v>46</v>
      </c>
      <c r="F5" s="10" t="s">
        <v>14</v>
      </c>
      <c r="G5" s="10">
        <f>146+130+171+51+125+166+223+62+155+90+127+67+129+50+113+72+181+111+0+151+62+229+176+161+70+174+104+46</f>
        <v>3342</v>
      </c>
      <c r="H5" s="10">
        <v>3600</v>
      </c>
      <c r="I5" s="10">
        <f>H5-G5-G7-G6</f>
        <v>225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0+0+0+0+0+0+0+0+0+0+0+0+0+0+0+0+0+0+0+0+0+0+0+0+0+0+0+0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1+2+4+1+13+3+0+0+1+0+1+0+0+0+4+0+0+0+0+0+0+1+0+0+0+2+0+0</f>
        <v>33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1</v>
      </c>
      <c r="D8" s="10">
        <v>0</v>
      </c>
      <c r="E8" s="10">
        <f t="shared" si="0"/>
        <v>1</v>
      </c>
      <c r="F8" s="10" t="s">
        <v>14</v>
      </c>
      <c r="G8" s="10">
        <f>0+0+0+0+0+0+0+0+0+0+0+0+0+7+0+0+0+0+0+0+0+1+0+0+0+0+0+1</f>
        <v>9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31.13</v>
      </c>
      <c r="D10" s="13"/>
      <c r="E10" s="10">
        <f t="shared" si="0"/>
        <v>31.13</v>
      </c>
      <c r="F10" s="13" t="s">
        <v>14</v>
      </c>
      <c r="G10" s="10">
        <f>0+0+0+31.2+31.46+62.53+0+0+93.47+93.91+31.7+30.93+0+27.33+31.02+0+0+30.19+31.53+0+0+29.95+30.71+30.81+0+0+0+31.13</f>
        <v>617.87</v>
      </c>
      <c r="H10" s="13">
        <v>4.72</v>
      </c>
      <c r="I10" s="21">
        <f>H10-K11</f>
        <v>-0.680049000000001</v>
      </c>
      <c r="J10" s="19" t="s">
        <v>22</v>
      </c>
      <c r="K10" s="10">
        <v>90</v>
      </c>
      <c r="L10" s="10">
        <v>0.81</v>
      </c>
      <c r="M10" s="20"/>
    </row>
    <row r="11" s="1" customFormat="1" ht="25" customHeight="1" spans="1:13">
      <c r="A11" s="12">
        <v>6</v>
      </c>
      <c r="B11" s="8" t="s">
        <v>23</v>
      </c>
      <c r="C11" s="10">
        <v>3.8475</v>
      </c>
      <c r="D11" s="10">
        <v>0</v>
      </c>
      <c r="E11" s="10">
        <f t="shared" si="0"/>
        <v>3.8475</v>
      </c>
      <c r="F11" s="10" t="s">
        <v>14</v>
      </c>
      <c r="G11" s="10">
        <f>8.343+4.3875+5.6565+4.9815+4.7385+4.509+9.234+6.426+5.292+5.2785+3.8205+3.3345+4.3065+3.726+2.808+2.214+4.05+5.5485+3.888+3.7935+4.968+6.4935+5.13+6.156+7.506+3.7665+5.2785+3.8475</f>
        <v>139.482</v>
      </c>
      <c r="H11" s="10"/>
      <c r="I11" s="22">
        <f>G11/G3</f>
        <v>0.564704453441296</v>
      </c>
      <c r="J11" s="19" t="s">
        <v>24</v>
      </c>
      <c r="K11" s="20">
        <f>0+0+0+0.27144+0.26741+0.537758+0+0+0.84123+0.807626+0.27896+0.265998+0+0.235038+0.269874+0+0+0.27171+0.280617+0+0+0.266555+0.27639+0.27729+0+0+0+0.252153</f>
        <v>5.400049</v>
      </c>
      <c r="L11" s="10"/>
      <c r="M11" s="10">
        <f>C10*L10/100</f>
        <v>0.252153</v>
      </c>
    </row>
    <row r="12" s="1" customFormat="1" ht="25" customHeight="1" spans="1:13">
      <c r="A12" s="12">
        <v>7</v>
      </c>
      <c r="B12" s="8" t="s">
        <v>25</v>
      </c>
      <c r="C12" s="10">
        <v>8.5928</v>
      </c>
      <c r="D12" s="10">
        <v>0</v>
      </c>
      <c r="E12" s="10">
        <f t="shared" si="0"/>
        <v>8.5928</v>
      </c>
      <c r="F12" s="10" t="s">
        <v>14</v>
      </c>
      <c r="G12" s="10">
        <f>9.7888+8.9608+16.3208+8.188+5.52+7.4336+11.5552+12.604+12.9536+6.716+4.2136+6.2376+10.212+3.2384+11.132+0+8.9792+9.4576+9.1264+4.048+10.0832+12.1992+7.5256+9.108+13.6344+10.3408+7.4888+8.5928</f>
        <v>245.6584</v>
      </c>
      <c r="H12" s="10"/>
      <c r="I12" s="22">
        <f>G12/G3</f>
        <v>0.994568421052631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294</v>
      </c>
      <c r="D13" s="10">
        <v>8</v>
      </c>
      <c r="E13" s="10">
        <f t="shared" si="0"/>
        <v>302</v>
      </c>
      <c r="F13" s="10" t="s">
        <v>27</v>
      </c>
      <c r="G13" s="10">
        <f>203.4+427+259+315+111+439+458+304+389+44+474+12+421+18+362+9+412+436+12+182+332+317+408+382+343+378+86+302</f>
        <v>7835.4</v>
      </c>
      <c r="H13" s="10">
        <f>G13*1.05</f>
        <v>8227.17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224</v>
      </c>
      <c r="D14" s="10">
        <v>57</v>
      </c>
      <c r="E14" s="10">
        <f t="shared" ref="E14:E24" si="1">D14+C14</f>
        <v>281</v>
      </c>
      <c r="F14" s="10" t="s">
        <v>27</v>
      </c>
      <c r="G14" s="10">
        <f>194+482+152+374+40+430+460+290+230+94+390+117+288+100+233+91+384+348+121+158+389+235+430+292+383+288+157+281</f>
        <v>7431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316.07</v>
      </c>
      <c r="D15" s="10">
        <v>0</v>
      </c>
      <c r="E15" s="10">
        <f t="shared" si="1"/>
        <v>316.07</v>
      </c>
      <c r="F15" s="10" t="s">
        <v>27</v>
      </c>
      <c r="G15" s="10">
        <f>1051.94+1011.04+795.49+543.9+807.96+742.7+812+543.06+526.23+781.93+406.11+655.94+322.41+543.81+550.55+719.63+795.73+378.44+135.72+609.67+746.76+762.48+726.27+917.92+833.35+405.01+624+316.07</f>
        <v>18066.12</v>
      </c>
      <c r="H15" s="10"/>
      <c r="I15" s="22"/>
      <c r="J15" s="19" t="s">
        <v>30</v>
      </c>
      <c r="K15" s="10">
        <v>2.73</v>
      </c>
      <c r="L15" s="10">
        <v>0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15</v>
      </c>
      <c r="D16" s="10">
        <v>6</v>
      </c>
      <c r="E16" s="10">
        <f t="shared" si="1"/>
        <v>21</v>
      </c>
      <c r="F16" s="10" t="s">
        <v>14</v>
      </c>
      <c r="G16" s="10">
        <f>18+33+12+30+3+30+36+21+15+9+27+9+24+6+18+6+27+24+9+12+30+15+33+21+30+18+9+21</f>
        <v>546</v>
      </c>
      <c r="H16" s="10"/>
      <c r="I16" s="22">
        <f>G16/G3</f>
        <v>2.21052631578947</v>
      </c>
      <c r="J16" s="19" t="s">
        <v>32</v>
      </c>
      <c r="K16" s="20">
        <f>3.1308178+2.8699152+2.220183+1.4538464+2.0633116+2.064706+2.1593316+1.47515+1.4789079+1.9842568+1.0469972+1.6107242+0.7824764+1.3334781+1.3439309+1.7491784+2.028952+1.0708182+0.3637696+1.6913342+2.0365699+2.2450563+2.1240066+2.6806112+2.1709208+1.0898544+1.665204+0.8628711</f>
        <v>48.7971798</v>
      </c>
      <c r="L16" s="10"/>
      <c r="M16" s="10">
        <f>(C15*K15+L15*D15)/1000</f>
        <v>0.8628711</v>
      </c>
    </row>
    <row r="17" s="1" customFormat="1" ht="25" customHeight="1" spans="1:13">
      <c r="A17" s="12">
        <v>12</v>
      </c>
      <c r="B17" s="8" t="s">
        <v>33</v>
      </c>
      <c r="C17" s="7">
        <v>0.0875</v>
      </c>
      <c r="D17" s="7">
        <v>0</v>
      </c>
      <c r="E17" s="10">
        <f t="shared" si="1"/>
        <v>0.0875</v>
      </c>
      <c r="F17" s="10" t="s">
        <v>14</v>
      </c>
      <c r="G17" s="10">
        <f>0+0+0.125+0+0.075+0+0+0.075+0.125+0+0+0+0.0875+0+0.0875+0+0+0+0+0+0+0+0+0.15+0+0+0.075+0.0875</f>
        <v>0.8875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0+0+0+0+0+0+0+0+0+0+0+0+0+0+0+0+0+0+0+0+0+0+0+0+0+0+0+0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2</v>
      </c>
      <c r="D19" s="7">
        <v>0</v>
      </c>
      <c r="E19" s="10">
        <f t="shared" si="1"/>
        <v>2</v>
      </c>
      <c r="F19" s="10" t="s">
        <v>14</v>
      </c>
      <c r="G19" s="10">
        <f>0+2+0+2+0+2+0+2+0+0+0+2+0+0+2+0+0+2+0+0+2+0+2+0+2+0+0+2</f>
        <v>22</v>
      </c>
      <c r="H19" s="24"/>
      <c r="I19" s="22">
        <f>G19/G3</f>
        <v>0.0890688259109312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2</v>
      </c>
      <c r="D20" s="7">
        <v>0</v>
      </c>
      <c r="E20" s="10">
        <f t="shared" si="1"/>
        <v>2</v>
      </c>
      <c r="F20" s="10" t="s">
        <v>14</v>
      </c>
      <c r="G20" s="10">
        <f>0+2+0+2+0+2+0+2+0+0+0+2+0+0+2+0+0+2+0+0+2+0+2+0+2+0+0+2</f>
        <v>22</v>
      </c>
      <c r="H20" s="24"/>
      <c r="I20" s="22">
        <f>G20/G3</f>
        <v>0.0890688259109312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2</v>
      </c>
      <c r="D21" s="7">
        <v>1</v>
      </c>
      <c r="E21" s="10">
        <f t="shared" si="1"/>
        <v>3</v>
      </c>
      <c r="F21" s="10" t="s">
        <v>38</v>
      </c>
      <c r="G21" s="10">
        <f>9+7+6+0+9+5+3+9+3+1+3+8+0+4+9+0+1+2+8+2+5+4+7+7+8+2+1+3</f>
        <v>126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308</v>
      </c>
      <c r="D22" s="7">
        <v>101</v>
      </c>
      <c r="E22" s="10">
        <f t="shared" si="1"/>
        <v>409</v>
      </c>
      <c r="F22" s="10" t="s">
        <v>27</v>
      </c>
      <c r="G22" s="10">
        <f>1104+849+1313+485+1053+1404+1362+598+991+862+1020+758+817+603+810+687+1448+818+169+1178+761+1407+1240+1195+791+1002+869+409</f>
        <v>26003</v>
      </c>
      <c r="H22" s="26"/>
      <c r="I22" s="22">
        <f>E22/M22</f>
        <v>102.25</v>
      </c>
      <c r="J22" s="19" t="s">
        <v>40</v>
      </c>
      <c r="K22" s="10">
        <f>19+13+23+6.5+17.5+24+24+9.5+18+14.5+16+11+12.5+9+13+11.5+24+13.5+0+20+12+24+24+24+12.5+17+14+4</f>
        <v>431</v>
      </c>
      <c r="L22" s="10">
        <f>G22/K22</f>
        <v>60.3317865429234</v>
      </c>
      <c r="M22" s="10">
        <v>4</v>
      </c>
    </row>
    <row r="23" s="1" customFormat="1" ht="25" customHeight="1" spans="1:13">
      <c r="A23" s="12">
        <v>18</v>
      </c>
      <c r="B23" s="8" t="s">
        <v>41</v>
      </c>
      <c r="C23" s="7">
        <v>446</v>
      </c>
      <c r="D23" s="7">
        <v>63</v>
      </c>
      <c r="E23" s="10">
        <f t="shared" si="1"/>
        <v>509</v>
      </c>
      <c r="F23" s="10" t="s">
        <v>27</v>
      </c>
      <c r="G23" s="10">
        <f>1232+1135+1443+592+1010+1680+1758+814+1199+766+1182+649+985+607+997+642+1674+935+153+1256+880+1556+1450+1357+994+1189+928+509</f>
        <v>29572</v>
      </c>
      <c r="H23" s="24"/>
      <c r="I23" s="22">
        <f>E23/M22</f>
        <v>127.25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16</v>
      </c>
      <c r="D24" s="7">
        <v>428</v>
      </c>
      <c r="E24" s="10">
        <f t="shared" si="1"/>
        <v>444</v>
      </c>
      <c r="F24" s="10" t="s">
        <v>27</v>
      </c>
      <c r="G24" s="10">
        <f>403+357+520+369+601+404+442+288+87+362+261+279+171+177+412+504+368+618+592+418+824+481+774+751+630+835+889+444</f>
        <v>13261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33.3</v>
      </c>
      <c r="D25" s="7">
        <v>0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190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195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191</v>
      </c>
      <c r="D32" s="32"/>
      <c r="E32" s="32"/>
      <c r="F32" s="32"/>
      <c r="G32" s="32"/>
      <c r="H32" s="33"/>
      <c r="I32" s="30" t="s">
        <v>47</v>
      </c>
      <c r="J32" s="31" t="s">
        <v>52</v>
      </c>
      <c r="K32" s="28" t="s">
        <v>196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197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198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24</v>
      </c>
      <c r="D37" s="10">
        <v>0</v>
      </c>
      <c r="E37" s="10">
        <f t="shared" ref="E37:E43" si="2">D37+C37</f>
        <v>24</v>
      </c>
      <c r="F37" s="10" t="s">
        <v>27</v>
      </c>
      <c r="G37" s="10">
        <f>0+0+12+20+0+0+0+0+0+18+0+0+0+0+0+0+0+0+0+0+0+0+0+0+0+0+0+24</f>
        <v>74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11.35</v>
      </c>
      <c r="D38" s="10">
        <v>11.45</v>
      </c>
      <c r="E38" s="10">
        <f t="shared" si="2"/>
        <v>22.8</v>
      </c>
      <c r="F38" s="10" t="s">
        <v>27</v>
      </c>
      <c r="G38" s="10">
        <f>12.74+12.68+12.74+12.66+12.69+12.65+12.68+12.65+12.82+12.72+12.7+12.87+12.73+12.86+12.8+12.79+12.67+12.74+21.64+22.71+21.73+22.84+22.74+22.7+22.76+22.58+22.74+22.8</f>
        <v>454.43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7</v>
      </c>
      <c r="D39" s="10">
        <v>0</v>
      </c>
      <c r="E39" s="10">
        <f t="shared" si="2"/>
        <v>7</v>
      </c>
      <c r="F39" s="10" t="s">
        <v>27</v>
      </c>
      <c r="G39" s="10">
        <f>17+20+15+10+28+16+18+22+23+15+33+19+20+29+36+33+0+39+22+19+41+27+19+10+26+16+6+7</f>
        <v>586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11.637</v>
      </c>
      <c r="D40" s="10">
        <v>0</v>
      </c>
      <c r="E40" s="10">
        <f t="shared" si="2"/>
        <v>11.637</v>
      </c>
      <c r="F40" s="10" t="s">
        <v>14</v>
      </c>
      <c r="G40" s="10">
        <f>10.4355+1.6065+14.9715+0+7.5195+6.1695+11.313+0+12.7845+0+5.5755+6.615+12.285+0+11.475+0+10.3005+0+0+22.5585+18.1575+8.4645+10.665+10.4355+11.502+12.6765+17.577+11.637</f>
        <v>234.7245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0+0+0+0+0+0+0+0+0+0+0+0+0+0+0+0+0+0+0+0+0+0+0+0+0+0+0+0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0</v>
      </c>
      <c r="D42" s="10">
        <v>232</v>
      </c>
      <c r="E42" s="10">
        <f t="shared" si="2"/>
        <v>232</v>
      </c>
      <c r="F42" s="10" t="s">
        <v>27</v>
      </c>
      <c r="G42" s="10">
        <f>263+335+279+465+237+293+268+197+387+510+118+34+75+6+137+36+0+0+101+21+210+166+0+0+72+0+0+232</f>
        <v>4442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95</v>
      </c>
      <c r="D43" s="10">
        <v>460</v>
      </c>
      <c r="E43" s="10">
        <f t="shared" si="2"/>
        <v>555</v>
      </c>
      <c r="F43" s="10" t="s">
        <v>27</v>
      </c>
      <c r="G43" s="10">
        <f>985+980+990+985+972+980+994+995+1020+1025+1029+1021+1001+1030+1028+1032+1024+1039+988+1035+1036+1034+1048+1040+1022+1026+1025+555</f>
        <v>27939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0+0+0+0+0+0+0+0+0+0+0+0+0+0+0+0+0+0+0+0+0+0+0+0+0+0+0+0</f>
        <v>0</v>
      </c>
      <c r="H44" s="24"/>
      <c r="I44" s="7">
        <v>562.5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0+0+0+0+0+0+0+0+0+0+0+0+0+0+0+0+0+0+0+0+0+0+0+0+0+0+0+0</f>
        <v>0</v>
      </c>
      <c r="H45" s="24"/>
      <c r="I45" s="7">
        <v>157.2166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8</v>
      </c>
      <c r="D46" s="7">
        <v>4</v>
      </c>
      <c r="E46" s="10">
        <f>D46+C46</f>
        <v>12</v>
      </c>
      <c r="F46" s="10" t="s">
        <v>38</v>
      </c>
      <c r="G46" s="10">
        <f>5+5+6+7+8+7+5+5+5+7+7+7+8+5+8+8+7+5+10+9+11+12+16+18+16+14+9+12</f>
        <v>242</v>
      </c>
      <c r="H46" s="24"/>
      <c r="I46" s="10"/>
      <c r="J46" s="40"/>
      <c r="K46" s="28"/>
      <c r="L46" s="19" t="s">
        <v>69</v>
      </c>
      <c r="M46" s="7">
        <v>4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zoomScale="85" zoomScaleNormal="85" topLeftCell="A17" workbookViewId="0">
      <selection activeCell="K22" sqref="K22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199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0</v>
      </c>
      <c r="D3" s="9">
        <v>0</v>
      </c>
      <c r="E3" s="10">
        <f t="shared" ref="E3:E13" si="0">C3+D3</f>
        <v>0</v>
      </c>
      <c r="F3" s="10" t="s">
        <v>14</v>
      </c>
      <c r="G3" s="10">
        <f>6.5+16+4.5+16+1+12.5+15.5+12+5+5.5+10+4+8.5+4.5+8.5+2.5+12+10.5+4.5+5+15+5.5+15+10+13.5+8.5+5+10+0</f>
        <v>247</v>
      </c>
      <c r="H3" s="10">
        <v>256</v>
      </c>
      <c r="I3" s="10">
        <f>H3-G3</f>
        <v>9</v>
      </c>
      <c r="J3" s="11"/>
      <c r="K3" s="10"/>
      <c r="L3" s="10"/>
      <c r="M3" s="10">
        <f>I3/1</f>
        <v>9</v>
      </c>
    </row>
    <row r="4" s="1" customFormat="1" ht="35" customHeight="1" spans="1:13">
      <c r="A4" s="12">
        <v>2</v>
      </c>
      <c r="B4" s="8" t="s">
        <v>15</v>
      </c>
      <c r="C4" s="9">
        <v>10</v>
      </c>
      <c r="D4" s="9"/>
      <c r="E4" s="10">
        <f t="shared" si="0"/>
        <v>10</v>
      </c>
      <c r="F4" s="10" t="s">
        <v>14</v>
      </c>
      <c r="G4" s="10">
        <f>0+8+16+4+16+0+14+14+12+6+6+10+4+8+4+8+4+12+10+4+6+14+6+16+10+12+10+4+10</f>
        <v>248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0</v>
      </c>
      <c r="D5" s="10">
        <v>107</v>
      </c>
      <c r="E5" s="10">
        <f t="shared" si="0"/>
        <v>107</v>
      </c>
      <c r="F5" s="10" t="s">
        <v>14</v>
      </c>
      <c r="G5" s="10">
        <f>146+130+171+51+125+166+223+62+155+90+127+67+129+50+113+72+181+111+0+151+62+229+176+161+70+174+104+46+107</f>
        <v>3449</v>
      </c>
      <c r="H5" s="10">
        <v>3600</v>
      </c>
      <c r="I5" s="10">
        <f>H5-G5-G7-G6</f>
        <v>118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0+0+0+0+0+0+0+0+0+0+0+0+0+0+0+0+0+0+0+0+0+0+0+0+0+0+0+0+0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1+2+4+1+13+3+0+0+1+0+1+0+0+0+4+0+0+0+0+0+0+1+0+0+0+2+0+0+0</f>
        <v>33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0+0+0+0+0+0+0+0+0+0+0+0+0+7+0+0+0+0+0+0+0+1+0+0+0+0+0+1+0</f>
        <v>9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62.75</v>
      </c>
      <c r="D10" s="13"/>
      <c r="E10" s="10">
        <f t="shared" si="0"/>
        <v>62.75</v>
      </c>
      <c r="F10" s="13" t="s">
        <v>14</v>
      </c>
      <c r="G10" s="10">
        <f>0+0+0+31.2+31.46+62.53+0+0+93.47+93.91+31.7+30.93+0+27.33+31.02+0+0+30.19+31.53+0+0+29.95+30.71+30.81+0+0+0+31.13+62.75</f>
        <v>680.62</v>
      </c>
      <c r="H10" s="13">
        <v>4.72</v>
      </c>
      <c r="I10" s="21">
        <f>H10-K11</f>
        <v>-1.213424</v>
      </c>
      <c r="J10" s="19" t="s">
        <v>22</v>
      </c>
      <c r="K10" s="10">
        <v>90</v>
      </c>
      <c r="L10" s="10">
        <v>0.85</v>
      </c>
      <c r="M10" s="20"/>
    </row>
    <row r="11" s="1" customFormat="1" ht="25" customHeight="1" spans="1:13">
      <c r="A11" s="12">
        <v>6</v>
      </c>
      <c r="B11" s="8" t="s">
        <v>23</v>
      </c>
      <c r="C11" s="10">
        <v>2.997</v>
      </c>
      <c r="D11" s="10">
        <v>0</v>
      </c>
      <c r="E11" s="10">
        <f t="shared" si="0"/>
        <v>2.997</v>
      </c>
      <c r="F11" s="10" t="s">
        <v>14</v>
      </c>
      <c r="G11" s="10">
        <f>8.343+4.3875+5.6565+4.9815+4.7385+4.509+9.234+6.426+5.292+5.2785+3.8205+3.3345+4.3065+3.726+2.808+2.214+4.05+5.5485+3.888+3.7935+4.968+6.4935+5.13+6.156+7.506+3.7665+5.2785+3.8475+2.997</f>
        <v>142.479</v>
      </c>
      <c r="H11" s="10"/>
      <c r="I11" s="22">
        <f>G11/G3</f>
        <v>0.576838056680162</v>
      </c>
      <c r="J11" s="19" t="s">
        <v>24</v>
      </c>
      <c r="K11" s="20">
        <f>0+0+0+0.27144+0.26741+0.537758+0+0+0.84123+0.807626+0.27896+0.265998+0+0.235038+0.269874+0+0+0.27171+0.280617+0+0+0.266555+0.27639+0.27729+0+0+0+0.252153+0.533375</f>
        <v>5.933424</v>
      </c>
      <c r="L11" s="10"/>
      <c r="M11" s="10">
        <f>C10*L10/100</f>
        <v>0.533375</v>
      </c>
    </row>
    <row r="12" s="1" customFormat="1" ht="25" customHeight="1" spans="1:13">
      <c r="A12" s="12">
        <v>7</v>
      </c>
      <c r="B12" s="8" t="s">
        <v>25</v>
      </c>
      <c r="C12" s="10">
        <v>3.8456</v>
      </c>
      <c r="D12" s="10">
        <v>0</v>
      </c>
      <c r="E12" s="10">
        <f t="shared" si="0"/>
        <v>3.8456</v>
      </c>
      <c r="F12" s="10" t="s">
        <v>14</v>
      </c>
      <c r="G12" s="10">
        <f>9.7888+8.9608+16.3208+8.188+5.52+7.4336+11.5552+12.604+12.9536+6.716+4.2136+6.2376+10.212+3.2384+11.132+0+8.9792+9.4576+9.1264+4.048+10.0832+12.1992+7.5256+9.108+13.6344+10.3408+7.4888+8.5928+3.8456</f>
        <v>249.504</v>
      </c>
      <c r="H12" s="10"/>
      <c r="I12" s="22">
        <f>G12/G3</f>
        <v>1.01013765182186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6</v>
      </c>
      <c r="D13" s="10">
        <v>58</v>
      </c>
      <c r="E13" s="10">
        <f t="shared" si="0"/>
        <v>64</v>
      </c>
      <c r="F13" s="10" t="s">
        <v>27</v>
      </c>
      <c r="G13" s="10">
        <f>203.4+427+259+315+111+439+458+304+389+44+474+12+421+18+362+9+412+436+12+182+332+317+408+382+343+378+86+302+64</f>
        <v>7899.4</v>
      </c>
      <c r="H13" s="10">
        <f>G13*1.05</f>
        <v>8294.37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0</v>
      </c>
      <c r="D14" s="10">
        <v>0</v>
      </c>
      <c r="E14" s="10">
        <f t="shared" ref="E14:E24" si="1">D14+C14</f>
        <v>0</v>
      </c>
      <c r="F14" s="10" t="s">
        <v>27</v>
      </c>
      <c r="G14" s="10">
        <f>194+482+152+374+40+430+460+290+230+94+390+117+288+100+233+91+384+348+121+158+389+235+430+292+383+288+157+281+0</f>
        <v>7431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185.49</v>
      </c>
      <c r="D15" s="10">
        <v>335.21</v>
      </c>
      <c r="E15" s="10">
        <f t="shared" si="1"/>
        <v>520.7</v>
      </c>
      <c r="F15" s="10" t="s">
        <v>27</v>
      </c>
      <c r="G15" s="10">
        <f>1051.94+1011.04+795.49+543.9+807.96+742.7+812+543.06+526.23+781.93+406.11+655.94+322.41+543.81+550.55+719.63+795.73+378.44+135.72+609.67+746.76+762.48+726.27+917.92+833.35+405.01+624+316.07+520.7</f>
        <v>18586.82</v>
      </c>
      <c r="H15" s="10"/>
      <c r="I15" s="22"/>
      <c r="J15" s="19" t="s">
        <v>30</v>
      </c>
      <c r="K15" s="10">
        <v>2.37</v>
      </c>
      <c r="L15" s="10">
        <v>2.31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0</v>
      </c>
      <c r="D16" s="10">
        <v>0</v>
      </c>
      <c r="E16" s="10">
        <f t="shared" si="1"/>
        <v>0</v>
      </c>
      <c r="F16" s="10" t="s">
        <v>14</v>
      </c>
      <c r="G16" s="10">
        <f>18+33+12+30+3+30+36+21+15+9+27+9+24+6+18+6+27+24+9+12+30+15+33+21+30+18+9+21+0</f>
        <v>546</v>
      </c>
      <c r="H16" s="10"/>
      <c r="I16" s="22">
        <f>G16/G3</f>
        <v>2.21052631578947</v>
      </c>
      <c r="J16" s="19" t="s">
        <v>32</v>
      </c>
      <c r="K16" s="20">
        <f>3.1308178+2.8699152+2.220183+1.4538464+2.0633116+2.064706+2.1593316+1.47515+1.4789079+1.9842568+1.0469972+1.6107242+0.7824764+1.3334781+1.3439309+1.7491784+2.028952+1.0708182+0.3637696+1.6913342+2.0365699+2.2450563+2.1240066+2.6806112+2.1709208+1.0898544+1.665204+0.8628711+1.2139464</f>
        <v>50.0111262</v>
      </c>
      <c r="L16" s="10"/>
      <c r="M16" s="10">
        <f>(C15*K15+L15*D15)/1000</f>
        <v>1.2139464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0+0+0.125+0+0.075+0+0+0.075+0.125+0+0+0+0.0875+0+0.0875+0+0+0+0+0+0+0+0+0.15+0+0+0.075+0.0875+0</f>
        <v>0.8875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0+0+0+0+0+0+0+0+0+0+0+0+0+0+0+0+0+0+0+0+0+0+0+0+0+0+0+0+0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0+2+0+2+0+2+0+2+0+0+0+2+0+0+2+0+0+2+0+0+2+0+2+0+2+0+0+2+0</f>
        <v>22</v>
      </c>
      <c r="H19" s="24"/>
      <c r="I19" s="22">
        <f>G19/G3</f>
        <v>0.0890688259109312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0+2+0+2+0+2+0+2+0+0+0+2+0+0+2+0+0+2+0+0+2+0+2+0+2+0+0+2+0</f>
        <v>22</v>
      </c>
      <c r="H20" s="24"/>
      <c r="I20" s="22">
        <f>G20/G3</f>
        <v>0.0890688259109312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2</v>
      </c>
      <c r="D21" s="7">
        <v>0</v>
      </c>
      <c r="E21" s="10">
        <f t="shared" si="1"/>
        <v>2</v>
      </c>
      <c r="F21" s="10" t="s">
        <v>38</v>
      </c>
      <c r="G21" s="10">
        <f>9+7+6+0+9+5+3+9+3+1+3+8+0+4+9+0+1+2+8+2+5+4+7+7+8+2+1+3+2</f>
        <v>128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282</v>
      </c>
      <c r="D22" s="7">
        <v>682</v>
      </c>
      <c r="E22" s="10">
        <f t="shared" si="1"/>
        <v>964</v>
      </c>
      <c r="F22" s="10" t="s">
        <v>27</v>
      </c>
      <c r="G22" s="10">
        <f>1104+849+1313+485+1053+1404+1362+598+991+862+1020+758+817+603+810+687+1448+818+169+1178+761+1407+1240+1195+791+1002+869+409+964</f>
        <v>26967</v>
      </c>
      <c r="H22" s="26"/>
      <c r="I22" s="22">
        <f>E22/M22</f>
        <v>58.4242424242424</v>
      </c>
      <c r="J22" s="19" t="s">
        <v>40</v>
      </c>
      <c r="K22" s="10">
        <f>19+13+23+6.5+17.5+24+24+9.5+18+14.5+16+11+12.5+9+13+11.5+24+13.5+0+20+12+24+24+24+12.5+17+14+4+16.5</f>
        <v>447.5</v>
      </c>
      <c r="L22" s="10">
        <f>G22/K22</f>
        <v>60.2614525139665</v>
      </c>
      <c r="M22" s="10">
        <v>16.5</v>
      </c>
    </row>
    <row r="23" s="1" customFormat="1" ht="25" customHeight="1" spans="1:13">
      <c r="A23" s="12">
        <v>18</v>
      </c>
      <c r="B23" s="8" t="s">
        <v>41</v>
      </c>
      <c r="C23" s="7">
        <v>216</v>
      </c>
      <c r="D23" s="7">
        <v>621</v>
      </c>
      <c r="E23" s="10">
        <f t="shared" si="1"/>
        <v>837</v>
      </c>
      <c r="F23" s="10" t="s">
        <v>27</v>
      </c>
      <c r="G23" s="10">
        <f>1232+1135+1443+592+1010+1680+1758+814+1199+766+1182+649+985+607+997+642+1674+935+153+1256+880+1556+1450+1357+994+1189+928+509+837</f>
        <v>30409</v>
      </c>
      <c r="H23" s="24"/>
      <c r="I23" s="22">
        <f>E23/M22</f>
        <v>50.7272727272727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301</v>
      </c>
      <c r="D24" s="7">
        <v>10</v>
      </c>
      <c r="E24" s="10">
        <f t="shared" si="1"/>
        <v>311</v>
      </c>
      <c r="F24" s="10" t="s">
        <v>27</v>
      </c>
      <c r="G24" s="10">
        <f>403+357+520+369+601+404+442+288+87+362+261+279+171+177+412+504+368+618+592+418+824+481+774+751+630+835+889+444+311</f>
        <v>13572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0</v>
      </c>
      <c r="D25" s="7">
        <v>31.57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195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200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196</v>
      </c>
      <c r="D32" s="32"/>
      <c r="E32" s="32"/>
      <c r="F32" s="32"/>
      <c r="G32" s="32"/>
      <c r="H32" s="33"/>
      <c r="I32" s="30" t="s">
        <v>47</v>
      </c>
      <c r="J32" s="31" t="s">
        <v>52</v>
      </c>
      <c r="K32" s="28" t="s">
        <v>201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202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203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0+0+12+20+0+0+0+0+0+18+0+0+0+0+0+0+0+0+0+0+0+0+0+0+0+0+0+24+0</f>
        <v>74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11.25</v>
      </c>
      <c r="D38" s="10">
        <v>11.3</v>
      </c>
      <c r="E38" s="10">
        <f t="shared" si="2"/>
        <v>22.55</v>
      </c>
      <c r="F38" s="10" t="s">
        <v>27</v>
      </c>
      <c r="G38" s="10">
        <f>12.74+12.68+12.74+12.66+12.69+12.65+12.68+12.65+12.82+12.72+12.7+12.87+12.73+12.86+12.8+12.79+12.67+12.74+21.64+22.71+21.73+22.84+22.74+22.7+22.76+22.58+22.74+22.8+22.55</f>
        <v>476.98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31</v>
      </c>
      <c r="D39" s="10">
        <v>0</v>
      </c>
      <c r="E39" s="10">
        <f t="shared" si="2"/>
        <v>31</v>
      </c>
      <c r="F39" s="10" t="s">
        <v>27</v>
      </c>
      <c r="G39" s="10">
        <f>17+20+15+10+28+16+18+22+23+15+33+19+20+29+36+33+0+39+22+19+41+27+19+10+26+16+6+7+31</f>
        <v>617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8.883</v>
      </c>
      <c r="D40" s="10">
        <v>0</v>
      </c>
      <c r="E40" s="10">
        <f t="shared" si="2"/>
        <v>8.883</v>
      </c>
      <c r="F40" s="10" t="s">
        <v>14</v>
      </c>
      <c r="G40" s="10">
        <f>10.4355+1.6065+14.9715+0+7.5195+6.1695+11.313+0+12.7845+0+5.5755+6.615+12.285+0+11.475+0+10.3005+0+0+22.5585+18.1575+8.4645+10.665+10.4355+11.502+12.6765+17.577+11.637+8.883</f>
        <v>243.6075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0+0+0+0+0+0+0+0+0+0+0+0+0+0+0+0+0+0+0+0+0+0+0+0+0+0+0+0+0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75</v>
      </c>
      <c r="D42" s="10">
        <v>64</v>
      </c>
      <c r="E42" s="10">
        <f t="shared" si="2"/>
        <v>139</v>
      </c>
      <c r="F42" s="10" t="s">
        <v>27</v>
      </c>
      <c r="G42" s="10">
        <f>263+335+279+465+237+293+268+197+387+510+118+34+75+6+137+36+0+0+101+21+210+166+0+0+72+0+0+232+139</f>
        <v>4581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471</v>
      </c>
      <c r="D43" s="10">
        <v>506</v>
      </c>
      <c r="E43" s="10">
        <f t="shared" si="2"/>
        <v>977</v>
      </c>
      <c r="F43" s="10" t="s">
        <v>27</v>
      </c>
      <c r="G43" s="10">
        <f>985+980+990+985+972+980+994+995+1020+1025+1029+1021+1001+1030+1028+1032+1024+1039+988+1035+1036+1034+1048+1040+1022+1026+1025+555+977</f>
        <v>28916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0+0+0+0+0+0+0+0+0+0+0+0+0+0+0+0+0+0+0+0+0+0+0+0+0+0+0+0+0</f>
        <v>0</v>
      </c>
      <c r="H44" s="24"/>
      <c r="I44" s="7">
        <v>397.5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0+0+0+0+0+0+0+0+0+0+0+0+0+0+0+0+0+0+0+0+0+0+0+0+0+0+0+0+0</f>
        <v>0</v>
      </c>
      <c r="H45" s="24"/>
      <c r="I45" s="7">
        <v>163.2968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7</v>
      </c>
      <c r="D46" s="7">
        <v>4</v>
      </c>
      <c r="E46" s="10">
        <f>D46+C46</f>
        <v>11</v>
      </c>
      <c r="F46" s="10" t="s">
        <v>38</v>
      </c>
      <c r="G46" s="10">
        <f>5+5+6+7+8+7+5+5+5+7+7+7+8+5+8+8+7+5+10+9+11+12+16+18+16+14+9+12+11</f>
        <v>253</v>
      </c>
      <c r="H46" s="24"/>
      <c r="I46" s="10"/>
      <c r="J46" s="40"/>
      <c r="K46" s="28"/>
      <c r="L46" s="19" t="s">
        <v>69</v>
      </c>
      <c r="M46" s="7">
        <v>16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tabSelected="1" zoomScale="85" zoomScaleNormal="85" workbookViewId="0">
      <selection activeCell="M11" sqref="M1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0.375" style="2" customWidth="1"/>
    <col min="15" max="16384" width="9" style="2" customWidth="1"/>
  </cols>
  <sheetData>
    <row r="1" s="1" customFormat="1" ht="45" customHeight="1" spans="1:13">
      <c r="A1" s="5" t="s">
        <v>204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5" customHeight="1" spans="1:13">
      <c r="A3" s="7">
        <v>1</v>
      </c>
      <c r="B3" s="8" t="s">
        <v>13</v>
      </c>
      <c r="C3" s="9">
        <v>5.5</v>
      </c>
      <c r="D3" s="9">
        <v>3</v>
      </c>
      <c r="E3" s="10">
        <f t="shared" ref="E3:E13" si="0">C3+D3</f>
        <v>8.5</v>
      </c>
      <c r="F3" s="10" t="s">
        <v>14</v>
      </c>
      <c r="G3" s="10">
        <f>6.5+16+4.5+16+1+12.5+15.5+12+5+5.5+10+4+8.5+4.5+8.5+2.5+12+10.5+4.5+5+15+5.5+15+10+13.5+8.5+5+10+0+8.5</f>
        <v>255.5</v>
      </c>
      <c r="H3" s="10">
        <v>256</v>
      </c>
      <c r="I3" s="10">
        <f>H3-G3</f>
        <v>0.5</v>
      </c>
      <c r="J3" s="11"/>
      <c r="K3" s="10"/>
      <c r="L3" s="10"/>
      <c r="M3" s="10">
        <f>I3/1</f>
        <v>0.5</v>
      </c>
    </row>
    <row r="4" s="1" customFormat="1" ht="35" customHeight="1" spans="1:13">
      <c r="A4" s="12">
        <v>2</v>
      </c>
      <c r="B4" s="8" t="s">
        <v>15</v>
      </c>
      <c r="C4" s="9">
        <v>8</v>
      </c>
      <c r="D4" s="9"/>
      <c r="E4" s="10">
        <f t="shared" si="0"/>
        <v>8</v>
      </c>
      <c r="F4" s="10" t="s">
        <v>14</v>
      </c>
      <c r="G4" s="10">
        <f>0+8+16+4+16+0+14+14+12+6+6+10+4+8+4+8+4+12+10+4+6+14+6+16+10+12+10+4+10+8</f>
        <v>256</v>
      </c>
      <c r="H4" s="13"/>
      <c r="I4" s="13"/>
      <c r="J4" s="11"/>
      <c r="K4" s="10"/>
      <c r="L4" s="10"/>
      <c r="M4" s="10"/>
    </row>
    <row r="5" s="1" customFormat="1" ht="35" customHeight="1" spans="1:13">
      <c r="A5" s="12">
        <v>3</v>
      </c>
      <c r="B5" s="8" t="s">
        <v>16</v>
      </c>
      <c r="C5" s="10">
        <v>9</v>
      </c>
      <c r="D5" s="10">
        <v>0</v>
      </c>
      <c r="E5" s="10">
        <f t="shared" si="0"/>
        <v>9</v>
      </c>
      <c r="F5" s="10" t="s">
        <v>14</v>
      </c>
      <c r="G5" s="10">
        <f>146+130+171+51+125+166+223+62+155+90+127+67+129+50+113+72+181+111+0+151+62+229+176+161+70+174+104+46+107+9</f>
        <v>3458</v>
      </c>
      <c r="H5" s="10">
        <v>3600</v>
      </c>
      <c r="I5" s="10">
        <f>H5-G5-G7-G6</f>
        <v>109</v>
      </c>
      <c r="J5" s="14"/>
      <c r="K5" s="10"/>
      <c r="L5" s="10"/>
      <c r="M5" s="10"/>
    </row>
    <row r="6" s="1" customFormat="1" ht="3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0+0+0+0+0+0+0+0+0+0+0+0+0+0+0+0+0+0+0+0+0+0+0+0+0+0+0+0+0+0</f>
        <v>0</v>
      </c>
      <c r="H6" s="15"/>
      <c r="I6" s="15"/>
      <c r="J6" s="11"/>
      <c r="K6" s="10"/>
      <c r="L6" s="10"/>
      <c r="M6" s="16"/>
    </row>
    <row r="7" s="1" customFormat="1" ht="3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1+2+4+1+13+3+0+0+1+0+1+0+0+0+4+0+0+0+0+0+0+1+0+0+0+2+0+0+0+0</f>
        <v>33</v>
      </c>
      <c r="H7" s="15"/>
      <c r="I7" s="15"/>
      <c r="J7" s="11"/>
      <c r="K7" s="10"/>
      <c r="L7" s="10"/>
      <c r="M7" s="10"/>
    </row>
    <row r="8" s="1" customFormat="1" ht="35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0+0+0+0+0+0+0+0+0+0+0+0+0+7+0+0+0+0+0+0+0+1+0+0+0+0+0+1+0+0</f>
        <v>9</v>
      </c>
      <c r="H8" s="17"/>
      <c r="I8" s="17"/>
      <c r="J8" s="11"/>
      <c r="K8" s="10"/>
      <c r="L8" s="10"/>
      <c r="M8" s="10"/>
    </row>
    <row r="9" s="1" customFormat="1" ht="25" customHeight="1" spans="1:13">
      <c r="A9" s="12">
        <v>4</v>
      </c>
      <c r="B9" s="18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0+0+0+0+0+0+0+0+0+0+0+0+0+0+0+0+0+0+0+0+0+0+0+0+0+0+0+0+0+0</f>
        <v>0</v>
      </c>
      <c r="H9" s="13"/>
      <c r="I9" s="13"/>
      <c r="J9" s="19"/>
      <c r="K9" s="10"/>
      <c r="L9" s="10"/>
      <c r="M9" s="20"/>
    </row>
    <row r="10" s="1" customFormat="1" ht="25" customHeight="1" spans="1:13">
      <c r="A10" s="12">
        <v>5</v>
      </c>
      <c r="B10" s="18" t="s">
        <v>21</v>
      </c>
      <c r="C10" s="13">
        <v>0</v>
      </c>
      <c r="D10" s="13"/>
      <c r="E10" s="10">
        <f t="shared" si="0"/>
        <v>0</v>
      </c>
      <c r="F10" s="13" t="s">
        <v>14</v>
      </c>
      <c r="G10" s="10">
        <f>0+0+0+31.2+31.46+62.53+0+0+93.47+93.91+31.7+30.93+0+27.33+31.02+0+0+30.19+31.53+0+0+29.95+30.71+30.81+0+0+0+31.13+62.75+0</f>
        <v>680.62</v>
      </c>
      <c r="H10" s="13">
        <v>4.72</v>
      </c>
      <c r="I10" s="21">
        <f>H10-K11</f>
        <v>-1.213424</v>
      </c>
      <c r="J10" s="19" t="s">
        <v>22</v>
      </c>
      <c r="K10" s="10">
        <v>60</v>
      </c>
      <c r="L10" s="10">
        <v>0</v>
      </c>
      <c r="M10" s="20"/>
    </row>
    <row r="11" s="1" customFormat="1" ht="25" customHeight="1" spans="1:13">
      <c r="A11" s="12">
        <v>6</v>
      </c>
      <c r="B11" s="8" t="s">
        <v>23</v>
      </c>
      <c r="C11" s="10">
        <v>1.9845</v>
      </c>
      <c r="D11" s="10">
        <v>0</v>
      </c>
      <c r="E11" s="10">
        <f t="shared" si="0"/>
        <v>1.9845</v>
      </c>
      <c r="F11" s="10" t="s">
        <v>14</v>
      </c>
      <c r="G11" s="10">
        <f>8.343+4.3875+5.6565+4.9815+4.7385+4.509+9.234+6.426+5.292+5.2785+3.8205+3.3345+4.3065+3.726+2.808+2.214+4.05+5.5485+3.888+3.7935+4.968+6.4935+5.13+6.156+7.506+3.7665+5.2785+3.8475+2.997+1.9845</f>
        <v>144.4635</v>
      </c>
      <c r="H11" s="10"/>
      <c r="I11" s="22">
        <f>G11/G3</f>
        <v>0.565414872798435</v>
      </c>
      <c r="J11" s="19" t="s">
        <v>24</v>
      </c>
      <c r="K11" s="20">
        <f>0+0+0+0.27144+0.26741+0.537758+0+0+0.84123+0.807626+0.27896+0.265998+0+0.235038+0.269874+0+0+0.27171+0.280617+0+0+0.266555+0.27639+0.27729+0+0+0+0.252153+0.533375+0</f>
        <v>5.933424</v>
      </c>
      <c r="L11" s="10"/>
      <c r="M11" s="10">
        <f>C10*L10/100</f>
        <v>0</v>
      </c>
    </row>
    <row r="12" s="1" customFormat="1" ht="25" customHeight="1" spans="1:13">
      <c r="A12" s="12">
        <v>7</v>
      </c>
      <c r="B12" s="8" t="s">
        <v>25</v>
      </c>
      <c r="C12" s="10">
        <v>4.692</v>
      </c>
      <c r="D12" s="10">
        <v>0</v>
      </c>
      <c r="E12" s="10">
        <f t="shared" si="0"/>
        <v>4.692</v>
      </c>
      <c r="F12" s="10" t="s">
        <v>14</v>
      </c>
      <c r="G12" s="10">
        <f>9.7888+8.9608+16.3208+8.188+5.52+7.4336+11.5552+12.604+12.9536+6.716+4.2136+6.2376+10.212+3.2384+11.132+0+8.9792+9.4576+9.1264+4.048+10.0832+12.1992+7.5256+9.108+13.6344+10.3408+7.4888+8.5928+3.8456+4.692</f>
        <v>254.196</v>
      </c>
      <c r="H12" s="10"/>
      <c r="I12" s="22">
        <f>G12/G3</f>
        <v>0.994896281800391</v>
      </c>
      <c r="J12" s="11"/>
      <c r="K12" s="10"/>
      <c r="L12" s="10"/>
      <c r="M12" s="23"/>
    </row>
    <row r="13" s="1" customFormat="1" ht="25" customHeight="1" spans="1:13">
      <c r="A13" s="12">
        <v>8</v>
      </c>
      <c r="B13" s="8" t="s">
        <v>26</v>
      </c>
      <c r="C13" s="10">
        <v>239</v>
      </c>
      <c r="D13" s="10">
        <v>0</v>
      </c>
      <c r="E13" s="10">
        <f t="shared" si="0"/>
        <v>239</v>
      </c>
      <c r="F13" s="10" t="s">
        <v>27</v>
      </c>
      <c r="G13" s="10">
        <f>203.4+427+259+315+111+439+458+304+389+44+474+12+421+18+362+9+412+436+12+182+332+317+408+382+343+378+86+302+64+239</f>
        <v>8138.4</v>
      </c>
      <c r="H13" s="10">
        <f>G13*1.05</f>
        <v>8545.32</v>
      </c>
      <c r="I13" s="22"/>
      <c r="J13" s="11"/>
      <c r="K13" s="10"/>
      <c r="L13" s="10"/>
      <c r="M13" s="23"/>
    </row>
    <row r="14" s="1" customFormat="1" ht="25" customHeight="1" spans="1:13">
      <c r="A14" s="12">
        <v>9</v>
      </c>
      <c r="B14" s="8" t="s">
        <v>28</v>
      </c>
      <c r="C14" s="10">
        <v>240</v>
      </c>
      <c r="D14" s="10">
        <v>56</v>
      </c>
      <c r="E14" s="10">
        <f t="shared" ref="E14:E24" si="1">D14+C14</f>
        <v>296</v>
      </c>
      <c r="F14" s="10" t="s">
        <v>27</v>
      </c>
      <c r="G14" s="10">
        <f>194+482+152+374+40+430+460+290+230+94+390+117+288+100+233+91+384+348+121+158+389+235+430+292+383+288+157+281+0+296</f>
        <v>7727</v>
      </c>
      <c r="H14" s="10"/>
      <c r="I14" s="22"/>
      <c r="J14" s="14"/>
      <c r="K14" s="10"/>
      <c r="L14" s="10"/>
      <c r="M14" s="10"/>
    </row>
    <row r="15" s="1" customFormat="1" ht="25" customHeight="1" spans="1:13">
      <c r="A15" s="12">
        <v>10</v>
      </c>
      <c r="B15" s="8" t="s">
        <v>29</v>
      </c>
      <c r="C15" s="10">
        <v>243.95</v>
      </c>
      <c r="D15" s="10">
        <v>282.48</v>
      </c>
      <c r="E15" s="10">
        <f t="shared" si="1"/>
        <v>526.43</v>
      </c>
      <c r="F15" s="10" t="s">
        <v>27</v>
      </c>
      <c r="G15" s="10">
        <f>1051.94+1011.04+795.49+543.9+807.96+742.7+812+543.06+526.23+781.93+406.11+655.94+322.41+543.81+550.55+719.63+795.73+378.44+135.72+609.67+746.76+762.48+726.27+917.92+833.35+405.01+624+316.07+520.7+526.43</f>
        <v>19113.25</v>
      </c>
      <c r="H15" s="10"/>
      <c r="I15" s="22"/>
      <c r="J15" s="19" t="s">
        <v>30</v>
      </c>
      <c r="K15" s="10">
        <v>2.32</v>
      </c>
      <c r="L15" s="10">
        <v>2.37</v>
      </c>
      <c r="M15" s="10"/>
    </row>
    <row r="16" s="1" customFormat="1" ht="25" customHeight="1" spans="1:13">
      <c r="A16" s="12">
        <v>11</v>
      </c>
      <c r="B16" s="8" t="s">
        <v>31</v>
      </c>
      <c r="C16" s="10">
        <v>15</v>
      </c>
      <c r="D16" s="10">
        <v>0</v>
      </c>
      <c r="E16" s="10">
        <f t="shared" si="1"/>
        <v>15</v>
      </c>
      <c r="F16" s="10" t="s">
        <v>14</v>
      </c>
      <c r="G16" s="10">
        <f>18+33+12+30+3+30+36+21+15+9+27+9+24+6+18+6+27+24+9+12+30+15+33+21+30+18+9+21+0+15</f>
        <v>561</v>
      </c>
      <c r="H16" s="10"/>
      <c r="I16" s="22">
        <f>G16/G3</f>
        <v>2.19569471624266</v>
      </c>
      <c r="J16" s="19" t="s">
        <v>32</v>
      </c>
      <c r="K16" s="20">
        <f>3.1308178+2.8699152+2.220183+1.4538464+2.0633116+2.064706+2.1593316+1.47515+1.4789079+1.9842568+1.0469972+1.6107242+0.7824764+1.3334781+1.3439309+1.7491784+2.028952+1.0708182+0.3637696+1.6913342+2.0365699+2.2450563+2.1240066+2.6806112+2.1709208+1.0898544+1.665204+0.8628711+1.2139464+1.2354416</f>
        <v>51.2465678</v>
      </c>
      <c r="L16" s="10"/>
      <c r="M16" s="10">
        <f>(C15*K15+L15*D15)/1000</f>
        <v>1.2354416</v>
      </c>
    </row>
    <row r="17" s="1" customFormat="1" ht="25" customHeight="1" spans="1:13">
      <c r="A17" s="12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0+0+0.125+0+0.075+0+0+0.075+0.125+0+0+0+0.0875+0+0.0875+0+0+0+0+0+0+0+0+0.15+0+0+0.075+0.0875+0+0</f>
        <v>0.8875</v>
      </c>
      <c r="H17" s="24"/>
      <c r="I17" s="25"/>
      <c r="J17" s="11"/>
      <c r="K17" s="24"/>
      <c r="L17" s="24"/>
      <c r="M17" s="10"/>
    </row>
    <row r="18" s="1" customFormat="1" ht="25" customHeight="1" spans="1:13">
      <c r="A18" s="12">
        <v>13</v>
      </c>
      <c r="B18" s="8" t="s">
        <v>34</v>
      </c>
      <c r="C18" s="7">
        <v>0</v>
      </c>
      <c r="D18" s="7">
        <v>0</v>
      </c>
      <c r="E18" s="10">
        <f t="shared" si="1"/>
        <v>0</v>
      </c>
      <c r="F18" s="10" t="s">
        <v>14</v>
      </c>
      <c r="G18" s="10">
        <f>0+0+0+0+0+0+0+0+0+0+0+0+0+0+0+0+0+0+0+0+0+0+0+0+0+0+0+0+0+0</f>
        <v>0</v>
      </c>
      <c r="H18" s="24"/>
      <c r="I18" s="25"/>
      <c r="J18" s="11"/>
      <c r="K18" s="24"/>
      <c r="L18" s="24"/>
      <c r="M18" s="10"/>
    </row>
    <row r="19" s="1" customFormat="1" ht="25" customHeight="1" spans="1:13">
      <c r="A19" s="12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0+2+0+2+0+2+0+2+0+0+0+2+0+0+2+0+0+2+0+0+2+0+2+0+2+0+0+2+0+0</f>
        <v>22</v>
      </c>
      <c r="H19" s="24"/>
      <c r="I19" s="22">
        <f>G19/G3</f>
        <v>0.086105675146771</v>
      </c>
      <c r="J19" s="11"/>
      <c r="K19" s="24"/>
      <c r="L19" s="24"/>
      <c r="M19" s="10"/>
    </row>
    <row r="20" s="1" customFormat="1" ht="25" customHeight="1" spans="1:13">
      <c r="A20" s="12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14</v>
      </c>
      <c r="G20" s="10">
        <f>0+2+0+2+0+2+0+2+0+0+0+2+0+0+2+0+0+2+0+0+2+0+2+0+2+0+0+2+0+0</f>
        <v>22</v>
      </c>
      <c r="H20" s="24"/>
      <c r="I20" s="22">
        <f>G20/G3</f>
        <v>0.086105675146771</v>
      </c>
      <c r="J20" s="11"/>
      <c r="K20" s="24"/>
      <c r="L20" s="24"/>
      <c r="M20" s="10"/>
    </row>
    <row r="21" s="1" customFormat="1" ht="25" customHeight="1" spans="1:13">
      <c r="A21" s="12">
        <v>16</v>
      </c>
      <c r="B21" s="8" t="s">
        <v>37</v>
      </c>
      <c r="C21" s="10">
        <v>3</v>
      </c>
      <c r="D21" s="7">
        <v>4</v>
      </c>
      <c r="E21" s="10">
        <f t="shared" si="1"/>
        <v>7</v>
      </c>
      <c r="F21" s="10" t="s">
        <v>38</v>
      </c>
      <c r="G21" s="10">
        <f>9+7+6+0+9+5+3+9+3+1+3+8+0+4+9+0+1+2+8+2+5+4+7+7+8+2+1+3+2+7</f>
        <v>135</v>
      </c>
      <c r="H21" s="24"/>
      <c r="I21" s="25"/>
      <c r="J21" s="11"/>
      <c r="K21" s="24"/>
      <c r="L21" s="24"/>
      <c r="M21" s="10"/>
    </row>
    <row r="22" s="1" customFormat="1" ht="25" customHeight="1" spans="1:13">
      <c r="A22" s="12">
        <v>17</v>
      </c>
      <c r="B22" s="8" t="s">
        <v>39</v>
      </c>
      <c r="C22" s="7">
        <v>129</v>
      </c>
      <c r="D22" s="7">
        <v>40</v>
      </c>
      <c r="E22" s="10">
        <f t="shared" si="1"/>
        <v>169</v>
      </c>
      <c r="F22" s="10" t="s">
        <v>27</v>
      </c>
      <c r="G22" s="10">
        <f>1104+849+1313+485+1053+1404+1362+598+991+862+1020+758+817+603+810+687+1448+818+169+1178+761+1407+1240+1195+791+1002+869+409+964+169</f>
        <v>27136</v>
      </c>
      <c r="H22" s="26"/>
      <c r="I22" s="22" t="e">
        <f>E22/M22</f>
        <v>#DIV/0!</v>
      </c>
      <c r="J22" s="19" t="s">
        <v>40</v>
      </c>
      <c r="K22" s="10">
        <f>19+13+23+6.5+17.5+24+24+9.5+18+14.5+16+11+12.5+9+13+11.5+24+13.5+0+20+12+24+24+24+12.5+17+14+4+16.5+0</f>
        <v>447.5</v>
      </c>
      <c r="L22" s="10">
        <f>G22/K22</f>
        <v>60.6391061452514</v>
      </c>
      <c r="M22" s="10">
        <v>0</v>
      </c>
    </row>
    <row r="23" s="1" customFormat="1" ht="25" customHeight="1" spans="1:13">
      <c r="A23" s="12">
        <v>18</v>
      </c>
      <c r="B23" s="8" t="s">
        <v>41</v>
      </c>
      <c r="C23" s="7">
        <v>30</v>
      </c>
      <c r="D23" s="7">
        <v>0</v>
      </c>
      <c r="E23" s="10">
        <f t="shared" si="1"/>
        <v>30</v>
      </c>
      <c r="F23" s="10" t="s">
        <v>27</v>
      </c>
      <c r="G23" s="10">
        <f>1232+1135+1443+592+1010+1680+1758+814+1199+766+1182+649+985+607+997+642+1674+935+153+1256+880+1556+1450+1357+994+1189+928+509+837+30</f>
        <v>30439</v>
      </c>
      <c r="H23" s="24"/>
      <c r="I23" s="22" t="e">
        <f>E23/M22</f>
        <v>#DIV/0!</v>
      </c>
      <c r="J23" s="11"/>
      <c r="K23" s="24"/>
      <c r="L23" s="24"/>
      <c r="M23" s="10"/>
    </row>
    <row r="24" s="1" customFormat="1" ht="25" customHeight="1" spans="1:13">
      <c r="A24" s="12">
        <v>19</v>
      </c>
      <c r="B24" s="8" t="s">
        <v>42</v>
      </c>
      <c r="C24" s="7">
        <v>269</v>
      </c>
      <c r="D24" s="7">
        <v>177</v>
      </c>
      <c r="E24" s="10">
        <f t="shared" si="1"/>
        <v>446</v>
      </c>
      <c r="F24" s="10" t="s">
        <v>27</v>
      </c>
      <c r="G24" s="10">
        <f>403+357+520+369+601+404+442+288+87+362+261+279+171+177+412+504+368+618+592+418+824+481+774+751+630+835+889+444+311+446</f>
        <v>14018</v>
      </c>
      <c r="H24" s="24"/>
      <c r="I24" s="10"/>
      <c r="J24" s="11"/>
      <c r="K24" s="24"/>
      <c r="L24" s="24"/>
      <c r="M24" s="10"/>
    </row>
    <row r="25" s="1" customFormat="1" ht="25" customHeight="1" spans="1:13">
      <c r="A25" s="12">
        <v>20</v>
      </c>
      <c r="B25" s="8" t="s">
        <v>43</v>
      </c>
      <c r="C25" s="7">
        <v>33.52</v>
      </c>
      <c r="D25" s="7">
        <v>0</v>
      </c>
      <c r="E25" s="10"/>
      <c r="F25" s="10" t="s">
        <v>44</v>
      </c>
      <c r="G25" s="10"/>
      <c r="H25" s="24"/>
      <c r="I25" s="24"/>
      <c r="J25" s="11"/>
      <c r="K25" s="24"/>
      <c r="L25" s="24"/>
      <c r="M25" s="10"/>
    </row>
    <row r="26" s="1" customFormat="1" ht="32" hidden="1" customHeight="1" spans="1:13">
      <c r="A26" s="7"/>
      <c r="B26" s="27"/>
      <c r="C26" s="28"/>
      <c r="D26" s="29"/>
      <c r="E26" s="29"/>
      <c r="F26" s="29"/>
      <c r="G26" s="29"/>
      <c r="H26" s="29"/>
      <c r="I26" s="30"/>
      <c r="J26" s="27"/>
      <c r="K26" s="28"/>
      <c r="L26" s="29"/>
      <c r="M26" s="29"/>
    </row>
    <row r="27" s="1" customFormat="1" ht="32" hidden="1" customHeight="1" spans="1:13">
      <c r="A27" s="7"/>
      <c r="B27" s="27"/>
      <c r="C27" s="28"/>
      <c r="D27" s="29"/>
      <c r="E27" s="29"/>
      <c r="F27" s="29"/>
      <c r="G27" s="29"/>
      <c r="H27" s="29"/>
      <c r="I27" s="30"/>
      <c r="J27" s="27"/>
      <c r="K27" s="28"/>
      <c r="L27" s="29"/>
      <c r="M27" s="29"/>
    </row>
    <row r="28" s="1" customFormat="1" ht="32" hidden="1" customHeight="1" spans="1:13">
      <c r="A28" s="7"/>
      <c r="B28" s="27"/>
      <c r="C28" s="28"/>
      <c r="D28" s="29"/>
      <c r="E28" s="29"/>
      <c r="F28" s="29"/>
      <c r="G28" s="29"/>
      <c r="H28" s="29"/>
      <c r="I28" s="30"/>
      <c r="J28" s="27"/>
      <c r="K28" s="28"/>
      <c r="L28" s="29"/>
      <c r="M28" s="29"/>
    </row>
    <row r="29" s="1" customFormat="1" ht="32" hidden="1" customHeight="1" spans="1:13">
      <c r="A29" s="7"/>
      <c r="B29" s="27"/>
      <c r="C29" s="28"/>
      <c r="D29" s="29"/>
      <c r="E29" s="29"/>
      <c r="F29" s="29"/>
      <c r="G29" s="29"/>
      <c r="H29" s="29"/>
      <c r="I29" s="30"/>
      <c r="J29" s="27"/>
      <c r="K29" s="28"/>
      <c r="L29" s="29"/>
      <c r="M29" s="29"/>
    </row>
    <row r="30" s="1" customFormat="1" ht="32" hidden="1" customHeight="1" spans="1:13">
      <c r="A30" s="7"/>
      <c r="B30" s="27"/>
      <c r="C30" s="28"/>
      <c r="D30" s="29"/>
      <c r="E30" s="29"/>
      <c r="F30" s="29"/>
      <c r="G30" s="29"/>
      <c r="H30" s="29"/>
      <c r="I30" s="30"/>
      <c r="J30" s="27"/>
      <c r="K30" s="28"/>
      <c r="L30" s="29"/>
      <c r="M30" s="29"/>
    </row>
    <row r="31" s="1" customFormat="1" ht="32" customHeight="1" spans="1:13">
      <c r="A31" s="12">
        <v>21</v>
      </c>
      <c r="B31" s="31" t="s">
        <v>45</v>
      </c>
      <c r="C31" s="28" t="s">
        <v>200</v>
      </c>
      <c r="D31" s="32"/>
      <c r="E31" s="32"/>
      <c r="F31" s="32"/>
      <c r="G31" s="32"/>
      <c r="H31" s="33"/>
      <c r="I31" s="30" t="s">
        <v>47</v>
      </c>
      <c r="J31" s="31" t="s">
        <v>48</v>
      </c>
      <c r="K31" s="28" t="s">
        <v>205</v>
      </c>
      <c r="L31" s="32"/>
      <c r="M31" s="33"/>
    </row>
    <row r="32" s="1" customFormat="1" ht="32" customHeight="1" spans="1:13">
      <c r="A32" s="12">
        <v>22</v>
      </c>
      <c r="B32" s="31" t="s">
        <v>50</v>
      </c>
      <c r="C32" s="28" t="s">
        <v>201</v>
      </c>
      <c r="D32" s="32"/>
      <c r="E32" s="32"/>
      <c r="F32" s="32"/>
      <c r="G32" s="32"/>
      <c r="H32" s="33"/>
      <c r="I32" s="30" t="s">
        <v>47</v>
      </c>
      <c r="J32" s="31" t="s">
        <v>52</v>
      </c>
      <c r="K32" s="28" t="s">
        <v>206</v>
      </c>
      <c r="L32" s="32"/>
      <c r="M32" s="33"/>
    </row>
    <row r="33" s="1" customFormat="1" ht="80" customHeight="1" spans="1:13">
      <c r="A33" s="7">
        <v>23</v>
      </c>
      <c r="B33" s="27" t="s">
        <v>54</v>
      </c>
      <c r="C33" s="34" t="s">
        <v>207</v>
      </c>
      <c r="D33" s="35"/>
      <c r="E33" s="35"/>
      <c r="F33" s="35"/>
      <c r="G33" s="35"/>
      <c r="H33" s="35"/>
      <c r="I33" s="36"/>
      <c r="J33" s="37" t="s">
        <v>56</v>
      </c>
      <c r="K33" s="28"/>
      <c r="L33" s="32"/>
      <c r="M33" s="33"/>
    </row>
    <row r="34" s="1" customFormat="1" ht="14" customHeight="1" spans="1:13">
      <c r="C34" s="38"/>
      <c r="D34" s="38"/>
      <c r="J34" s="39"/>
    </row>
    <row r="35" s="1" customFormat="1" ht="45" customHeight="1" spans="1:13">
      <c r="A35" s="5" t="s">
        <v>208</v>
      </c>
    </row>
    <row r="36" s="1" customFormat="1" ht="30" customHeight="1" spans="1:13">
      <c r="A36" s="6" t="s">
        <v>58</v>
      </c>
      <c r="B36" s="6" t="s">
        <v>59</v>
      </c>
      <c r="C36" s="6" t="s">
        <v>2</v>
      </c>
      <c r="D36" s="6" t="s">
        <v>3</v>
      </c>
      <c r="E36" s="6" t="s">
        <v>4</v>
      </c>
      <c r="F36" s="6" t="s">
        <v>5</v>
      </c>
      <c r="G36" s="6" t="s">
        <v>6</v>
      </c>
      <c r="H36" s="6" t="s">
        <v>7</v>
      </c>
      <c r="I36" s="6" t="s">
        <v>8</v>
      </c>
      <c r="J36" s="6" t="s">
        <v>9</v>
      </c>
      <c r="K36" s="6" t="s">
        <v>10</v>
      </c>
      <c r="L36" s="6" t="s">
        <v>11</v>
      </c>
      <c r="M36" s="6" t="s">
        <v>12</v>
      </c>
    </row>
    <row r="37" s="1" customFormat="1" ht="25" customHeight="1" spans="1:13">
      <c r="A37" s="7">
        <v>1</v>
      </c>
      <c r="B37" s="8" t="s">
        <v>60</v>
      </c>
      <c r="C37" s="10">
        <v>0</v>
      </c>
      <c r="D37" s="10">
        <v>0</v>
      </c>
      <c r="E37" s="10">
        <f t="shared" ref="E37:E43" si="2">D37+C37</f>
        <v>0</v>
      </c>
      <c r="F37" s="10" t="s">
        <v>27</v>
      </c>
      <c r="G37" s="10">
        <f>0+0+12+20+0+0+0+0+0+18+0+0+0+0+0+0+0+0+0+0+0+0+0+0+0+0+0+24+0+0</f>
        <v>74</v>
      </c>
      <c r="H37" s="10"/>
      <c r="I37" s="10"/>
      <c r="J37" s="11"/>
      <c r="K37" s="24"/>
      <c r="L37" s="24"/>
      <c r="M37" s="10"/>
    </row>
    <row r="38" s="1" customFormat="1" ht="25" customHeight="1" spans="1:13">
      <c r="A38" s="7">
        <v>2</v>
      </c>
      <c r="B38" s="8" t="s">
        <v>61</v>
      </c>
      <c r="C38" s="10">
        <v>98.03</v>
      </c>
      <c r="D38" s="10">
        <v>11.3</v>
      </c>
      <c r="E38" s="10">
        <f t="shared" si="2"/>
        <v>109.33</v>
      </c>
      <c r="F38" s="10" t="s">
        <v>27</v>
      </c>
      <c r="G38" s="10">
        <f>12.74+12.68+12.74+12.66+12.69+12.65+12.68+12.65+12.82+12.72+12.7+12.87+12.73+12.86+12.8+12.79+12.67+12.74+21.64+22.71+21.73+22.84+22.74+22.7+22.76+22.58+22.74+22.8+22.55+109.33</f>
        <v>586.31</v>
      </c>
      <c r="H38" s="10"/>
      <c r="I38" s="10"/>
      <c r="J38" s="11"/>
      <c r="K38" s="24"/>
      <c r="L38" s="24"/>
      <c r="M38" s="23"/>
    </row>
    <row r="39" s="1" customFormat="1" ht="25" customHeight="1" spans="1:13">
      <c r="A39" s="7">
        <v>3</v>
      </c>
      <c r="B39" s="8" t="s">
        <v>62</v>
      </c>
      <c r="C39" s="10">
        <v>0</v>
      </c>
      <c r="D39" s="10">
        <v>0</v>
      </c>
      <c r="E39" s="10">
        <f t="shared" si="2"/>
        <v>0</v>
      </c>
      <c r="F39" s="10" t="s">
        <v>27</v>
      </c>
      <c r="G39" s="10">
        <f>17+20+15+10+28+16+18+22+23+15+33+19+20+29+36+33+0+39+22+19+41+27+19+10+26+16+6+7+31+0</f>
        <v>617</v>
      </c>
      <c r="H39" s="10"/>
      <c r="I39" s="10"/>
      <c r="J39" s="11"/>
      <c r="K39" s="24"/>
      <c r="L39" s="24"/>
      <c r="M39" s="23"/>
    </row>
    <row r="40" s="1" customFormat="1" ht="25" customHeight="1" spans="1:13">
      <c r="A40" s="7">
        <v>4</v>
      </c>
      <c r="B40" s="8" t="s">
        <v>23</v>
      </c>
      <c r="C40" s="10">
        <v>11.4345</v>
      </c>
      <c r="D40" s="10">
        <v>0</v>
      </c>
      <c r="E40" s="10">
        <f t="shared" si="2"/>
        <v>11.4345</v>
      </c>
      <c r="F40" s="10" t="s">
        <v>14</v>
      </c>
      <c r="G40" s="10">
        <f>10.4355+1.6065+14.9715+0+7.5195+6.1695+11.313+0+12.7845+0+5.5755+6.615+12.285+0+11.475+0+10.3005+0+0+22.5585+18.1575+8.4645+10.665+10.4355+11.502+12.6765+17.577+11.637+8.883+11.4345</f>
        <v>255.042</v>
      </c>
      <c r="H40" s="10"/>
      <c r="J40" s="11"/>
      <c r="K40" s="24"/>
      <c r="L40" s="24"/>
      <c r="M40" s="24"/>
    </row>
    <row r="41" s="1" customFormat="1" ht="25" customHeight="1" spans="1:13">
      <c r="A41" s="7">
        <v>5</v>
      </c>
      <c r="B41" s="8" t="s">
        <v>25</v>
      </c>
      <c r="C41" s="10">
        <v>0</v>
      </c>
      <c r="D41" s="10">
        <v>0</v>
      </c>
      <c r="E41" s="10">
        <f t="shared" si="2"/>
        <v>0</v>
      </c>
      <c r="F41" s="10" t="s">
        <v>14</v>
      </c>
      <c r="G41" s="10">
        <f>0+0+0+0+0+0+0+0+0+0+0+0+0+0+0+0+0+0+0+0+0+0+0+0+0+0+0+0+0+0</f>
        <v>0</v>
      </c>
      <c r="H41" s="10"/>
      <c r="I41" s="10"/>
      <c r="J41" s="14"/>
      <c r="K41" s="24"/>
      <c r="L41" s="24"/>
      <c r="M41" s="24"/>
    </row>
    <row r="42" s="1" customFormat="1" ht="25" customHeight="1" spans="1:13">
      <c r="A42" s="7">
        <v>6</v>
      </c>
      <c r="B42" s="8" t="s">
        <v>63</v>
      </c>
      <c r="C42" s="10">
        <v>160</v>
      </c>
      <c r="D42" s="10">
        <v>170</v>
      </c>
      <c r="E42" s="10">
        <f t="shared" si="2"/>
        <v>330</v>
      </c>
      <c r="F42" s="10" t="s">
        <v>27</v>
      </c>
      <c r="G42" s="10">
        <f>263+335+279+465+237+293+268+197+387+510+118+34+75+6+137+36+0+0+101+21+210+166+0+0+72+0+0+232+139+330</f>
        <v>4911</v>
      </c>
      <c r="H42" s="10"/>
      <c r="I42" s="10"/>
      <c r="J42" s="40"/>
      <c r="K42" s="24"/>
      <c r="L42" s="10"/>
      <c r="M42" s="24"/>
    </row>
    <row r="43" s="1" customFormat="1" ht="25" customHeight="1" spans="1:13">
      <c r="A43" s="7">
        <v>7</v>
      </c>
      <c r="B43" s="8" t="s">
        <v>64</v>
      </c>
      <c r="C43" s="10">
        <v>509</v>
      </c>
      <c r="D43" s="10">
        <v>501</v>
      </c>
      <c r="E43" s="10">
        <f t="shared" si="2"/>
        <v>1010</v>
      </c>
      <c r="F43" s="10" t="s">
        <v>27</v>
      </c>
      <c r="G43" s="10">
        <f>985+980+990+985+972+980+994+995+1020+1025+1029+1021+1001+1030+1028+1032+1024+1039+988+1035+1036+1034+1048+1040+1022+1026+1025+555+977+1010</f>
        <v>29926</v>
      </c>
      <c r="H43" s="10"/>
      <c r="I43" s="10"/>
      <c r="J43" s="41"/>
      <c r="K43" s="24"/>
      <c r="L43" s="10"/>
      <c r="M43" s="24"/>
    </row>
    <row r="44" s="1" customFormat="1" ht="25" customHeight="1" spans="1:13">
      <c r="A44" s="7">
        <v>8</v>
      </c>
      <c r="B44" s="8" t="s">
        <v>65</v>
      </c>
      <c r="C44" s="10">
        <v>0</v>
      </c>
      <c r="D44" s="10">
        <v>0</v>
      </c>
      <c r="E44" s="10">
        <f>C44+D44</f>
        <v>0</v>
      </c>
      <c r="F44" s="10" t="s">
        <v>27</v>
      </c>
      <c r="G44" s="10">
        <f>0+0+0+0+0+0+0+0+0+0+0+0+0+0+0+0+0+0+0+0+0+0+0+0+0+0+0+0+0+0</f>
        <v>0</v>
      </c>
      <c r="H44" s="24"/>
      <c r="I44" s="7">
        <v>585</v>
      </c>
      <c r="J44" s="14"/>
      <c r="K44" s="42"/>
      <c r="L44" s="28"/>
      <c r="M44" s="43"/>
    </row>
    <row r="45" s="1" customFormat="1" ht="25" customHeight="1" spans="1:13">
      <c r="A45" s="7">
        <v>9</v>
      </c>
      <c r="B45" s="8" t="s">
        <v>66</v>
      </c>
      <c r="C45" s="10">
        <v>0</v>
      </c>
      <c r="D45" s="10">
        <v>0</v>
      </c>
      <c r="E45" s="10">
        <f>C45+D45</f>
        <v>0</v>
      </c>
      <c r="F45" s="10" t="s">
        <v>27</v>
      </c>
      <c r="G45" s="10">
        <f>0+0+0+0+0+0+0+0+0+0+0+0+0+0+0+0+0+0+0+0+0+0+0+0+0+0+0+0+0+0</f>
        <v>0</v>
      </c>
      <c r="H45" s="24"/>
      <c r="I45" s="7">
        <v>148.5306</v>
      </c>
      <c r="J45" s="40"/>
      <c r="K45" s="42"/>
      <c r="L45" s="19" t="s">
        <v>67</v>
      </c>
      <c r="M45" s="7">
        <v>22</v>
      </c>
    </row>
    <row r="46" s="1" customFormat="1" ht="25" customHeight="1" spans="1:13">
      <c r="A46" s="7">
        <v>10</v>
      </c>
      <c r="B46" s="8" t="s">
        <v>68</v>
      </c>
      <c r="C46" s="7">
        <v>0</v>
      </c>
      <c r="D46" s="7">
        <v>1</v>
      </c>
      <c r="E46" s="10">
        <f>D46+C46</f>
        <v>1</v>
      </c>
      <c r="F46" s="10" t="s">
        <v>38</v>
      </c>
      <c r="G46" s="10">
        <f>5+5+6+7+8+7+5+5+5+7+7+7+8+5+8+8+7+5+10+9+11+12+16+18+16+14+9+12+11+1</f>
        <v>254</v>
      </c>
      <c r="H46" s="24"/>
      <c r="I46" s="10"/>
      <c r="J46" s="40"/>
      <c r="K46" s="28"/>
      <c r="L46" s="19" t="s">
        <v>69</v>
      </c>
      <c r="M46" s="7">
        <v>18</v>
      </c>
    </row>
    <row r="47" s="1" customFormat="1" ht="80" customHeight="1" spans="1:13">
      <c r="A47" s="7">
        <v>11</v>
      </c>
      <c r="B47" s="37" t="s">
        <v>70</v>
      </c>
      <c r="C47" s="28" t="s">
        <v>71</v>
      </c>
      <c r="D47" s="32"/>
      <c r="E47" s="32"/>
      <c r="F47" s="32"/>
      <c r="G47" s="32"/>
      <c r="H47" s="32"/>
      <c r="I47" s="32"/>
      <c r="J47" s="32"/>
      <c r="K47" s="32"/>
      <c r="L47" s="32"/>
      <c r="M47" s="33"/>
    </row>
    <row r="55" s="1" customFormat="1" spans="3:12">
      <c r="C55" s="38"/>
      <c r="D55" s="38"/>
      <c r="J55" s="39"/>
    </row>
    <row r="56" spans="3:12">
      <c r="L56" s="1"/>
    </row>
  </sheetData>
  <mergeCells count="12">
    <mergeCell ref="A1:M1"/>
    <mergeCell ref="C31:H31"/>
    <mergeCell ref="K31:M31"/>
    <mergeCell ref="C32:H32"/>
    <mergeCell ref="K32:M32"/>
    <mergeCell ref="C33:I33"/>
    <mergeCell ref="K33:M33"/>
    <mergeCell ref="A35:M35"/>
    <mergeCell ref="C47:M47"/>
    <mergeCell ref="A5:A8"/>
    <mergeCell ref="H5:H8"/>
    <mergeCell ref="I5:I8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8.31</vt:lpstr>
      <vt:lpstr>9.1</vt:lpstr>
      <vt:lpstr>9.2</vt:lpstr>
      <vt:lpstr>9.3</vt:lpstr>
      <vt:lpstr>9.4</vt:lpstr>
      <vt:lpstr>9.5</vt:lpstr>
      <vt:lpstr>9.6</vt:lpstr>
      <vt:lpstr>9.7</vt:lpstr>
      <vt:lpstr>9.8</vt:lpstr>
      <vt:lpstr>9.9</vt:lpstr>
      <vt:lpstr>9.10</vt:lpstr>
      <vt:lpstr>9.11</vt:lpstr>
      <vt:lpstr>9.12</vt:lpstr>
      <vt:lpstr>9.13</vt:lpstr>
      <vt:lpstr>9.14</vt:lpstr>
      <vt:lpstr>9.15</vt:lpstr>
      <vt:lpstr>9.16</vt:lpstr>
      <vt:lpstr>9.17</vt:lpstr>
      <vt:lpstr>9.18</vt:lpstr>
      <vt:lpstr>9.19</vt:lpstr>
      <vt:lpstr>9.20</vt:lpstr>
      <vt:lpstr>9.21</vt:lpstr>
      <vt:lpstr>9.22</vt:lpstr>
      <vt:lpstr>9.23</vt:lpstr>
      <vt:lpstr>9.24</vt:lpstr>
      <vt:lpstr>9.25</vt:lpstr>
      <vt:lpstr>9.26</vt:lpstr>
      <vt:lpstr>9.27</vt:lpstr>
      <vt:lpstr>9.28</vt:lpstr>
      <vt:lpstr>9.29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2025-12-26T07:02:00Z</dcterms:created>
  <dcterms:modified xsi:type="dcterms:W3CDTF">2026-10-08T03:11:40Z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6E995CD7B9B24244BC1A0464D54EA695_13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