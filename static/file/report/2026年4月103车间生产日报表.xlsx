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.xml" ContentType="application/vnd.openxmlformats-officedocument.spreadsheetml.comments+xml"/>
  <Override PartName="/xl/comments30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firstSheet="11" activeTab="29"/>
  </bookViews>
  <sheets>
    <sheet name="3.31" sheetId="1" r:id="rId1"/>
    <sheet name="4.1" sheetId="2" r:id="rId2"/>
    <sheet name="4.2" sheetId="3" r:id="rId3"/>
    <sheet name="4.3" sheetId="4" r:id="rId4"/>
    <sheet name="4.4" sheetId="5" r:id="rId5"/>
    <sheet name="4.5" sheetId="6" r:id="rId6"/>
    <sheet name="4.6" sheetId="7" r:id="rId7"/>
    <sheet name="4.7" sheetId="8" r:id="rId8"/>
    <sheet name="4.8" sheetId="9" r:id="rId9"/>
    <sheet name="4.9" sheetId="10" r:id="rId10"/>
    <sheet name="4.10" sheetId="11" r:id="rId11"/>
    <sheet name="4.11" sheetId="12" r:id="rId12"/>
    <sheet name="4.12" sheetId="13" r:id="rId13"/>
    <sheet name="4.13" sheetId="14" r:id="rId14"/>
    <sheet name="4.14" sheetId="15" r:id="rId15"/>
    <sheet name="4.15" sheetId="16" r:id="rId16"/>
    <sheet name="4.16" sheetId="17" r:id="rId17"/>
    <sheet name="4.17" sheetId="18" r:id="rId18"/>
    <sheet name="4.18" sheetId="19" r:id="rId19"/>
    <sheet name="4.19" sheetId="20" r:id="rId20"/>
    <sheet name="4.20" sheetId="21" r:id="rId21"/>
    <sheet name="4.21" sheetId="22" r:id="rId22"/>
    <sheet name="4.22" sheetId="23" r:id="rId23"/>
    <sheet name="4.23" sheetId="24" r:id="rId24"/>
    <sheet name="4.24" sheetId="25" r:id="rId25"/>
    <sheet name="4.25" sheetId="26" r:id="rId26"/>
    <sheet name="4.26" sheetId="27" r:id="rId27"/>
    <sheet name="4.27" sheetId="28" r:id="rId28"/>
    <sheet name="4.28" sheetId="29" r:id="rId29"/>
    <sheet name="4.29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G21" authorId="1">
      <text>
        <r>
          <rPr>
            <sz val="10"/>
            <rFont val="宋体"/>
            <charset val="134"/>
          </rPr>
          <t>锂渣回投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G21" authorId="1">
      <text>
        <r>
          <rPr>
            <sz val="10"/>
            <rFont val="宋体"/>
            <charset val="134"/>
          </rPr>
          <t>锂渣回投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G21" authorId="1">
      <text>
        <r>
          <rPr>
            <sz val="10"/>
            <rFont val="宋体"/>
            <charset val="134"/>
          </rPr>
          <t>锂渣回投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G21" authorId="1">
      <text>
        <r>
          <rPr>
            <sz val="10"/>
            <rFont val="宋体"/>
            <charset val="134"/>
          </rPr>
          <t>锂渣回投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G21" authorId="1">
      <text>
        <r>
          <rPr>
            <sz val="10"/>
            <rFont val="宋体"/>
            <charset val="134"/>
          </rPr>
          <t>锂渣回投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G21" authorId="1">
      <text>
        <r>
          <rPr>
            <sz val="10"/>
            <rFont val="宋体"/>
            <charset val="134"/>
          </rPr>
          <t>锂渣回投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G21" authorId="1">
      <text>
        <r>
          <rPr>
            <sz val="10"/>
            <rFont val="宋体"/>
            <charset val="134"/>
          </rPr>
          <t>锂渣回投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6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19" authorId="0">
      <text>
        <r>
          <rPr>
            <sz val="10"/>
            <rFont val="宋体"/>
            <charset val="134"/>
          </rPr>
          <t>admin:
碳酸锂消耗</t>
        </r>
      </text>
    </comment>
    <comment ref="G21" authorId="1">
      <text>
        <r>
          <rPr>
            <sz val="10"/>
            <rFont val="宋体"/>
            <charset val="134"/>
          </rPr>
          <t>锂渣回投</t>
        </r>
      </text>
    </comment>
    <comment ref="I22" authorId="0">
      <text>
        <r>
          <rPr>
            <sz val="10"/>
            <rFont val="宋体"/>
            <charset val="134"/>
          </rPr>
          <t>admin:
小时蒸发量</t>
        </r>
      </text>
    </comment>
    <comment ref="K22" authorId="1">
      <text>
        <r>
          <rPr>
            <sz val="10"/>
            <rFont val="宋体"/>
            <charset val="134"/>
          </rPr>
          <t>蒸发累计时长</t>
        </r>
      </text>
    </comment>
    <comment ref="L22" authorId="1">
      <text>
        <r>
          <rPr>
            <sz val="10"/>
            <rFont val="宋体"/>
            <charset val="134"/>
          </rPr>
          <t>平均蒸发量</t>
        </r>
      </text>
    </comment>
    <comment ref="M22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3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1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1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2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3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4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5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6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7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8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29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comments30.xml><?xml version="1.0" encoding="utf-8"?>
<comments xmlns="http://schemas.openxmlformats.org/spreadsheetml/2006/main">
  <authors>
    <author>admin</author>
    <author>Administrator</author>
  </authors>
  <commentList>
    <comment ref="M3" authorId="0">
      <text>
        <r>
          <rPr>
            <sz val="10"/>
            <rFont val="宋体"/>
            <charset val="134"/>
          </rPr>
          <t xml:space="preserve">达成生产计划每天
需完成的碳酸锂产量
</t>
        </r>
      </text>
    </comment>
    <comment ref="L9" authorId="0">
      <text>
        <r>
          <rPr>
            <sz val="10"/>
            <rFont val="宋体"/>
            <charset val="134"/>
          </rPr>
          <t xml:space="preserve">外卖硫酸锂含量
</t>
        </r>
      </text>
    </comment>
    <comment ref="I10" authorId="0">
      <text>
        <r>
          <rPr>
            <sz val="10"/>
            <rFont val="宋体"/>
            <charset val="134"/>
          </rPr>
          <t>admin:
消耗</t>
        </r>
      </text>
    </comment>
    <comment ref="M10" authorId="1">
      <text>
        <r>
          <rPr>
            <sz val="10"/>
            <rFont val="宋体"/>
            <charset val="134"/>
          </rPr>
          <t xml:space="preserve">外卖硫酸锂金属量
</t>
        </r>
      </text>
    </comment>
    <comment ref="I11" authorId="0">
      <text>
        <r>
          <rPr>
            <sz val="10"/>
            <rFont val="宋体"/>
            <charset val="134"/>
          </rPr>
          <t>admin:
消耗</t>
        </r>
      </text>
    </comment>
    <comment ref="H12" authorId="1">
      <text>
        <r>
          <rPr>
            <sz val="10"/>
            <rFont val="宋体"/>
            <charset val="134"/>
          </rPr>
          <t>实际到合成立数</t>
        </r>
      </text>
    </comment>
    <comment ref="I15" authorId="0">
      <text>
        <r>
          <rPr>
            <sz val="10"/>
            <rFont val="宋体"/>
            <charset val="134"/>
          </rPr>
          <t>admin:
碳酸锂消耗</t>
        </r>
      </text>
    </comment>
    <comment ref="K15" authorId="1">
      <text>
        <r>
          <rPr>
            <sz val="10"/>
            <rFont val="宋体"/>
            <charset val="134"/>
          </rPr>
          <t>金属锂合计</t>
        </r>
      </text>
    </comment>
    <comment ref="M15" authorId="1">
      <text>
        <r>
          <rPr>
            <sz val="10"/>
            <rFont val="宋体"/>
            <charset val="134"/>
          </rPr>
          <t xml:space="preserve">接锂金属量
</t>
        </r>
      </text>
    </comment>
    <comment ref="I17" authorId="0">
      <text>
        <r>
          <rPr>
            <sz val="10"/>
            <rFont val="宋体"/>
            <charset val="134"/>
          </rPr>
          <t>admin:
碳酸锂消耗</t>
        </r>
      </text>
    </comment>
    <comment ref="I18" authorId="0">
      <text>
        <r>
          <rPr>
            <sz val="10"/>
            <rFont val="宋体"/>
            <charset val="134"/>
          </rPr>
          <t>admin:
碳酸锂消耗</t>
        </r>
      </text>
    </comment>
    <comment ref="I20" authorId="0">
      <text>
        <r>
          <rPr>
            <sz val="10"/>
            <rFont val="宋体"/>
            <charset val="134"/>
          </rPr>
          <t>admin:
小时蒸发量</t>
        </r>
      </text>
    </comment>
    <comment ref="K20" authorId="1">
      <text>
        <r>
          <rPr>
            <sz val="10"/>
            <rFont val="宋体"/>
            <charset val="134"/>
          </rPr>
          <t>蒸发累计时长</t>
        </r>
      </text>
    </comment>
    <comment ref="L20" authorId="1">
      <text>
        <r>
          <rPr>
            <sz val="10"/>
            <rFont val="宋体"/>
            <charset val="134"/>
          </rPr>
          <t>平均蒸发量</t>
        </r>
      </text>
    </comment>
    <comment ref="M20" authorId="1">
      <text>
        <r>
          <rPr>
            <sz val="10"/>
            <rFont val="宋体"/>
            <charset val="134"/>
          </rPr>
          <t xml:space="preserve">蒸发运行时长
</t>
        </r>
      </text>
    </comment>
    <comment ref="I21" authorId="0">
      <text>
        <r>
          <rPr>
            <sz val="10"/>
            <rFont val="宋体"/>
            <charset val="134"/>
          </rPr>
          <t>admin:
蒸发器进料量</t>
        </r>
      </text>
    </comment>
  </commentList>
</comments>
</file>

<file path=xl/sharedStrings.xml><?xml version="1.0" encoding="utf-8"?>
<sst xmlns="http://schemas.openxmlformats.org/spreadsheetml/2006/main" count="3016" uniqueCount="151">
  <si>
    <t>103车间3月31日生产情况</t>
  </si>
  <si>
    <t>生产情况</t>
  </si>
  <si>
    <t>白班</t>
  </si>
  <si>
    <t>夜班</t>
  </si>
  <si>
    <t>合计</t>
  </si>
  <si>
    <t>单位</t>
  </si>
  <si>
    <t>月累计</t>
  </si>
  <si>
    <t>月计划</t>
  </si>
  <si>
    <t>剩余计划</t>
  </si>
  <si>
    <t>异常原因</t>
  </si>
  <si>
    <t>导致结果</t>
  </si>
  <si>
    <t>处理措施</t>
  </si>
  <si>
    <t>备注</t>
  </si>
  <si>
    <t>碳酸锂(车间产量)</t>
  </si>
  <si>
    <t>t</t>
  </si>
  <si>
    <t>碳酸锂(入库数量)</t>
  </si>
  <si>
    <t>硫酸钠（干料）</t>
  </si>
  <si>
    <t>硫酸钠（湿料）</t>
  </si>
  <si>
    <t>硫酸钠杂质料</t>
  </si>
  <si>
    <t>硫酸钠落地料</t>
  </si>
  <si>
    <t>外售硫酸锂</t>
  </si>
  <si>
    <t>剩余硫酸锂量（车）：</t>
  </si>
  <si>
    <t>液碱</t>
  </si>
  <si>
    <t>累计外卖硫酸锂金属量：</t>
  </si>
  <si>
    <t>硫酸</t>
  </si>
  <si>
    <t>除杂退料</t>
  </si>
  <si>
    <t>合成前液</t>
  </si>
  <si>
    <t>m³</t>
  </si>
  <si>
    <t>接102气浮除油后液</t>
  </si>
  <si>
    <t>气浮除油锂金属量：</t>
  </si>
  <si>
    <t>硫化钠</t>
  </si>
  <si>
    <t>累计接料锂金属量：</t>
  </si>
  <si>
    <t>碳酸钠</t>
  </si>
  <si>
    <t>偏铝酸钠</t>
  </si>
  <si>
    <t>除氟剂</t>
  </si>
  <si>
    <t>活性炭</t>
  </si>
  <si>
    <t>活性炭渣</t>
  </si>
  <si>
    <t>包</t>
  </si>
  <si>
    <t>锂渣</t>
  </si>
  <si>
    <t>冷凝水</t>
  </si>
  <si>
    <t>蒸发累计时长\平均蒸发量</t>
  </si>
  <si>
    <t>蒸发前液进料累计量</t>
  </si>
  <si>
    <t>二效氯离子量</t>
  </si>
  <si>
    <t>g/L</t>
  </si>
  <si>
    <t>需协调事项</t>
  </si>
  <si>
    <t>1、预调PH计，气动调节阀需要尽快提到货；</t>
  </si>
  <si>
    <t>维修事宜</t>
  </si>
  <si>
    <t>1、元明粉出料中间绞龙传动方式由链条改为联轴器，绞龙整体需抬高；
2、沉锂泵机封损坏频次高，且不耐用；
3、除氟新安装的压滤泵异响大；</t>
  </si>
  <si>
    <t>计划情况</t>
  </si>
  <si>
    <t>1、蒸发正常开机，关注元明粉有无杂质；
2、清理卫生；
3、外协施工时注意安全监护；
4、关注外排水PH、镍指标。</t>
  </si>
  <si>
    <t>104车间3月31日生产情况</t>
  </si>
  <si>
    <t>序号</t>
  </si>
  <si>
    <t>内容</t>
  </si>
  <si>
    <t>接102废液</t>
  </si>
  <si>
    <t>接102返镁液</t>
  </si>
  <si>
    <t>接生活废水</t>
  </si>
  <si>
    <t>接磷酸锂母液</t>
  </si>
  <si>
    <t>使用自来水</t>
  </si>
  <si>
    <t>外排水</t>
  </si>
  <si>
    <t>废钴水处理量</t>
  </si>
  <si>
    <t>雨水池处理量</t>
  </si>
  <si>
    <t>除COD池处理量</t>
  </si>
  <si>
    <t>钴渣产出</t>
  </si>
  <si>
    <t>1、下雨应急水池关闭，外排打开；
2、104正常处理废水；</t>
  </si>
  <si>
    <t>补充</t>
  </si>
  <si>
    <t>103车间4月1日生产情况</t>
  </si>
  <si>
    <t>1、元明粉出料中间绞龙传动方式由链条改为联轴器，绞龙整体需抬高；
2、沉锂泵机封损坏频次高，且不耐用；
3、除氟新安装的压滤泵异响大；
4、MVR缓冲罐上料泵连轴器需更换。</t>
  </si>
  <si>
    <t>1、蒸发停机；
2、清理卫生；
3、外协施工时注意安全监护；
4、关注外排水PH、镍指标。</t>
  </si>
  <si>
    <t>104车间4月1日生产情况</t>
  </si>
  <si>
    <t>103车间4月2日生产情况</t>
  </si>
  <si>
    <t>1、元明粉出料中间绞龙传动方式由链条改为联轴器，绞龙整体需抬高；
2、沉锂泵机封损坏频次高，且不耐用；
3、除氟新安装的压滤泵异响大；
4、按维修计划开展工作。</t>
  </si>
  <si>
    <t>104车间4月2日生产情况</t>
  </si>
  <si>
    <t>103车间4月3日生产情况</t>
  </si>
  <si>
    <t>1、元明粉出料中间绞龙传动方式由链条改为联轴器，绞龙整体需抬高；
2、沉锂泵机封损坏频次高，且不耐用；
3、除氟新安装的压滤泵异响大；
4、调酸罐硫酸管接到MVR；
5、包装区安装除磁器。</t>
  </si>
  <si>
    <t>1、蒸发停机，清理二效列管；
2、清理卫生；
3、外协施工时注意安全监护；
4、关注外排水PH、镍指标。</t>
  </si>
  <si>
    <t>104车间4月3日生产情况</t>
  </si>
  <si>
    <t>103车间4月4日生产情况</t>
  </si>
  <si>
    <t>104车间4月4日生产情况</t>
  </si>
  <si>
    <t>103车间4月5日生产情况</t>
  </si>
  <si>
    <t xml:space="preserve">1、元明粉出料中间绞龙传动方式由链条改为联轴器，绞龙整体需抬高；
2、沉锂泵机封损坏频次高，且不耐用；
3、除氟新安装的压滤泵异响大；
</t>
  </si>
  <si>
    <t>104车间4月5日生产情况</t>
  </si>
  <si>
    <t>103车间4月6日生产情况</t>
  </si>
  <si>
    <t>104车间4月6日生产情况</t>
  </si>
  <si>
    <t>103车间4月7日生产情况</t>
  </si>
  <si>
    <t>1、元明粉出料中间绞龙传动方式由链条改为联轴器，绞龙整体需抬高；
2、沉锂泵机封损坏频次高，且不耐用；
3、除氟新安装的压滤泵异响大；
4、碳酸锂盘干机有两处漏点需维修；
5、室内小冷凝水罐去室内纯水罐管道漏水。</t>
  </si>
  <si>
    <t>104车间4月7日生产情况</t>
  </si>
  <si>
    <t>103车间4月8日生产情况</t>
  </si>
  <si>
    <t>蒸发累计时长\平均蒸发量：</t>
  </si>
  <si>
    <t>1、元明粉出料中间绞龙传动方式由链条改为联轴器，绞龙整体需抬高；
2、沉锂泵机封损坏频次高，且不耐用；
3、除氟新安装的压滤泵异响大；
4、203北侧卷帘门打不开；
5、离心机管道止回阀需更换；
6、碳酸锂包装机做固定和换收尘平台；
7、MVR预热器做平台。</t>
  </si>
  <si>
    <t>104车间4月8日生产情况</t>
  </si>
  <si>
    <t>103车间4月9日生产情况</t>
  </si>
  <si>
    <t>1、元明粉出料中间绞龙传动方式由链条改为联轴器，绞龙整体需抬高；
2、沉锂泵机封损坏频次高，且不耐用；
3、除氟新安装的压滤泵异响大；
4、碳酸锂包装机做固定和换收尘平台；
5、MVR预热器做平台。</t>
  </si>
  <si>
    <t>104车间4月9日生产情况</t>
  </si>
  <si>
    <t>103车间4月10日生产情况</t>
  </si>
  <si>
    <t>104车间4月10日生产情况</t>
  </si>
  <si>
    <t>103车间4月11日生产情况</t>
  </si>
  <si>
    <t>104车间4月11日生产情况</t>
  </si>
  <si>
    <t>103车间4月12日生产情况</t>
  </si>
  <si>
    <t>104车间4月12日生产情况</t>
  </si>
  <si>
    <t>103车间4月13日生产情况</t>
  </si>
  <si>
    <t>104车间4月13日生产情况</t>
  </si>
  <si>
    <t>103车间4月14日生产情况</t>
  </si>
  <si>
    <t>1、三楼离心机止回阀处做个带护栏平台，方便拆卸维修。</t>
  </si>
  <si>
    <t>104车间4月14日生产情况</t>
  </si>
  <si>
    <t>103车间4月15日生产情况</t>
  </si>
  <si>
    <t>1、三楼离心机止回阀处做个带护栏平台，方便拆卸维修；
2、除氟进预调D釜进料管道漏液需处理；
3、合成D釜需进釜割断套管取出断掉的测温杆后，恢复套管和温度变送器；
4、拆离心机；
5、合成E釜两侧人孔需恢复；
6、一次浆洗泵进口漏需处理。</t>
  </si>
  <si>
    <t>104车间4月15日生产情况</t>
  </si>
  <si>
    <t>103车间4月16日生产情况</t>
  </si>
  <si>
    <t>1、三楼离心机止回阀处做个带护栏平台，方便拆卸维修；
2、蒸发预调PH计数不准需更换。</t>
  </si>
  <si>
    <t>104车间4月16日生产情况</t>
  </si>
  <si>
    <t>103车间4月17日生产情况</t>
  </si>
  <si>
    <t>1、三楼离心机止回阀处做个带护栏平台，方便拆卸维修；
2、车间内纯水管道漏需维修。</t>
  </si>
  <si>
    <t>104车间4月17日生产情况</t>
  </si>
  <si>
    <t>103车间4月18日生产情况</t>
  </si>
  <si>
    <t>1、三楼离心机止回阀处做个带护栏平台，方便拆卸维修；
2、MVR排净管道漏需维修；
3、合成D釜温度计处焊接口漏料需补焊。</t>
  </si>
  <si>
    <t>104车间4月18日生产情况</t>
  </si>
  <si>
    <t>103车间4月19日生产情况</t>
  </si>
  <si>
    <t>1、三楼离心机止回阀处做个带护栏平台，方便拆卸维修；
2、西侧地坑泵去母液罐或者除重A；
3、新压滤机翻版液去除重F，东地坑也去除重F；
4、纯水罐出口安装纯水系统袋式过滤器，避免铁锈影响碳酸锂。</t>
  </si>
  <si>
    <t>104车间4月19日生产情况</t>
  </si>
  <si>
    <t>103车间4月20日生产情况</t>
  </si>
  <si>
    <t>1、三楼离心机止回阀处做个带护栏平台，方便拆卸维修；
2、西侧地坑水引到母液罐；
3、车间逃生指示灯脱落不亮需恢复。</t>
  </si>
  <si>
    <t>104车间4月20日生产情况</t>
  </si>
  <si>
    <t>103车间4月21日生产情况</t>
  </si>
  <si>
    <t>1、三楼离心机止回阀处做个带护栏平台，方便拆卸维修；
2、东侧地坑去除重釜管道改造。</t>
  </si>
  <si>
    <t>104车间4月21日生产情况</t>
  </si>
  <si>
    <t>103车间4月22日生产情况</t>
  </si>
  <si>
    <t>1、三楼离心机止回阀处做个带护栏平台，方便拆卸维修；
2、103MVR机封水泵更换机封。</t>
  </si>
  <si>
    <t>104车间4月22日生产情况</t>
  </si>
  <si>
    <t>103车间4月23日生产情况</t>
  </si>
  <si>
    <t>1、三楼离心机止回阀处做个带护栏平台，方便拆卸维修；
2、103预热器平台制作。</t>
  </si>
  <si>
    <t>104车间4月23日生产情况</t>
  </si>
  <si>
    <t>103车间4月24日生产情况</t>
  </si>
  <si>
    <t xml:space="preserve">1、没料时碳酸锂离心机止回阀移到平台处，原来处用短接，平台上在移位后止回阀处做一个小平台；
2、四化建加固硫酸管道。
</t>
  </si>
  <si>
    <t>104车间4月24日生产情况</t>
  </si>
  <si>
    <t>103车间4月25日生产情况</t>
  </si>
  <si>
    <t>104车间4月25日生产情况</t>
  </si>
  <si>
    <t>103车间4月26日生产情况</t>
  </si>
  <si>
    <t>1、卸渣区行车需紧固并增加卡扣。</t>
  </si>
  <si>
    <t>104车间4月26日生产情况</t>
  </si>
  <si>
    <t>103车间4月27日生产情况</t>
  </si>
  <si>
    <t>1、203元明粉下料口电机转，关风机不转，减速机坏了需维修。</t>
  </si>
  <si>
    <t>104车间4月27日生产情况</t>
  </si>
  <si>
    <t>103车间4月28日生产情况</t>
  </si>
  <si>
    <t>1、原炭浆化槽AB、除重F、碳酸钠配置AB，需加装吨袋破包装置，消除人工割袋作业的安全隐患；另外，除氟A需增加投料口和破包装置。</t>
  </si>
  <si>
    <t>1、卸渣区行车安装卡扣。</t>
  </si>
  <si>
    <t>104车间4月28日生产情况</t>
  </si>
  <si>
    <t>103车间4月29日生产情况</t>
  </si>
  <si>
    <t>4月17手写错误</t>
  </si>
  <si>
    <t>1、安装沉锂泵；
2、修冷凝水管漏点；
3、尾气人孔、沉降罐人孔、二效人孔漏料；
4、一效2泵排净阀关不严。</t>
  </si>
  <si>
    <t>104车间4月29日生产情况</t>
  </si>
  <si>
    <t>4月24手写错误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</si>
</sst>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20"/>
      <color rgb="FF00000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2"/>
      <color rgb="FFFF0000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1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6">
      <alignment vertical="center"/>
    </xf>
    <xf numFmtId="0" fontId="14" fillId="0" borderId="16">
      <alignment vertical="center"/>
    </xf>
    <xf numFmtId="0" fontId="15" fillId="0" borderId="17">
      <alignment vertical="center"/>
    </xf>
    <xf numFmtId="0" fontId="15" fillId="0" borderId="0">
      <alignment vertical="center"/>
    </xf>
    <xf numFmtId="0" fontId="16" fillId="3" borderId="18">
      <alignment vertical="center"/>
    </xf>
    <xf numFmtId="0" fontId="17" fillId="4" borderId="19">
      <alignment vertical="center"/>
    </xf>
    <xf numFmtId="0" fontId="18" fillId="4" borderId="18">
      <alignment vertical="center"/>
    </xf>
    <xf numFmtId="0" fontId="19" fillId="5" borderId="20">
      <alignment vertical="center"/>
    </xf>
    <xf numFmtId="0" fontId="20" fillId="0" borderId="21">
      <alignment vertical="center"/>
    </xf>
    <xf numFmtId="0" fontId="21" fillId="0" borderId="22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5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0" fillId="0" borderId="3" xfId="0" applyBorder="1" applyAlignment="1"/>
    <xf numFmtId="0" fontId="0" fillId="0" borderId="4" xfId="0" applyBorder="1" applyAlignment="1"/>
    <xf numFmtId="49" fontId="4" fillId="0" borderId="2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6" xfId="0" applyBorder="1" applyAlignment="1"/>
    <xf numFmtId="0" fontId="0" fillId="0" borderId="7" xfId="0" applyBorder="1" applyAlignment="1"/>
    <xf numFmtId="0" fontId="1" fillId="0" borderId="7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9" xfId="0" applyBorder="1" applyAlignment="1"/>
    <xf numFmtId="0" fontId="0" fillId="0" borderId="10" xfId="0" applyBorder="1" applyAlignment="1"/>
    <xf numFmtId="0" fontId="1" fillId="0" borderId="2" xfId="0" applyFont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8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comments" Target="../comments3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5" workbookViewId="0">
      <selection activeCell="G18" sqref="G18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5" t="s">
        <v>0</v>
      </c>
    </row>
    <row r="2" s="1" customFormat="1" ht="25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7">
        <v>1</v>
      </c>
      <c r="B3" s="8" t="s">
        <v>13</v>
      </c>
      <c r="C3" s="9">
        <v>0.5</v>
      </c>
      <c r="D3" s="9">
        <v>1.5</v>
      </c>
      <c r="E3" s="10">
        <f t="shared" ref="E3:E12" si="0">C3+D3</f>
        <v>2</v>
      </c>
      <c r="F3" s="10" t="s">
        <v>14</v>
      </c>
      <c r="G3" s="10">
        <f>2</f>
        <v>2</v>
      </c>
      <c r="H3" s="10">
        <v>294</v>
      </c>
      <c r="I3" s="10">
        <f>H3-G3</f>
        <v>292</v>
      </c>
      <c r="J3" s="10"/>
      <c r="K3" s="10"/>
      <c r="L3" s="10"/>
      <c r="M3" s="10">
        <f>I3/29</f>
        <v>10.0689655172414</v>
      </c>
    </row>
    <row r="4" s="1" customFormat="1" ht="56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14</f>
        <v>14</v>
      </c>
      <c r="H4" s="13"/>
      <c r="I4" s="13"/>
      <c r="J4" s="10"/>
      <c r="K4" s="10"/>
      <c r="L4" s="10"/>
      <c r="M4" s="10"/>
    </row>
    <row r="5" s="1" customFormat="1" ht="56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</f>
        <v>0</v>
      </c>
      <c r="H5" s="10">
        <v>4346</v>
      </c>
      <c r="I5" s="10">
        <f>H5-G5-G7-G6</f>
        <v>4140</v>
      </c>
      <c r="J5" s="20"/>
      <c r="K5" s="10"/>
      <c r="L5" s="10"/>
      <c r="M5" s="10"/>
    </row>
    <row r="6" s="1" customFormat="1" ht="4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</f>
        <v>0</v>
      </c>
      <c r="H6" s="15"/>
      <c r="I6" s="15"/>
      <c r="J6" s="10"/>
      <c r="K6" s="10"/>
      <c r="L6" s="10"/>
      <c r="M6" s="10"/>
    </row>
    <row r="7" s="1" customFormat="1" ht="45" customHeight="1" spans="1:13">
      <c r="A7" s="15"/>
      <c r="B7" s="8" t="s">
        <v>18</v>
      </c>
      <c r="C7" s="10">
        <v>90</v>
      </c>
      <c r="D7" s="10">
        <v>116</v>
      </c>
      <c r="E7" s="10">
        <f t="shared" si="0"/>
        <v>206</v>
      </c>
      <c r="F7" s="10" t="s">
        <v>14</v>
      </c>
      <c r="G7" s="10">
        <f>206</f>
        <v>206</v>
      </c>
      <c r="H7" s="15"/>
      <c r="I7" s="15"/>
      <c r="J7" s="10"/>
      <c r="K7" s="10"/>
      <c r="L7" s="10"/>
      <c r="M7" s="10"/>
    </row>
    <row r="8" s="1" customFormat="1" ht="52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</f>
        <v>0</v>
      </c>
      <c r="H8" s="16"/>
      <c r="I8" s="16"/>
      <c r="J8" s="10"/>
      <c r="K8" s="10"/>
      <c r="L8" s="10"/>
      <c r="M8" s="10"/>
    </row>
    <row r="9" s="1" customFormat="1" ht="35" customHeight="1" spans="1:13">
      <c r="A9" s="12">
        <v>4</v>
      </c>
      <c r="B9" s="17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</f>
        <v>0</v>
      </c>
      <c r="H9" s="13">
        <v>5.42</v>
      </c>
      <c r="I9" s="13">
        <f>H9-K10</f>
        <v>5.42</v>
      </c>
      <c r="J9" s="18" t="s">
        <v>21</v>
      </c>
      <c r="K9" s="13">
        <v>6</v>
      </c>
      <c r="L9" s="13">
        <v>0</v>
      </c>
      <c r="M9" s="19"/>
    </row>
    <row r="10" s="1" customFormat="1" ht="25" customHeight="1" spans="1:13">
      <c r="A10" s="7">
        <v>5</v>
      </c>
      <c r="B10" s="8" t="s">
        <v>22</v>
      </c>
      <c r="C10" s="10">
        <v>5.265</v>
      </c>
      <c r="D10" s="10">
        <v>0</v>
      </c>
      <c r="E10" s="10">
        <f t="shared" si="0"/>
        <v>5.265</v>
      </c>
      <c r="F10" s="10" t="s">
        <v>14</v>
      </c>
      <c r="G10" s="10">
        <f>5.265</f>
        <v>5.265</v>
      </c>
      <c r="H10" s="10"/>
      <c r="I10" s="10">
        <f>G10/(G3*0.1865)</f>
        <v>14.1152815013405</v>
      </c>
      <c r="J10" s="18" t="s">
        <v>23</v>
      </c>
      <c r="K10" s="20">
        <f>0</f>
        <v>0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8.832</v>
      </c>
      <c r="D11" s="10">
        <v>0</v>
      </c>
      <c r="E11" s="10">
        <f t="shared" si="0"/>
        <v>8.832</v>
      </c>
      <c r="F11" s="10" t="s">
        <v>14</v>
      </c>
      <c r="G11" s="10">
        <f>8.832</f>
        <v>8.832</v>
      </c>
      <c r="H11" s="10"/>
      <c r="I11" s="10">
        <f>G11/(G3*0.1865)</f>
        <v>23.6782841823056</v>
      </c>
      <c r="J11" s="10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15</v>
      </c>
      <c r="D12" s="10">
        <v>241</v>
      </c>
      <c r="E12" s="10">
        <f t="shared" si="0"/>
        <v>256</v>
      </c>
      <c r="F12" s="10"/>
      <c r="G12" s="10">
        <f>256</f>
        <v>256</v>
      </c>
      <c r="H12" s="10">
        <f>G12*1.05</f>
        <v>268.8</v>
      </c>
      <c r="I12" s="10"/>
      <c r="J12" s="10"/>
      <c r="K12" s="10"/>
      <c r="L12" s="10"/>
      <c r="M12" s="21"/>
    </row>
    <row r="13" s="1" customFormat="1" ht="30" customHeight="1" spans="1:13">
      <c r="A13" s="7">
        <v>8</v>
      </c>
      <c r="B13" s="8" t="s">
        <v>26</v>
      </c>
      <c r="C13" s="10">
        <v>0</v>
      </c>
      <c r="D13" s="10">
        <v>142</v>
      </c>
      <c r="E13" s="10">
        <f t="shared" ref="E13:E20" si="1">D13+C13</f>
        <v>142</v>
      </c>
      <c r="F13" s="10" t="s">
        <v>27</v>
      </c>
      <c r="G13" s="10">
        <f>142</f>
        <v>142</v>
      </c>
      <c r="H13" s="10"/>
      <c r="I13" s="10"/>
      <c r="J13" s="20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391.19</v>
      </c>
      <c r="D14" s="10">
        <v>461.44</v>
      </c>
      <c r="E14" s="10">
        <f t="shared" si="1"/>
        <v>852.63</v>
      </c>
      <c r="F14" s="10" t="s">
        <v>27</v>
      </c>
      <c r="G14" s="10">
        <f>852.63</f>
        <v>852.63</v>
      </c>
      <c r="H14" s="10"/>
      <c r="I14" s="10"/>
      <c r="J14" s="18" t="s">
        <v>29</v>
      </c>
      <c r="K14" s="10">
        <v>2.84</v>
      </c>
      <c r="L14" s="10">
        <v>2.94</v>
      </c>
      <c r="M14" s="10"/>
    </row>
    <row r="15" s="1" customFormat="1" ht="25" customHeight="1" spans="1:13">
      <c r="A15" s="7">
        <v>10</v>
      </c>
      <c r="B15" s="8" t="s">
        <v>30</v>
      </c>
      <c r="C15" s="10">
        <v>0</v>
      </c>
      <c r="D15" s="10">
        <v>0</v>
      </c>
      <c r="E15" s="10">
        <f t="shared" si="1"/>
        <v>0</v>
      </c>
      <c r="F15" s="10" t="s">
        <v>14</v>
      </c>
      <c r="G15" s="10">
        <f>0</f>
        <v>0</v>
      </c>
      <c r="H15" s="10"/>
      <c r="I15" s="10"/>
      <c r="J15" s="18" t="s">
        <v>31</v>
      </c>
      <c r="K15" s="20">
        <f>2.4676132</f>
        <v>2.4676132</v>
      </c>
      <c r="L15" s="10"/>
      <c r="M15" s="10">
        <f>(C14*K14+L14*D14)/1000</f>
        <v>2.4676132</v>
      </c>
    </row>
    <row r="16" s="1" customFormat="1" ht="25" customHeight="1" spans="1:13">
      <c r="A16" s="7">
        <v>11</v>
      </c>
      <c r="B16" s="8" t="s">
        <v>32</v>
      </c>
      <c r="C16" s="10">
        <v>0</v>
      </c>
      <c r="D16" s="10">
        <v>6</v>
      </c>
      <c r="E16" s="10">
        <f t="shared" si="1"/>
        <v>6</v>
      </c>
      <c r="F16" s="10" t="s">
        <v>14</v>
      </c>
      <c r="G16" s="10">
        <f>6</f>
        <v>6</v>
      </c>
      <c r="H16" s="10"/>
      <c r="I16" s="10">
        <f>G16/(G3*0.1865)</f>
        <v>16.0857908847185</v>
      </c>
      <c r="J16" s="10"/>
      <c r="K16" s="10"/>
      <c r="L16" s="10"/>
      <c r="M16" s="22"/>
    </row>
    <row r="17" s="1" customFormat="1" ht="29" customHeight="1" spans="1:13">
      <c r="A17" s="7">
        <v>12</v>
      </c>
      <c r="B17" s="8" t="s">
        <v>33</v>
      </c>
      <c r="C17" s="7">
        <v>0</v>
      </c>
      <c r="D17" s="7">
        <v>0.1</v>
      </c>
      <c r="E17" s="10">
        <f t="shared" si="1"/>
        <v>0.1</v>
      </c>
      <c r="F17" s="10" t="s">
        <v>14</v>
      </c>
      <c r="G17" s="10">
        <f>0.1</f>
        <v>0.1</v>
      </c>
      <c r="H17" s="22"/>
      <c r="I17" s="22"/>
      <c r="J17" s="22"/>
      <c r="K17" s="22"/>
      <c r="L17" s="22"/>
      <c r="M17" s="10"/>
    </row>
    <row r="18" s="1" customFormat="1" ht="29" customHeight="1" spans="1:13">
      <c r="A18" s="7">
        <v>13</v>
      </c>
      <c r="B18" s="8" t="s">
        <v>34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0</f>
        <v>0</v>
      </c>
      <c r="H18" s="22"/>
      <c r="I18" s="22">
        <f>G18/(G3*0.1865)</f>
        <v>0</v>
      </c>
      <c r="J18" s="22"/>
      <c r="K18" s="22"/>
      <c r="L18" s="22"/>
      <c r="M18" s="10"/>
    </row>
    <row r="19" s="1" customFormat="1" ht="29" customHeight="1" spans="1:13">
      <c r="A19" s="7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</f>
        <v>0</v>
      </c>
      <c r="H19" s="22"/>
      <c r="I19" s="22">
        <f>G19/(G3*0.1865)</f>
        <v>0</v>
      </c>
      <c r="J19" s="22"/>
      <c r="K19" s="22"/>
      <c r="L19" s="22"/>
      <c r="M19" s="10"/>
    </row>
    <row r="20" s="1" customFormat="1" ht="29" customHeight="1" spans="1:13">
      <c r="A20" s="7">
        <v>15</v>
      </c>
      <c r="B20" s="8" t="s">
        <v>36</v>
      </c>
      <c r="C20" s="10">
        <v>7</v>
      </c>
      <c r="D20" s="7">
        <v>5</v>
      </c>
      <c r="E20" s="10">
        <f t="shared" si="1"/>
        <v>12</v>
      </c>
      <c r="F20" s="10" t="s">
        <v>37</v>
      </c>
      <c r="G20" s="10">
        <f>12</f>
        <v>12</v>
      </c>
      <c r="H20" s="22"/>
      <c r="I20" s="22"/>
      <c r="J20" s="22"/>
      <c r="K20" s="22"/>
      <c r="L20" s="22"/>
      <c r="M20" s="10"/>
    </row>
    <row r="21" s="1" customFormat="1" ht="29" customHeight="1" spans="1:13">
      <c r="A21" s="7">
        <v>16</v>
      </c>
      <c r="B21" s="8" t="s">
        <v>38</v>
      </c>
      <c r="C21" s="7">
        <v>0</v>
      </c>
      <c r="D21" s="7">
        <v>0</v>
      </c>
      <c r="E21" s="10">
        <v>0</v>
      </c>
      <c r="F21" s="10" t="s">
        <v>37</v>
      </c>
      <c r="G21" s="10">
        <f>0</f>
        <v>0</v>
      </c>
      <c r="H21" s="22"/>
      <c r="I21" s="22"/>
      <c r="J21" s="20"/>
      <c r="K21" s="22"/>
      <c r="L21" s="22"/>
      <c r="M21" s="10"/>
    </row>
    <row r="22" s="1" customFormat="1" ht="29" customHeight="1" spans="1:13">
      <c r="A22" s="7">
        <v>17</v>
      </c>
      <c r="B22" s="8" t="s">
        <v>39</v>
      </c>
      <c r="C22" s="7">
        <v>642</v>
      </c>
      <c r="D22" s="7">
        <v>662</v>
      </c>
      <c r="E22" s="10">
        <f>D22+C22</f>
        <v>1304</v>
      </c>
      <c r="F22" s="10" t="s">
        <v>27</v>
      </c>
      <c r="G22" s="10">
        <f>1304</f>
        <v>1304</v>
      </c>
      <c r="H22" s="23"/>
      <c r="I22" s="10">
        <f>E22/M22</f>
        <v>55.4893617021277</v>
      </c>
      <c r="J22" s="41" t="s">
        <v>40</v>
      </c>
      <c r="K22" s="10">
        <f>23.5</f>
        <v>23.5</v>
      </c>
      <c r="L22" s="10">
        <f>G22/K22</f>
        <v>55.4893617021277</v>
      </c>
      <c r="M22" s="10">
        <v>23.5</v>
      </c>
    </row>
    <row r="23" s="1" customFormat="1" ht="29" customHeight="1" spans="1:13">
      <c r="A23" s="7">
        <v>18</v>
      </c>
      <c r="B23" s="8" t="s">
        <v>41</v>
      </c>
      <c r="C23" s="7">
        <v>639</v>
      </c>
      <c r="D23" s="7">
        <v>827</v>
      </c>
      <c r="E23" s="10">
        <f>D23+C23</f>
        <v>1466</v>
      </c>
      <c r="F23" s="10" t="s">
        <v>27</v>
      </c>
      <c r="G23" s="10">
        <f>1466</f>
        <v>1466</v>
      </c>
      <c r="H23" s="22"/>
      <c r="I23" s="22">
        <f>E23/M22</f>
        <v>62.3829787234043</v>
      </c>
      <c r="J23" s="22"/>
      <c r="K23" s="22"/>
      <c r="L23" s="22"/>
      <c r="M23" s="10"/>
    </row>
    <row r="24" s="1" customFormat="1" ht="29" customHeight="1" spans="1:13">
      <c r="A24" s="7">
        <v>19</v>
      </c>
      <c r="B24" s="8" t="s">
        <v>42</v>
      </c>
      <c r="C24" s="7">
        <v>31.46</v>
      </c>
      <c r="D24" s="7">
        <v>32.32</v>
      </c>
      <c r="E24" s="10"/>
      <c r="F24" s="10" t="s">
        <v>43</v>
      </c>
      <c r="G24" s="10"/>
      <c r="H24" s="22"/>
      <c r="I24" s="22"/>
      <c r="J24" s="22"/>
      <c r="K24" s="22"/>
      <c r="L24" s="22"/>
      <c r="M24" s="10"/>
    </row>
    <row r="25" s="1" customFormat="1" ht="149" customHeight="1" spans="1:13">
      <c r="A25" s="7">
        <v>20</v>
      </c>
      <c r="B25" s="26" t="s">
        <v>44</v>
      </c>
      <c r="C25" s="27" t="s">
        <v>45</v>
      </c>
      <c r="D25" s="28"/>
      <c r="E25" s="28"/>
      <c r="F25" s="28"/>
      <c r="G25" s="28"/>
      <c r="H25" s="28"/>
      <c r="I25" s="28"/>
      <c r="J25" s="28"/>
      <c r="K25" s="28"/>
      <c r="L25" s="29"/>
      <c r="M25" s="27"/>
    </row>
    <row r="26" s="1" customFormat="1" ht="130" customHeight="1" spans="1:13">
      <c r="A26" s="7">
        <v>21</v>
      </c>
      <c r="B26" s="31" t="s">
        <v>46</v>
      </c>
      <c r="C26" s="27" t="s">
        <v>47</v>
      </c>
      <c r="D26" s="28"/>
      <c r="E26" s="28"/>
      <c r="F26" s="28"/>
      <c r="G26" s="28"/>
      <c r="H26" s="28"/>
      <c r="I26" s="28"/>
      <c r="J26" s="28"/>
      <c r="K26" s="28"/>
      <c r="L26" s="29"/>
      <c r="M26" s="31"/>
    </row>
    <row r="27" s="1" customFormat="1" ht="130" customHeight="1" spans="1:13">
      <c r="A27" s="7">
        <v>22</v>
      </c>
      <c r="B27" s="31" t="s">
        <v>48</v>
      </c>
      <c r="C27" s="42" t="s">
        <v>49</v>
      </c>
      <c r="D27" s="28"/>
      <c r="E27" s="28"/>
      <c r="F27" s="28"/>
      <c r="G27" s="28"/>
      <c r="H27" s="28"/>
      <c r="I27" s="28"/>
      <c r="J27" s="28"/>
      <c r="K27" s="28"/>
      <c r="L27" s="29"/>
      <c r="M27" s="31"/>
    </row>
    <row r="28" s="1" customFormat="1" ht="14" customHeight="1" spans="1:13">
      <c r="C28" s="33"/>
      <c r="D28" s="33"/>
    </row>
    <row r="29" s="1" customFormat="1" ht="25" customHeight="1" spans="1:13">
      <c r="A29" s="5" t="s">
        <v>50</v>
      </c>
    </row>
    <row r="30" s="1" customFormat="1" ht="25" customHeight="1" spans="1:13">
      <c r="A30" s="6" t="s">
        <v>51</v>
      </c>
      <c r="B30" s="6" t="s">
        <v>52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53</v>
      </c>
      <c r="C31" s="10">
        <v>0</v>
      </c>
      <c r="D31" s="10">
        <v>0</v>
      </c>
      <c r="E31" s="10">
        <f t="shared" ref="E31:E39" si="2">D31+C31</f>
        <v>0</v>
      </c>
      <c r="F31" s="10" t="s">
        <v>27</v>
      </c>
      <c r="G31" s="10">
        <f>0</f>
        <v>0</v>
      </c>
      <c r="H31" s="10"/>
      <c r="I31" s="10"/>
      <c r="J31" s="22"/>
      <c r="K31" s="22"/>
      <c r="L31" s="22"/>
      <c r="M31" s="10"/>
    </row>
    <row r="32" s="1" customFormat="1" ht="25" customHeight="1" spans="1:13">
      <c r="A32" s="7">
        <v>2</v>
      </c>
      <c r="B32" s="8" t="s">
        <v>54</v>
      </c>
      <c r="C32" s="10">
        <v>8.3</v>
      </c>
      <c r="D32" s="10">
        <v>8.24</v>
      </c>
      <c r="E32" s="10">
        <f t="shared" si="2"/>
        <v>16.54</v>
      </c>
      <c r="F32" s="10" t="s">
        <v>27</v>
      </c>
      <c r="G32" s="10">
        <f>16.54</f>
        <v>16.54</v>
      </c>
      <c r="H32" s="10"/>
      <c r="I32" s="10"/>
      <c r="J32" s="22"/>
      <c r="K32" s="22"/>
      <c r="L32" s="22"/>
      <c r="M32" s="21"/>
    </row>
    <row r="33" s="1" customFormat="1" ht="25" customHeight="1" spans="1:13">
      <c r="A33" s="7">
        <v>3</v>
      </c>
      <c r="B33" s="8" t="s">
        <v>55</v>
      </c>
      <c r="C33" s="10">
        <v>21</v>
      </c>
      <c r="D33" s="10">
        <v>6</v>
      </c>
      <c r="E33" s="10">
        <f t="shared" si="2"/>
        <v>27</v>
      </c>
      <c r="F33" s="10" t="s">
        <v>27</v>
      </c>
      <c r="G33" s="10">
        <f>27</f>
        <v>27</v>
      </c>
      <c r="H33" s="10"/>
      <c r="I33" s="10"/>
      <c r="J33" s="22"/>
      <c r="K33" s="22"/>
      <c r="L33" s="22"/>
      <c r="M33" s="21"/>
    </row>
    <row r="34" s="1" customFormat="1" ht="25" customHeight="1" spans="1:13">
      <c r="A34" s="7">
        <v>4</v>
      </c>
      <c r="B34" s="8" t="s">
        <v>56</v>
      </c>
      <c r="C34" s="10">
        <v>0</v>
      </c>
      <c r="D34" s="10">
        <v>0</v>
      </c>
      <c r="E34" s="10">
        <f t="shared" si="2"/>
        <v>0</v>
      </c>
      <c r="F34" s="10" t="s">
        <v>27</v>
      </c>
      <c r="G34" s="10">
        <f>0</f>
        <v>0</v>
      </c>
      <c r="H34" s="10"/>
      <c r="I34" s="10"/>
      <c r="J34" s="22"/>
      <c r="K34" s="22"/>
      <c r="L34" s="22"/>
      <c r="M34" s="21"/>
    </row>
    <row r="35" s="1" customFormat="1" ht="25" customHeight="1" spans="1:13">
      <c r="A35" s="7">
        <v>5</v>
      </c>
      <c r="B35" s="8" t="s">
        <v>22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</f>
        <v>0</v>
      </c>
      <c r="H35" s="10"/>
      <c r="J35" s="22"/>
      <c r="K35" s="22"/>
      <c r="L35" s="22"/>
      <c r="M35" s="22"/>
    </row>
    <row r="36" s="1" customFormat="1" ht="25" customHeight="1" spans="1:13">
      <c r="A36" s="7">
        <v>6</v>
      </c>
      <c r="B36" s="8" t="s">
        <v>24</v>
      </c>
      <c r="C36" s="10">
        <v>0</v>
      </c>
      <c r="D36" s="10">
        <v>0</v>
      </c>
      <c r="E36" s="10">
        <f t="shared" si="2"/>
        <v>0</v>
      </c>
      <c r="F36" s="10" t="s">
        <v>14</v>
      </c>
      <c r="G36" s="10">
        <f>0</f>
        <v>0</v>
      </c>
      <c r="H36" s="10"/>
      <c r="I36" s="10"/>
      <c r="J36" s="20"/>
      <c r="K36" s="22"/>
      <c r="L36" s="22"/>
      <c r="M36" s="22"/>
    </row>
    <row r="37" s="1" customFormat="1" ht="25" customHeight="1" spans="1:13">
      <c r="A37" s="7">
        <v>7</v>
      </c>
      <c r="B37" s="8" t="s">
        <v>57</v>
      </c>
      <c r="C37" s="10">
        <v>0</v>
      </c>
      <c r="D37" s="10">
        <v>0</v>
      </c>
      <c r="E37" s="10">
        <f t="shared" si="2"/>
        <v>0</v>
      </c>
      <c r="F37" s="10" t="s">
        <v>27</v>
      </c>
      <c r="G37" s="10">
        <f>0</f>
        <v>0</v>
      </c>
      <c r="H37" s="10"/>
      <c r="I37" s="10"/>
      <c r="J37" s="39"/>
      <c r="K37" s="22"/>
      <c r="L37" s="10"/>
      <c r="M37" s="22"/>
    </row>
    <row r="38" s="1" customFormat="1" ht="27" customHeight="1" spans="1:13">
      <c r="A38" s="7">
        <v>8</v>
      </c>
      <c r="B38" s="8" t="s">
        <v>58</v>
      </c>
      <c r="C38" s="10">
        <v>287</v>
      </c>
      <c r="D38" s="10">
        <v>312</v>
      </c>
      <c r="E38" s="10">
        <f t="shared" si="2"/>
        <v>599</v>
      </c>
      <c r="F38" s="10" t="s">
        <v>27</v>
      </c>
      <c r="G38" s="10">
        <f>599</f>
        <v>599</v>
      </c>
      <c r="H38" s="10"/>
      <c r="I38" s="10"/>
      <c r="J38" s="43"/>
      <c r="K38" s="22"/>
      <c r="L38" s="10"/>
      <c r="M38" s="22"/>
    </row>
    <row r="39" s="1" customFormat="1" ht="25" customHeight="1" spans="1:13">
      <c r="A39" s="7">
        <v>9</v>
      </c>
      <c r="B39" s="8" t="s">
        <v>59</v>
      </c>
      <c r="C39" s="10">
        <v>0</v>
      </c>
      <c r="D39" s="10">
        <v>0</v>
      </c>
      <c r="E39" s="44">
        <f t="shared" si="2"/>
        <v>0</v>
      </c>
      <c r="F39" s="10" t="s">
        <v>27</v>
      </c>
      <c r="G39" s="10">
        <f>0</f>
        <v>0</v>
      </c>
      <c r="H39" s="10"/>
      <c r="I39" s="10"/>
      <c r="J39" s="43"/>
      <c r="K39" s="45"/>
      <c r="L39" s="10"/>
      <c r="M39" s="22"/>
    </row>
    <row r="40" s="1" customFormat="1" ht="25" customHeight="1" spans="1:13">
      <c r="A40" s="7">
        <v>10</v>
      </c>
      <c r="B40" s="8" t="s">
        <v>60</v>
      </c>
      <c r="C40" s="10">
        <v>0</v>
      </c>
      <c r="D40" s="10">
        <v>0</v>
      </c>
      <c r="E40" s="10">
        <f>C40+D40</f>
        <v>0</v>
      </c>
      <c r="F40" s="10" t="s">
        <v>27</v>
      </c>
      <c r="G40" s="10">
        <f>0</f>
        <v>0</v>
      </c>
      <c r="H40" s="22"/>
      <c r="I40" s="7">
        <v>562.5</v>
      </c>
      <c r="J40" s="20"/>
      <c r="K40" s="37"/>
      <c r="L40" s="27"/>
      <c r="M40" s="38"/>
    </row>
    <row r="41" s="1" customFormat="1" ht="25" customHeight="1" spans="1:13">
      <c r="A41" s="7">
        <v>11</v>
      </c>
      <c r="B41" s="8" t="s">
        <v>61</v>
      </c>
      <c r="C41" s="10">
        <v>0</v>
      </c>
      <c r="D41" s="10">
        <v>0</v>
      </c>
      <c r="E41" s="10">
        <f>C41+D41</f>
        <v>0</v>
      </c>
      <c r="F41" s="10" t="s">
        <v>27</v>
      </c>
      <c r="G41" s="10">
        <f>0</f>
        <v>0</v>
      </c>
      <c r="H41" s="22"/>
      <c r="I41" s="7">
        <v>129.4214</v>
      </c>
      <c r="J41" s="27"/>
      <c r="K41" s="37"/>
      <c r="L41" s="27"/>
      <c r="M41" s="38"/>
    </row>
    <row r="42" s="1" customFormat="1" ht="25" customHeight="1" spans="1:13">
      <c r="A42" s="7">
        <v>12</v>
      </c>
      <c r="B42" s="8" t="s">
        <v>62</v>
      </c>
      <c r="C42" s="7">
        <v>2</v>
      </c>
      <c r="D42" s="7">
        <v>0</v>
      </c>
      <c r="E42" s="10">
        <f>D42+C42</f>
        <v>2</v>
      </c>
      <c r="F42" s="10" t="s">
        <v>37</v>
      </c>
      <c r="G42" s="10">
        <f>2</f>
        <v>2</v>
      </c>
      <c r="H42" s="22"/>
      <c r="I42" s="10">
        <v>12</v>
      </c>
      <c r="J42" s="27"/>
      <c r="K42" s="27"/>
      <c r="L42" s="27"/>
      <c r="M42" s="38"/>
    </row>
    <row r="43" s="1" customFormat="1" ht="78" customHeight="1" spans="1:13">
      <c r="A43" s="7">
        <v>13</v>
      </c>
      <c r="B43" s="46" t="s">
        <v>48</v>
      </c>
      <c r="C43" s="47" t="s">
        <v>63</v>
      </c>
      <c r="D43" s="48"/>
      <c r="E43" s="48"/>
      <c r="F43" s="48"/>
      <c r="G43" s="48"/>
      <c r="H43" s="48"/>
      <c r="I43" s="48"/>
      <c r="J43" s="48"/>
      <c r="K43" s="48"/>
      <c r="L43" s="49"/>
      <c r="M43" s="50"/>
    </row>
    <row r="44" s="1" customFormat="1" spans="1:13">
      <c r="A44" s="38" t="s">
        <v>64</v>
      </c>
      <c r="B44" s="40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9"/>
    </row>
    <row r="45" s="1" customFormat="1" spans="1:13">
      <c r="A45" s="15"/>
      <c r="B45" s="51"/>
      <c r="M45" s="52"/>
    </row>
    <row r="46" s="1" customFormat="1" spans="1:13">
      <c r="A46" s="15"/>
      <c r="B46" s="51"/>
      <c r="M46" s="52"/>
    </row>
    <row r="47" s="1" customFormat="1" spans="1:13">
      <c r="A47" s="15"/>
      <c r="B47" s="51"/>
      <c r="M47" s="52"/>
    </row>
    <row r="48" s="1" customFormat="1" spans="1:13">
      <c r="A48" s="15"/>
      <c r="B48" s="51"/>
      <c r="M48" s="52"/>
    </row>
    <row r="49" s="1" customFormat="1" spans="1:13">
      <c r="A49" s="15"/>
      <c r="B49" s="51"/>
      <c r="M49" s="52"/>
    </row>
    <row r="50" s="1" customFormat="1" spans="1:13">
      <c r="A50" s="15"/>
      <c r="B50" s="51"/>
      <c r="M50" s="52"/>
    </row>
    <row r="51" s="1" customFormat="1" spans="1:13">
      <c r="A51" s="15"/>
      <c r="B51" s="51"/>
      <c r="M51" s="52"/>
    </row>
    <row r="52" s="1" customFormat="1" ht="12" customHeight="1" spans="1:13">
      <c r="A52" s="15"/>
      <c r="B52" s="51"/>
      <c r="M52" s="52"/>
    </row>
    <row r="53" s="1" customFormat="1" hidden="1" spans="1:13">
      <c r="A53" s="15"/>
      <c r="B53" s="51"/>
      <c r="M53" s="52"/>
    </row>
    <row r="54" s="1" customFormat="1" hidden="1" spans="1:13">
      <c r="A54" s="15"/>
      <c r="B54" s="51"/>
      <c r="M54" s="52"/>
    </row>
    <row r="55" spans="1:13">
      <c r="A55" s="16"/>
      <c r="B55" s="53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5"/>
    </row>
    <row r="63" s="1" customFormat="1" spans="1:13">
      <c r="C63" s="33"/>
      <c r="D63" s="33"/>
    </row>
    <row r="64" spans="1:13">
      <c r="L64" s="1"/>
    </row>
  </sheetData>
  <mergeCells count="11">
    <mergeCell ref="A1:M1"/>
    <mergeCell ref="C25:L25"/>
    <mergeCell ref="C26:L26"/>
    <mergeCell ref="C27:L27"/>
    <mergeCell ref="A29:M29"/>
    <mergeCell ref="C43:L43"/>
    <mergeCell ref="A5:A8"/>
    <mergeCell ref="A44:A55"/>
    <mergeCell ref="H5:H8"/>
    <mergeCell ref="I5:I8"/>
    <mergeCell ref="B44:M55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workbookViewId="0">
      <selection activeCell="G18" sqref="G18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5" t="s">
        <v>65</v>
      </c>
    </row>
    <row r="2" s="1" customFormat="1" ht="25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7">
        <v>1</v>
      </c>
      <c r="B3" s="8" t="s">
        <v>13</v>
      </c>
      <c r="C3" s="9">
        <v>7.5</v>
      </c>
      <c r="D3" s="9">
        <v>7</v>
      </c>
      <c r="E3" s="10">
        <f t="shared" ref="E3:E12" si="0">C3+D3</f>
        <v>14.5</v>
      </c>
      <c r="F3" s="10" t="s">
        <v>14</v>
      </c>
      <c r="G3" s="10">
        <f>2+14.5</f>
        <v>16.5</v>
      </c>
      <c r="H3" s="10">
        <v>294</v>
      </c>
      <c r="I3" s="10">
        <f>H3-G3</f>
        <v>277.5</v>
      </c>
      <c r="J3" s="10"/>
      <c r="K3" s="10"/>
      <c r="L3" s="10"/>
      <c r="M3" s="10">
        <f>I3/28</f>
        <v>9.91071428571429</v>
      </c>
    </row>
    <row r="4" s="1" customFormat="1" ht="56" customHeight="1" spans="1:13">
      <c r="A4" s="12">
        <v>2</v>
      </c>
      <c r="B4" s="8" t="s">
        <v>15</v>
      </c>
      <c r="C4" s="9">
        <v>2</v>
      </c>
      <c r="D4" s="9"/>
      <c r="E4" s="10">
        <f t="shared" si="0"/>
        <v>2</v>
      </c>
      <c r="F4" s="10" t="s">
        <v>14</v>
      </c>
      <c r="G4" s="10">
        <f>14+2</f>
        <v>16</v>
      </c>
      <c r="H4" s="13"/>
      <c r="I4" s="13"/>
      <c r="J4" s="10"/>
      <c r="K4" s="10"/>
      <c r="L4" s="10"/>
      <c r="M4" s="10"/>
    </row>
    <row r="5" s="1" customFormat="1" ht="56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</f>
        <v>0</v>
      </c>
      <c r="H5" s="10">
        <v>4346</v>
      </c>
      <c r="I5" s="10">
        <f>H5-G5-G7-G6</f>
        <v>3968</v>
      </c>
      <c r="J5" s="20"/>
      <c r="K5" s="10"/>
      <c r="L5" s="10"/>
      <c r="M5" s="10"/>
    </row>
    <row r="6" s="1" customFormat="1" ht="4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</f>
        <v>0</v>
      </c>
      <c r="H6" s="15"/>
      <c r="I6" s="15"/>
      <c r="J6" s="10"/>
      <c r="K6" s="10"/>
      <c r="L6" s="10"/>
      <c r="M6" s="10"/>
    </row>
    <row r="7" s="1" customFormat="1" ht="45" customHeight="1" spans="1:13">
      <c r="A7" s="15"/>
      <c r="B7" s="8" t="s">
        <v>18</v>
      </c>
      <c r="C7" s="10">
        <v>81</v>
      </c>
      <c r="D7" s="10">
        <v>91</v>
      </c>
      <c r="E7" s="10">
        <f t="shared" si="0"/>
        <v>172</v>
      </c>
      <c r="F7" s="10" t="s">
        <v>14</v>
      </c>
      <c r="G7" s="10">
        <f>206+172</f>
        <v>378</v>
      </c>
      <c r="H7" s="15"/>
      <c r="I7" s="15"/>
      <c r="J7" s="10"/>
      <c r="K7" s="10"/>
      <c r="L7" s="10"/>
      <c r="M7" s="10"/>
    </row>
    <row r="8" s="1" customFormat="1" ht="52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</f>
        <v>0</v>
      </c>
      <c r="H8" s="16"/>
      <c r="I8" s="16"/>
      <c r="J8" s="10"/>
      <c r="K8" s="10"/>
      <c r="L8" s="10"/>
      <c r="M8" s="10"/>
    </row>
    <row r="9" s="1" customFormat="1" ht="35" customHeight="1" spans="1:13">
      <c r="A9" s="12">
        <v>4</v>
      </c>
      <c r="B9" s="17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</f>
        <v>0</v>
      </c>
      <c r="H9" s="13">
        <v>5.42</v>
      </c>
      <c r="I9" s="13">
        <f>H9-K10</f>
        <v>5.42</v>
      </c>
      <c r="J9" s="18" t="s">
        <v>21</v>
      </c>
      <c r="K9" s="13">
        <v>2</v>
      </c>
      <c r="L9" s="13">
        <v>0</v>
      </c>
      <c r="M9" s="19"/>
    </row>
    <row r="10" s="1" customFormat="1" ht="25" customHeight="1" spans="1:13">
      <c r="A10" s="7">
        <v>5</v>
      </c>
      <c r="B10" s="8" t="s">
        <v>22</v>
      </c>
      <c r="C10" s="10">
        <v>5.8995</v>
      </c>
      <c r="D10" s="10">
        <v>2.0385</v>
      </c>
      <c r="E10" s="10">
        <f t="shared" si="0"/>
        <v>7.938</v>
      </c>
      <c r="F10" s="10" t="s">
        <v>14</v>
      </c>
      <c r="G10" s="10">
        <f>5.265+7.938</f>
        <v>13.203</v>
      </c>
      <c r="H10" s="10"/>
      <c r="I10" s="10">
        <f>G10/(G3*0.1865)</f>
        <v>4.29051913234219</v>
      </c>
      <c r="J10" s="18" t="s">
        <v>23</v>
      </c>
      <c r="K10" s="20">
        <f>0+0</f>
        <v>0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2.8336</v>
      </c>
      <c r="D11" s="10">
        <v>0</v>
      </c>
      <c r="E11" s="10">
        <f t="shared" si="0"/>
        <v>2.8336</v>
      </c>
      <c r="F11" s="10" t="s">
        <v>14</v>
      </c>
      <c r="G11" s="10">
        <f>8.832+2.8336</f>
        <v>11.6656</v>
      </c>
      <c r="H11" s="10"/>
      <c r="I11" s="10">
        <f>G11/(G3*0.1865)</f>
        <v>3.7909172150459</v>
      </c>
      <c r="J11" s="10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252</v>
      </c>
      <c r="D12" s="10">
        <v>249</v>
      </c>
      <c r="E12" s="10">
        <f t="shared" si="0"/>
        <v>501</v>
      </c>
      <c r="F12" s="10"/>
      <c r="G12" s="10">
        <f>256+501</f>
        <v>757</v>
      </c>
      <c r="H12" s="10">
        <f>G12*1.05</f>
        <v>794.85</v>
      </c>
      <c r="I12" s="10"/>
      <c r="J12" s="10"/>
      <c r="K12" s="10"/>
      <c r="L12" s="10"/>
      <c r="M12" s="21"/>
    </row>
    <row r="13" s="1" customFormat="1" ht="30" customHeight="1" spans="1:13">
      <c r="A13" s="7">
        <v>8</v>
      </c>
      <c r="B13" s="8" t="s">
        <v>26</v>
      </c>
      <c r="C13" s="10">
        <v>224</v>
      </c>
      <c r="D13" s="10">
        <v>254</v>
      </c>
      <c r="E13" s="10">
        <f t="shared" ref="E13:E20" si="1">D13+C13</f>
        <v>478</v>
      </c>
      <c r="F13" s="10" t="s">
        <v>27</v>
      </c>
      <c r="G13" s="10">
        <f>142+478</f>
        <v>620</v>
      </c>
      <c r="H13" s="10"/>
      <c r="I13" s="10"/>
      <c r="J13" s="20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318.65</v>
      </c>
      <c r="D14" s="10">
        <v>446.62</v>
      </c>
      <c r="E14" s="10">
        <f t="shared" si="1"/>
        <v>765.27</v>
      </c>
      <c r="F14" s="10" t="s">
        <v>27</v>
      </c>
      <c r="G14" s="10">
        <f>852.63+765.27</f>
        <v>1617.9</v>
      </c>
      <c r="H14" s="10"/>
      <c r="I14" s="10"/>
      <c r="J14" s="18" t="s">
        <v>29</v>
      </c>
      <c r="K14" s="10">
        <v>2.77</v>
      </c>
      <c r="L14" s="10">
        <v>3.44</v>
      </c>
      <c r="M14" s="10"/>
    </row>
    <row r="15" s="1" customFormat="1" ht="25" customHeight="1" spans="1:13">
      <c r="A15" s="7">
        <v>10</v>
      </c>
      <c r="B15" s="8" t="s">
        <v>30</v>
      </c>
      <c r="C15" s="10">
        <v>0</v>
      </c>
      <c r="D15" s="10">
        <v>0</v>
      </c>
      <c r="E15" s="10">
        <f t="shared" si="1"/>
        <v>0</v>
      </c>
      <c r="F15" s="10" t="s">
        <v>14</v>
      </c>
      <c r="G15" s="10">
        <f>0+0</f>
        <v>0</v>
      </c>
      <c r="H15" s="10"/>
      <c r="I15" s="10"/>
      <c r="J15" s="18" t="s">
        <v>31</v>
      </c>
      <c r="K15" s="20">
        <f>2.4676132+2.4190333</f>
        <v>4.8866465</v>
      </c>
      <c r="L15" s="10"/>
      <c r="M15" s="10">
        <f>(C14*K14+L14*D14)/1000</f>
        <v>2.4190333</v>
      </c>
    </row>
    <row r="16" s="1" customFormat="1" ht="25" customHeight="1" spans="1:13">
      <c r="A16" s="7">
        <v>11</v>
      </c>
      <c r="B16" s="8" t="s">
        <v>32</v>
      </c>
      <c r="C16" s="10">
        <v>21</v>
      </c>
      <c r="D16" s="10">
        <v>21</v>
      </c>
      <c r="E16" s="10">
        <f t="shared" si="1"/>
        <v>42</v>
      </c>
      <c r="F16" s="10" t="s">
        <v>14</v>
      </c>
      <c r="G16" s="10">
        <f>6+42</f>
        <v>48</v>
      </c>
      <c r="H16" s="10"/>
      <c r="I16" s="10">
        <f>G16/(G3*0.1865)</f>
        <v>15.5983426760907</v>
      </c>
      <c r="J16" s="10"/>
      <c r="K16" s="10"/>
      <c r="L16" s="10"/>
      <c r="M16" s="22"/>
    </row>
    <row r="17" s="1" customFormat="1" ht="29" customHeight="1" spans="1:13">
      <c r="A17" s="7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0.1+0</f>
        <v>0.1</v>
      </c>
      <c r="H17" s="22"/>
      <c r="I17" s="22"/>
      <c r="J17" s="22"/>
      <c r="K17" s="22"/>
      <c r="L17" s="22"/>
      <c r="M17" s="10"/>
    </row>
    <row r="18" s="1" customFormat="1" ht="29" customHeight="1" spans="1:13">
      <c r="A18" s="7">
        <v>13</v>
      </c>
      <c r="B18" s="8" t="s">
        <v>34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0+2</f>
        <v>2</v>
      </c>
      <c r="H18" s="22"/>
      <c r="I18" s="22">
        <f>G18/(G3*0.1865)</f>
        <v>0.649930944837111</v>
      </c>
      <c r="J18" s="22"/>
      <c r="K18" s="22"/>
      <c r="L18" s="22"/>
      <c r="M18" s="10"/>
    </row>
    <row r="19" s="1" customFormat="1" ht="29" customHeight="1" spans="1:13">
      <c r="A19" s="7">
        <v>14</v>
      </c>
      <c r="B19" s="8" t="s">
        <v>35</v>
      </c>
      <c r="C19" s="10">
        <v>1.5</v>
      </c>
      <c r="D19" s="7">
        <v>0</v>
      </c>
      <c r="E19" s="10">
        <f t="shared" si="1"/>
        <v>1.5</v>
      </c>
      <c r="F19" s="10" t="s">
        <v>14</v>
      </c>
      <c r="G19" s="10">
        <f>0+1.5</f>
        <v>1.5</v>
      </c>
      <c r="H19" s="22"/>
      <c r="I19" s="22">
        <f>G19/(G3*0.1865)</f>
        <v>0.487448208627833</v>
      </c>
      <c r="J19" s="22"/>
      <c r="K19" s="22"/>
      <c r="L19" s="22"/>
      <c r="M19" s="10"/>
    </row>
    <row r="20" s="1" customFormat="1" ht="29" customHeight="1" spans="1:13">
      <c r="A20" s="7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37</v>
      </c>
      <c r="G20" s="10">
        <f>12+0</f>
        <v>12</v>
      </c>
      <c r="H20" s="22"/>
      <c r="I20" s="22"/>
      <c r="J20" s="22"/>
      <c r="K20" s="22"/>
      <c r="L20" s="22"/>
      <c r="M20" s="10"/>
    </row>
    <row r="21" s="1" customFormat="1" ht="29" customHeight="1" spans="1:13">
      <c r="A21" s="7">
        <v>16</v>
      </c>
      <c r="B21" s="8" t="s">
        <v>38</v>
      </c>
      <c r="C21" s="7">
        <v>0</v>
      </c>
      <c r="D21" s="7">
        <v>0</v>
      </c>
      <c r="E21" s="10">
        <v>0</v>
      </c>
      <c r="F21" s="10" t="s">
        <v>37</v>
      </c>
      <c r="G21" s="10">
        <f>0+0</f>
        <v>0</v>
      </c>
      <c r="H21" s="22"/>
      <c r="I21" s="22"/>
      <c r="J21" s="20"/>
      <c r="K21" s="22"/>
      <c r="L21" s="22"/>
      <c r="M21" s="10"/>
    </row>
    <row r="22" s="1" customFormat="1" ht="29" customHeight="1" spans="1:13">
      <c r="A22" s="7">
        <v>17</v>
      </c>
      <c r="B22" s="8" t="s">
        <v>39</v>
      </c>
      <c r="C22" s="7">
        <v>688</v>
      </c>
      <c r="D22" s="7">
        <v>659</v>
      </c>
      <c r="E22" s="10">
        <f>D22+C22</f>
        <v>1347</v>
      </c>
      <c r="F22" s="10" t="s">
        <v>27</v>
      </c>
      <c r="G22" s="10">
        <f>1304+1347</f>
        <v>2651</v>
      </c>
      <c r="H22" s="23"/>
      <c r="I22" s="10">
        <f>E22/M22</f>
        <v>56.125</v>
      </c>
      <c r="J22" s="41" t="s">
        <v>40</v>
      </c>
      <c r="K22" s="10">
        <f>23.5+24</f>
        <v>47.5</v>
      </c>
      <c r="L22" s="10">
        <f>G22/K22</f>
        <v>55.8105263157895</v>
      </c>
      <c r="M22" s="10">
        <v>24</v>
      </c>
    </row>
    <row r="23" s="1" customFormat="1" ht="29" customHeight="1" spans="1:13">
      <c r="A23" s="7">
        <v>18</v>
      </c>
      <c r="B23" s="8" t="s">
        <v>41</v>
      </c>
      <c r="C23" s="7">
        <v>875</v>
      </c>
      <c r="D23" s="7">
        <v>831</v>
      </c>
      <c r="E23" s="10">
        <f>D23+C23</f>
        <v>1706</v>
      </c>
      <c r="F23" s="10" t="s">
        <v>27</v>
      </c>
      <c r="G23" s="10">
        <f>1466+1706</f>
        <v>3172</v>
      </c>
      <c r="H23" s="22"/>
      <c r="I23" s="22">
        <f>E23/M22</f>
        <v>71.0833333333333</v>
      </c>
      <c r="J23" s="22"/>
      <c r="K23" s="22"/>
      <c r="L23" s="22"/>
      <c r="M23" s="10"/>
    </row>
    <row r="24" s="1" customFormat="1" ht="29" customHeight="1" spans="1:13">
      <c r="A24" s="7">
        <v>19</v>
      </c>
      <c r="B24" s="8" t="s">
        <v>42</v>
      </c>
      <c r="C24" s="7">
        <v>26.79</v>
      </c>
      <c r="D24" s="7">
        <v>22.22</v>
      </c>
      <c r="E24" s="10"/>
      <c r="F24" s="10" t="s">
        <v>43</v>
      </c>
      <c r="G24" s="10"/>
      <c r="H24" s="22"/>
      <c r="I24" s="22"/>
      <c r="J24" s="22"/>
      <c r="K24" s="22"/>
      <c r="L24" s="22"/>
      <c r="M24" s="10"/>
    </row>
    <row r="25" s="1" customFormat="1" ht="149" customHeight="1" spans="1:13">
      <c r="A25" s="7">
        <v>20</v>
      </c>
      <c r="B25" s="26" t="s">
        <v>44</v>
      </c>
      <c r="C25" s="27" t="s">
        <v>45</v>
      </c>
      <c r="D25" s="28"/>
      <c r="E25" s="28"/>
      <c r="F25" s="28"/>
      <c r="G25" s="28"/>
      <c r="H25" s="28"/>
      <c r="I25" s="28"/>
      <c r="J25" s="28"/>
      <c r="K25" s="28"/>
      <c r="L25" s="29"/>
      <c r="M25" s="27"/>
    </row>
    <row r="26" s="1" customFormat="1" ht="130" customHeight="1" spans="1:13">
      <c r="A26" s="7">
        <v>21</v>
      </c>
      <c r="B26" s="31" t="s">
        <v>46</v>
      </c>
      <c r="C26" s="27" t="s">
        <v>66</v>
      </c>
      <c r="D26" s="28"/>
      <c r="E26" s="28"/>
      <c r="F26" s="28"/>
      <c r="G26" s="28"/>
      <c r="H26" s="28"/>
      <c r="I26" s="28"/>
      <c r="J26" s="28"/>
      <c r="K26" s="28"/>
      <c r="L26" s="29"/>
      <c r="M26" s="31"/>
    </row>
    <row r="27" s="1" customFormat="1" ht="130" customHeight="1" spans="1:13">
      <c r="A27" s="7">
        <v>22</v>
      </c>
      <c r="B27" s="31" t="s">
        <v>48</v>
      </c>
      <c r="C27" s="42" t="s">
        <v>67</v>
      </c>
      <c r="D27" s="28"/>
      <c r="E27" s="28"/>
      <c r="F27" s="28"/>
      <c r="G27" s="28"/>
      <c r="H27" s="28"/>
      <c r="I27" s="28"/>
      <c r="J27" s="28"/>
      <c r="K27" s="28"/>
      <c r="L27" s="29"/>
      <c r="M27" s="31"/>
    </row>
    <row r="28" s="1" customFormat="1" ht="14" customHeight="1" spans="1:13">
      <c r="C28" s="33"/>
      <c r="D28" s="33"/>
    </row>
    <row r="29" s="1" customFormat="1" ht="25" customHeight="1" spans="1:13">
      <c r="A29" s="5" t="s">
        <v>68</v>
      </c>
    </row>
    <row r="30" s="1" customFormat="1" ht="25" customHeight="1" spans="1:13">
      <c r="A30" s="6" t="s">
        <v>51</v>
      </c>
      <c r="B30" s="6" t="s">
        <v>52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53</v>
      </c>
      <c r="C31" s="10">
        <v>0</v>
      </c>
      <c r="D31" s="10">
        <v>0</v>
      </c>
      <c r="E31" s="10">
        <f t="shared" ref="E31:E39" si="2">D31+C31</f>
        <v>0</v>
      </c>
      <c r="F31" s="10" t="s">
        <v>27</v>
      </c>
      <c r="G31" s="10">
        <f>0+0</f>
        <v>0</v>
      </c>
      <c r="H31" s="10"/>
      <c r="I31" s="10"/>
      <c r="J31" s="22"/>
      <c r="K31" s="22"/>
      <c r="L31" s="22"/>
      <c r="M31" s="10"/>
    </row>
    <row r="32" s="1" customFormat="1" ht="25" customHeight="1" spans="1:13">
      <c r="A32" s="7">
        <v>2</v>
      </c>
      <c r="B32" s="8" t="s">
        <v>54</v>
      </c>
      <c r="C32" s="10">
        <v>8.25</v>
      </c>
      <c r="D32" s="10">
        <v>8.23</v>
      </c>
      <c r="E32" s="10">
        <f t="shared" si="2"/>
        <v>16.48</v>
      </c>
      <c r="F32" s="10" t="s">
        <v>27</v>
      </c>
      <c r="G32" s="10">
        <f>16.54+16.48</f>
        <v>33.02</v>
      </c>
      <c r="H32" s="10"/>
      <c r="I32" s="10"/>
      <c r="J32" s="22"/>
      <c r="K32" s="22"/>
      <c r="L32" s="22"/>
      <c r="M32" s="21"/>
    </row>
    <row r="33" s="1" customFormat="1" ht="25" customHeight="1" spans="1:13">
      <c r="A33" s="7">
        <v>3</v>
      </c>
      <c r="B33" s="8" t="s">
        <v>55</v>
      </c>
      <c r="C33" s="10">
        <v>13</v>
      </c>
      <c r="D33" s="10">
        <v>7</v>
      </c>
      <c r="E33" s="10">
        <f t="shared" si="2"/>
        <v>20</v>
      </c>
      <c r="F33" s="10" t="s">
        <v>27</v>
      </c>
      <c r="G33" s="10">
        <f>27+20</f>
        <v>47</v>
      </c>
      <c r="H33" s="10"/>
      <c r="I33" s="10"/>
      <c r="J33" s="22"/>
      <c r="K33" s="22"/>
      <c r="L33" s="22"/>
      <c r="M33" s="21"/>
    </row>
    <row r="34" s="1" customFormat="1" ht="25" customHeight="1" spans="1:13">
      <c r="A34" s="7">
        <v>4</v>
      </c>
      <c r="B34" s="8" t="s">
        <v>56</v>
      </c>
      <c r="C34" s="10">
        <v>0</v>
      </c>
      <c r="D34" s="10">
        <v>0</v>
      </c>
      <c r="E34" s="10">
        <f t="shared" si="2"/>
        <v>0</v>
      </c>
      <c r="F34" s="10" t="s">
        <v>27</v>
      </c>
      <c r="G34" s="10">
        <f>0+0</f>
        <v>0</v>
      </c>
      <c r="H34" s="10"/>
      <c r="I34" s="10"/>
      <c r="J34" s="22"/>
      <c r="K34" s="22"/>
      <c r="L34" s="22"/>
      <c r="M34" s="21"/>
    </row>
    <row r="35" s="1" customFormat="1" ht="25" customHeight="1" spans="1:13">
      <c r="A35" s="7">
        <v>5</v>
      </c>
      <c r="B35" s="8" t="s">
        <v>22</v>
      </c>
      <c r="C35" s="10">
        <v>10.3545</v>
      </c>
      <c r="D35" s="10">
        <v>0</v>
      </c>
      <c r="E35" s="10">
        <f t="shared" si="2"/>
        <v>10.3545</v>
      </c>
      <c r="F35" s="10" t="s">
        <v>14</v>
      </c>
      <c r="G35" s="10">
        <f>0+10.3545</f>
        <v>10.3545</v>
      </c>
      <c r="H35" s="10"/>
      <c r="J35" s="22"/>
      <c r="K35" s="22"/>
      <c r="L35" s="22"/>
      <c r="M35" s="22"/>
    </row>
    <row r="36" s="1" customFormat="1" ht="25" customHeight="1" spans="1:13">
      <c r="A36" s="7">
        <v>6</v>
      </c>
      <c r="B36" s="8" t="s">
        <v>24</v>
      </c>
      <c r="C36" s="10">
        <v>0</v>
      </c>
      <c r="D36" s="10">
        <v>0</v>
      </c>
      <c r="E36" s="10">
        <f t="shared" si="2"/>
        <v>0</v>
      </c>
      <c r="F36" s="10" t="s">
        <v>14</v>
      </c>
      <c r="G36" s="10">
        <f>0+0</f>
        <v>0</v>
      </c>
      <c r="H36" s="10"/>
      <c r="I36" s="10"/>
      <c r="J36" s="20"/>
      <c r="K36" s="22"/>
      <c r="L36" s="22"/>
      <c r="M36" s="22"/>
    </row>
    <row r="37" s="1" customFormat="1" ht="25" customHeight="1" spans="1:13">
      <c r="A37" s="7">
        <v>7</v>
      </c>
      <c r="B37" s="8" t="s">
        <v>57</v>
      </c>
      <c r="C37" s="10">
        <v>6</v>
      </c>
      <c r="D37" s="10">
        <v>0</v>
      </c>
      <c r="E37" s="10">
        <f t="shared" si="2"/>
        <v>6</v>
      </c>
      <c r="F37" s="10" t="s">
        <v>27</v>
      </c>
      <c r="G37" s="10">
        <f>0+6</f>
        <v>6</v>
      </c>
      <c r="H37" s="10"/>
      <c r="I37" s="10"/>
      <c r="J37" s="39"/>
      <c r="K37" s="22"/>
      <c r="L37" s="10"/>
      <c r="M37" s="22"/>
    </row>
    <row r="38" s="1" customFormat="1" ht="27" customHeight="1" spans="1:13">
      <c r="A38" s="7">
        <v>8</v>
      </c>
      <c r="B38" s="8" t="s">
        <v>58</v>
      </c>
      <c r="C38" s="10">
        <v>298</v>
      </c>
      <c r="D38" s="10">
        <v>301</v>
      </c>
      <c r="E38" s="10">
        <f t="shared" si="2"/>
        <v>599</v>
      </c>
      <c r="F38" s="10" t="s">
        <v>27</v>
      </c>
      <c r="G38" s="10">
        <f>599+599</f>
        <v>1198</v>
      </c>
      <c r="H38" s="10"/>
      <c r="I38" s="10"/>
      <c r="J38" s="43"/>
      <c r="K38" s="22"/>
      <c r="L38" s="10"/>
      <c r="M38" s="22"/>
    </row>
    <row r="39" s="1" customFormat="1" ht="25" customHeight="1" spans="1:13">
      <c r="A39" s="7">
        <v>9</v>
      </c>
      <c r="B39" s="8" t="s">
        <v>59</v>
      </c>
      <c r="C39" s="10">
        <v>0</v>
      </c>
      <c r="D39" s="10">
        <v>0</v>
      </c>
      <c r="E39" s="44">
        <f t="shared" si="2"/>
        <v>0</v>
      </c>
      <c r="F39" s="10" t="s">
        <v>27</v>
      </c>
      <c r="G39" s="10">
        <f>0+0</f>
        <v>0</v>
      </c>
      <c r="H39" s="10"/>
      <c r="I39" s="10"/>
      <c r="J39" s="43"/>
      <c r="K39" s="45"/>
      <c r="L39" s="10"/>
      <c r="M39" s="22"/>
    </row>
    <row r="40" s="1" customFormat="1" ht="25" customHeight="1" spans="1:13">
      <c r="A40" s="7">
        <v>10</v>
      </c>
      <c r="B40" s="8" t="s">
        <v>60</v>
      </c>
      <c r="C40" s="10">
        <v>0</v>
      </c>
      <c r="D40" s="10">
        <v>0</v>
      </c>
      <c r="E40" s="10">
        <f>C40+D40</f>
        <v>0</v>
      </c>
      <c r="F40" s="10" t="s">
        <v>27</v>
      </c>
      <c r="G40" s="10">
        <f>0+0</f>
        <v>0</v>
      </c>
      <c r="H40" s="22"/>
      <c r="I40" s="7">
        <v>217.5</v>
      </c>
      <c r="J40" s="20"/>
      <c r="K40" s="37"/>
      <c r="L40" s="27"/>
      <c r="M40" s="38"/>
    </row>
    <row r="41" s="1" customFormat="1" ht="25" customHeight="1" spans="1:13">
      <c r="A41" s="7">
        <v>11</v>
      </c>
      <c r="B41" s="8" t="s">
        <v>61</v>
      </c>
      <c r="C41" s="10">
        <v>0</v>
      </c>
      <c r="D41" s="10">
        <v>0</v>
      </c>
      <c r="E41" s="10">
        <f>C41+D41</f>
        <v>0</v>
      </c>
      <c r="F41" s="10" t="s">
        <v>27</v>
      </c>
      <c r="G41" s="10">
        <f>0+0</f>
        <v>0</v>
      </c>
      <c r="H41" s="22"/>
      <c r="I41" s="7">
        <v>128.5528</v>
      </c>
      <c r="J41" s="27"/>
      <c r="K41" s="37"/>
      <c r="L41" s="27"/>
      <c r="M41" s="38"/>
    </row>
    <row r="42" s="1" customFormat="1" ht="25" customHeight="1" spans="1:13">
      <c r="A42" s="7">
        <v>12</v>
      </c>
      <c r="B42" s="8" t="s">
        <v>62</v>
      </c>
      <c r="C42" s="7">
        <v>3</v>
      </c>
      <c r="D42" s="7">
        <v>0</v>
      </c>
      <c r="E42" s="10">
        <f>D42+C42</f>
        <v>3</v>
      </c>
      <c r="F42" s="10" t="s">
        <v>37</v>
      </c>
      <c r="G42" s="10">
        <f>2+3</f>
        <v>5</v>
      </c>
      <c r="H42" s="22"/>
      <c r="I42" s="10">
        <v>15</v>
      </c>
      <c r="J42" s="27"/>
      <c r="K42" s="27"/>
      <c r="L42" s="27"/>
      <c r="M42" s="38"/>
    </row>
    <row r="43" s="1" customFormat="1" ht="78" customHeight="1" spans="1:13">
      <c r="A43" s="7">
        <v>13</v>
      </c>
      <c r="B43" s="46" t="s">
        <v>48</v>
      </c>
      <c r="C43" s="47" t="s">
        <v>63</v>
      </c>
      <c r="D43" s="48"/>
      <c r="E43" s="48"/>
      <c r="F43" s="48"/>
      <c r="G43" s="48"/>
      <c r="H43" s="48"/>
      <c r="I43" s="48"/>
      <c r="J43" s="48"/>
      <c r="K43" s="48"/>
      <c r="L43" s="49"/>
      <c r="M43" s="50"/>
    </row>
    <row r="44" s="1" customFormat="1" spans="1:13">
      <c r="A44" s="38" t="s">
        <v>64</v>
      </c>
      <c r="B44" s="40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9"/>
    </row>
    <row r="45" s="1" customFormat="1" spans="1:13">
      <c r="A45" s="15"/>
      <c r="B45" s="51"/>
      <c r="M45" s="52"/>
    </row>
    <row r="46" s="1" customFormat="1" spans="1:13">
      <c r="A46" s="15"/>
      <c r="B46" s="51"/>
      <c r="M46" s="52"/>
    </row>
    <row r="47" s="1" customFormat="1" spans="1:13">
      <c r="A47" s="15"/>
      <c r="B47" s="51"/>
      <c r="M47" s="52"/>
    </row>
    <row r="48" s="1" customFormat="1" spans="1:13">
      <c r="A48" s="15"/>
      <c r="B48" s="51"/>
      <c r="M48" s="52"/>
    </row>
    <row r="49" s="1" customFormat="1" spans="1:13">
      <c r="A49" s="15"/>
      <c r="B49" s="51"/>
      <c r="M49" s="52"/>
    </row>
    <row r="50" s="1" customFormat="1" spans="1:13">
      <c r="A50" s="15"/>
      <c r="B50" s="51"/>
      <c r="M50" s="52"/>
    </row>
    <row r="51" s="1" customFormat="1" spans="1:13">
      <c r="A51" s="15"/>
      <c r="B51" s="51"/>
      <c r="M51" s="52"/>
    </row>
    <row r="52" s="1" customFormat="1" ht="12" customHeight="1" spans="1:13">
      <c r="A52" s="15"/>
      <c r="B52" s="51"/>
      <c r="M52" s="52"/>
    </row>
    <row r="53" s="1" customFormat="1" hidden="1" spans="1:13">
      <c r="A53" s="15"/>
      <c r="B53" s="51"/>
      <c r="M53" s="52"/>
    </row>
    <row r="54" s="1" customFormat="1" hidden="1" spans="1:13">
      <c r="A54" s="15"/>
      <c r="B54" s="51"/>
      <c r="M54" s="52"/>
    </row>
    <row r="55" spans="1:13">
      <c r="A55" s="16"/>
      <c r="B55" s="53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5"/>
    </row>
    <row r="63" s="1" customFormat="1" spans="1:13">
      <c r="C63" s="33"/>
      <c r="D63" s="33"/>
    </row>
    <row r="64" spans="1:13">
      <c r="L64" s="1"/>
    </row>
  </sheetData>
  <mergeCells count="11">
    <mergeCell ref="A1:M1"/>
    <mergeCell ref="C25:L25"/>
    <mergeCell ref="C26:L26"/>
    <mergeCell ref="C27:L27"/>
    <mergeCell ref="A29:M29"/>
    <mergeCell ref="C43:L43"/>
    <mergeCell ref="A5:A8"/>
    <mergeCell ref="A44:A55"/>
    <mergeCell ref="H5:H8"/>
    <mergeCell ref="I5:I8"/>
    <mergeCell ref="B44:M55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8" workbookViewId="0">
      <selection activeCell="G18" sqref="G18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5" t="s">
        <v>69</v>
      </c>
    </row>
    <row r="2" s="1" customFormat="1" ht="25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7">
        <v>1</v>
      </c>
      <c r="B3" s="8" t="s">
        <v>13</v>
      </c>
      <c r="C3" s="9">
        <v>6.5</v>
      </c>
      <c r="D3" s="9">
        <v>5.5</v>
      </c>
      <c r="E3" s="10">
        <f t="shared" ref="E3:E12" si="0">C3+D3</f>
        <v>12</v>
      </c>
      <c r="F3" s="10" t="s">
        <v>14</v>
      </c>
      <c r="G3" s="10">
        <f>2+14.5+12</f>
        <v>28.5</v>
      </c>
      <c r="H3" s="10">
        <v>294</v>
      </c>
      <c r="I3" s="10">
        <f>H3-G3</f>
        <v>265.5</v>
      </c>
      <c r="J3" s="10"/>
      <c r="K3" s="10"/>
      <c r="L3" s="10"/>
      <c r="M3" s="10">
        <f>I3/27</f>
        <v>9.83333333333333</v>
      </c>
    </row>
    <row r="4" s="1" customFormat="1" ht="56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14+2+14</f>
        <v>30</v>
      </c>
      <c r="H4" s="13"/>
      <c r="I4" s="13"/>
      <c r="J4" s="10"/>
      <c r="K4" s="10"/>
      <c r="L4" s="10"/>
      <c r="M4" s="10"/>
    </row>
    <row r="5" s="1" customFormat="1" ht="56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</f>
        <v>0</v>
      </c>
      <c r="H5" s="10">
        <v>4346</v>
      </c>
      <c r="I5" s="10">
        <f>H5-G5-G7-G6</f>
        <v>3816</v>
      </c>
      <c r="J5" s="20"/>
      <c r="K5" s="10"/>
      <c r="L5" s="10"/>
      <c r="M5" s="10"/>
    </row>
    <row r="6" s="1" customFormat="1" ht="4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</f>
        <v>0</v>
      </c>
      <c r="H6" s="15"/>
      <c r="I6" s="15"/>
      <c r="J6" s="10"/>
      <c r="K6" s="10"/>
      <c r="L6" s="10"/>
      <c r="M6" s="10"/>
    </row>
    <row r="7" s="1" customFormat="1" ht="45" customHeight="1" spans="1:13">
      <c r="A7" s="15"/>
      <c r="B7" s="8" t="s">
        <v>18</v>
      </c>
      <c r="C7" s="10">
        <v>44</v>
      </c>
      <c r="D7" s="10">
        <v>108</v>
      </c>
      <c r="E7" s="10">
        <f t="shared" si="0"/>
        <v>152</v>
      </c>
      <c r="F7" s="10" t="s">
        <v>14</v>
      </c>
      <c r="G7" s="10">
        <f>206+172+152</f>
        <v>530</v>
      </c>
      <c r="H7" s="15"/>
      <c r="I7" s="15"/>
      <c r="J7" s="10"/>
      <c r="K7" s="10"/>
      <c r="L7" s="10"/>
      <c r="M7" s="10"/>
    </row>
    <row r="8" s="1" customFormat="1" ht="52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</f>
        <v>0</v>
      </c>
      <c r="H8" s="16"/>
      <c r="I8" s="16"/>
      <c r="J8" s="10"/>
      <c r="K8" s="10"/>
      <c r="L8" s="10"/>
      <c r="M8" s="10"/>
    </row>
    <row r="9" s="1" customFormat="1" ht="35" customHeight="1" spans="1:13">
      <c r="A9" s="12">
        <v>4</v>
      </c>
      <c r="B9" s="17" t="s">
        <v>20</v>
      </c>
      <c r="C9" s="13">
        <v>39.77</v>
      </c>
      <c r="D9" s="13"/>
      <c r="E9" s="10">
        <f t="shared" si="0"/>
        <v>39.77</v>
      </c>
      <c r="F9" s="13" t="s">
        <v>14</v>
      </c>
      <c r="G9" s="10">
        <f>0+0+39.77</f>
        <v>39.77</v>
      </c>
      <c r="H9" s="13">
        <v>5.42</v>
      </c>
      <c r="I9" s="13">
        <f>H9-K10</f>
        <v>5.081955</v>
      </c>
      <c r="J9" s="18" t="s">
        <v>21</v>
      </c>
      <c r="K9" s="13">
        <v>0</v>
      </c>
      <c r="L9" s="13">
        <v>0.85</v>
      </c>
      <c r="M9" s="19"/>
    </row>
    <row r="10" s="1" customFormat="1" ht="25" customHeight="1" spans="1:13">
      <c r="A10" s="7">
        <v>5</v>
      </c>
      <c r="B10" s="8" t="s">
        <v>22</v>
      </c>
      <c r="C10" s="10">
        <v>6.2235</v>
      </c>
      <c r="D10" s="10">
        <v>9.639</v>
      </c>
      <c r="E10" s="10">
        <f t="shared" si="0"/>
        <v>15.8625</v>
      </c>
      <c r="F10" s="10" t="s">
        <v>14</v>
      </c>
      <c r="G10" s="10">
        <f>5.265+7.938+15.8625</f>
        <v>29.0655</v>
      </c>
      <c r="H10" s="10"/>
      <c r="I10" s="10">
        <f>G10/(G3*0.1865)</f>
        <v>5.46832228023141</v>
      </c>
      <c r="J10" s="18" t="s">
        <v>23</v>
      </c>
      <c r="K10" s="20">
        <f>0+0+0.338045</f>
        <v>0.338045</v>
      </c>
      <c r="L10" s="10"/>
      <c r="M10" s="10">
        <f>C9*L9/100</f>
        <v>0.338045</v>
      </c>
    </row>
    <row r="11" s="1" customFormat="1" ht="25" customHeight="1" spans="1:13">
      <c r="A11" s="7">
        <v>6</v>
      </c>
      <c r="B11" s="8" t="s">
        <v>24</v>
      </c>
      <c r="C11" s="10">
        <v>13.1376</v>
      </c>
      <c r="D11" s="10">
        <v>0</v>
      </c>
      <c r="E11" s="10">
        <f t="shared" si="0"/>
        <v>13.1376</v>
      </c>
      <c r="F11" s="10" t="s">
        <v>14</v>
      </c>
      <c r="G11" s="10">
        <f>8.832+2.8336+13.1376</f>
        <v>24.8032</v>
      </c>
      <c r="H11" s="10"/>
      <c r="I11" s="10">
        <f>G11/(G3*0.1865)</f>
        <v>4.66642208739006</v>
      </c>
      <c r="J11" s="10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78</v>
      </c>
      <c r="D12" s="10">
        <v>308</v>
      </c>
      <c r="E12" s="10">
        <f t="shared" si="0"/>
        <v>386</v>
      </c>
      <c r="F12" s="10"/>
      <c r="G12" s="10">
        <f>256+501+386</f>
        <v>1143</v>
      </c>
      <c r="H12" s="10">
        <f>G12*1.05</f>
        <v>1200.15</v>
      </c>
      <c r="I12" s="10"/>
      <c r="J12" s="10"/>
      <c r="K12" s="10"/>
      <c r="L12" s="10"/>
      <c r="M12" s="21"/>
    </row>
    <row r="13" s="1" customFormat="1" ht="30" customHeight="1" spans="1:13">
      <c r="A13" s="7">
        <v>8</v>
      </c>
      <c r="B13" s="8" t="s">
        <v>26</v>
      </c>
      <c r="C13" s="10">
        <v>93</v>
      </c>
      <c r="D13" s="10">
        <v>217</v>
      </c>
      <c r="E13" s="10">
        <f t="shared" ref="E13:E20" si="1">D13+C13</f>
        <v>310</v>
      </c>
      <c r="F13" s="10" t="s">
        <v>27</v>
      </c>
      <c r="G13" s="10">
        <f>142+478+310</f>
        <v>930</v>
      </c>
      <c r="H13" s="10"/>
      <c r="I13" s="10"/>
      <c r="J13" s="20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503.44</v>
      </c>
      <c r="D14" s="10">
        <v>125.19</v>
      </c>
      <c r="E14" s="10">
        <f t="shared" si="1"/>
        <v>628.63</v>
      </c>
      <c r="F14" s="10" t="s">
        <v>27</v>
      </c>
      <c r="G14" s="10">
        <f>852.63+765.27+628.63</f>
        <v>2246.53</v>
      </c>
      <c r="H14" s="10"/>
      <c r="I14" s="10"/>
      <c r="J14" s="18" t="s">
        <v>29</v>
      </c>
      <c r="K14" s="10">
        <v>3.41</v>
      </c>
      <c r="L14" s="10">
        <v>3.07</v>
      </c>
      <c r="M14" s="10"/>
    </row>
    <row r="15" s="1" customFormat="1" ht="25" customHeight="1" spans="1:13">
      <c r="A15" s="7">
        <v>10</v>
      </c>
      <c r="B15" s="8" t="s">
        <v>30</v>
      </c>
      <c r="C15" s="10">
        <v>0</v>
      </c>
      <c r="D15" s="10">
        <v>0</v>
      </c>
      <c r="E15" s="10">
        <f t="shared" si="1"/>
        <v>0</v>
      </c>
      <c r="F15" s="10" t="s">
        <v>14</v>
      </c>
      <c r="G15" s="10">
        <f>0+0+0</f>
        <v>0</v>
      </c>
      <c r="H15" s="10"/>
      <c r="I15" s="10"/>
      <c r="J15" s="18" t="s">
        <v>31</v>
      </c>
      <c r="K15" s="20">
        <f>2.4676132+2.4190333+2.1010637</f>
        <v>6.9877102</v>
      </c>
      <c r="L15" s="10"/>
      <c r="M15" s="10">
        <f>(C14*K14+L14*D14)/1000</f>
        <v>2.1010637</v>
      </c>
    </row>
    <row r="16" s="1" customFormat="1" ht="25" customHeight="1" spans="1:13">
      <c r="A16" s="7">
        <v>11</v>
      </c>
      <c r="B16" s="8" t="s">
        <v>32</v>
      </c>
      <c r="C16" s="10">
        <v>6</v>
      </c>
      <c r="D16" s="10">
        <v>18</v>
      </c>
      <c r="E16" s="10">
        <f t="shared" si="1"/>
        <v>24</v>
      </c>
      <c r="F16" s="10" t="s">
        <v>14</v>
      </c>
      <c r="G16" s="10">
        <f>6+42+24</f>
        <v>72</v>
      </c>
      <c r="H16" s="10"/>
      <c r="I16" s="10">
        <f>G16/(G3*0.1865)</f>
        <v>13.5459291660787</v>
      </c>
      <c r="J16" s="10"/>
      <c r="K16" s="10"/>
      <c r="L16" s="10"/>
      <c r="M16" s="22"/>
    </row>
    <row r="17" s="1" customFormat="1" ht="29" customHeight="1" spans="1:13">
      <c r="A17" s="7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0.1+0+0</f>
        <v>0.1</v>
      </c>
      <c r="H17" s="22"/>
      <c r="I17" s="22"/>
      <c r="J17" s="22"/>
      <c r="K17" s="22"/>
      <c r="L17" s="22"/>
      <c r="M17" s="10"/>
    </row>
    <row r="18" s="1" customFormat="1" ht="29" customHeight="1" spans="1:13">
      <c r="A18" s="7">
        <v>13</v>
      </c>
      <c r="B18" s="8" t="s">
        <v>34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0+2+0</f>
        <v>2</v>
      </c>
      <c r="H18" s="22"/>
      <c r="I18" s="22">
        <f>G18/(G3*0.1865)</f>
        <v>0.376275810168854</v>
      </c>
      <c r="J18" s="22"/>
      <c r="K18" s="22"/>
      <c r="L18" s="22"/>
      <c r="M18" s="10"/>
    </row>
    <row r="19" s="1" customFormat="1" ht="29" customHeight="1" spans="1:13">
      <c r="A19" s="7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0+1.5+0</f>
        <v>1.5</v>
      </c>
      <c r="H19" s="22"/>
      <c r="I19" s="22">
        <f>G19/(G3*0.1865)</f>
        <v>0.28220685762664</v>
      </c>
      <c r="J19" s="22"/>
      <c r="K19" s="22"/>
      <c r="L19" s="22"/>
      <c r="M19" s="10"/>
    </row>
    <row r="20" s="1" customFormat="1" ht="29" customHeight="1" spans="1:13">
      <c r="A20" s="7">
        <v>15</v>
      </c>
      <c r="B20" s="8" t="s">
        <v>36</v>
      </c>
      <c r="C20" s="10">
        <v>9</v>
      </c>
      <c r="D20" s="7">
        <v>0</v>
      </c>
      <c r="E20" s="10">
        <f t="shared" si="1"/>
        <v>9</v>
      </c>
      <c r="F20" s="10" t="s">
        <v>37</v>
      </c>
      <c r="G20" s="10">
        <f>12+0+9</f>
        <v>21</v>
      </c>
      <c r="H20" s="22"/>
      <c r="I20" s="22"/>
      <c r="J20" s="22"/>
      <c r="K20" s="22"/>
      <c r="L20" s="22"/>
      <c r="M20" s="10"/>
    </row>
    <row r="21" s="1" customFormat="1" ht="29" customHeight="1" spans="1:13">
      <c r="A21" s="7">
        <v>16</v>
      </c>
      <c r="B21" s="8" t="s">
        <v>38</v>
      </c>
      <c r="C21" s="7">
        <v>0</v>
      </c>
      <c r="D21" s="7">
        <v>0</v>
      </c>
      <c r="E21" s="10">
        <v>0</v>
      </c>
      <c r="F21" s="10" t="s">
        <v>37</v>
      </c>
      <c r="G21" s="10">
        <f>0+0+0</f>
        <v>0</v>
      </c>
      <c r="H21" s="22"/>
      <c r="I21" s="22"/>
      <c r="J21" s="20"/>
      <c r="K21" s="22"/>
      <c r="L21" s="22"/>
      <c r="M21" s="10"/>
    </row>
    <row r="22" s="1" customFormat="1" ht="29" customHeight="1" spans="1:13">
      <c r="A22" s="7">
        <v>17</v>
      </c>
      <c r="B22" s="8" t="s">
        <v>39</v>
      </c>
      <c r="C22" s="7">
        <v>301</v>
      </c>
      <c r="D22" s="7">
        <v>537</v>
      </c>
      <c r="E22" s="10">
        <f>D22+C22</f>
        <v>838</v>
      </c>
      <c r="F22" s="10" t="s">
        <v>27</v>
      </c>
      <c r="G22" s="10">
        <f>1304+1347+838</f>
        <v>3489</v>
      </c>
      <c r="H22" s="23"/>
      <c r="I22" s="10">
        <f>E22/M22</f>
        <v>62.0740740740741</v>
      </c>
      <c r="J22" s="41" t="s">
        <v>40</v>
      </c>
      <c r="K22" s="10">
        <f>23.5+24+13.5</f>
        <v>61</v>
      </c>
      <c r="L22" s="10">
        <f>G22/K22</f>
        <v>57.1967213114754</v>
      </c>
      <c r="M22" s="10">
        <v>13.5</v>
      </c>
    </row>
    <row r="23" s="1" customFormat="1" ht="29" customHeight="1" spans="1:13">
      <c r="A23" s="7">
        <v>18</v>
      </c>
      <c r="B23" s="8" t="s">
        <v>41</v>
      </c>
      <c r="C23" s="7">
        <v>262</v>
      </c>
      <c r="D23" s="7">
        <v>672</v>
      </c>
      <c r="E23" s="10">
        <f>D23+C23</f>
        <v>934</v>
      </c>
      <c r="F23" s="10" t="s">
        <v>27</v>
      </c>
      <c r="G23" s="10">
        <f>1466+1706+934</f>
        <v>4106</v>
      </c>
      <c r="H23" s="22"/>
      <c r="I23" s="22">
        <f>E23/M22</f>
        <v>69.1851851851852</v>
      </c>
      <c r="J23" s="22"/>
      <c r="K23" s="22"/>
      <c r="L23" s="22"/>
      <c r="M23" s="10"/>
    </row>
    <row r="24" s="1" customFormat="1" ht="29" customHeight="1" spans="1:13">
      <c r="A24" s="7">
        <v>19</v>
      </c>
      <c r="B24" s="8" t="s">
        <v>42</v>
      </c>
      <c r="C24" s="7">
        <v>22.73</v>
      </c>
      <c r="D24" s="7">
        <v>25.71</v>
      </c>
      <c r="E24" s="10"/>
      <c r="F24" s="10" t="s">
        <v>43</v>
      </c>
      <c r="G24" s="10"/>
      <c r="H24" s="22"/>
      <c r="I24" s="22"/>
      <c r="J24" s="22"/>
      <c r="K24" s="22"/>
      <c r="L24" s="22"/>
      <c r="M24" s="10"/>
    </row>
    <row r="25" s="1" customFormat="1" ht="149" customHeight="1" spans="1:13">
      <c r="A25" s="7">
        <v>20</v>
      </c>
      <c r="B25" s="26" t="s">
        <v>44</v>
      </c>
      <c r="C25" s="27" t="s">
        <v>45</v>
      </c>
      <c r="D25" s="28"/>
      <c r="E25" s="28"/>
      <c r="F25" s="28"/>
      <c r="G25" s="28"/>
      <c r="H25" s="28"/>
      <c r="I25" s="28"/>
      <c r="J25" s="28"/>
      <c r="K25" s="28"/>
      <c r="L25" s="29"/>
      <c r="M25" s="27"/>
    </row>
    <row r="26" s="1" customFormat="1" ht="130" customHeight="1" spans="1:13">
      <c r="A26" s="7">
        <v>21</v>
      </c>
      <c r="B26" s="31" t="s">
        <v>46</v>
      </c>
      <c r="C26" s="27" t="s">
        <v>70</v>
      </c>
      <c r="D26" s="28"/>
      <c r="E26" s="28"/>
      <c r="F26" s="28"/>
      <c r="G26" s="28"/>
      <c r="H26" s="28"/>
      <c r="I26" s="28"/>
      <c r="J26" s="28"/>
      <c r="K26" s="28"/>
      <c r="L26" s="29"/>
      <c r="M26" s="31"/>
    </row>
    <row r="27" s="1" customFormat="1" ht="130" customHeight="1" spans="1:13">
      <c r="A27" s="7">
        <v>22</v>
      </c>
      <c r="B27" s="31" t="s">
        <v>48</v>
      </c>
      <c r="C27" s="42" t="s">
        <v>67</v>
      </c>
      <c r="D27" s="28"/>
      <c r="E27" s="28"/>
      <c r="F27" s="28"/>
      <c r="G27" s="28"/>
      <c r="H27" s="28"/>
      <c r="I27" s="28"/>
      <c r="J27" s="28"/>
      <c r="K27" s="28"/>
      <c r="L27" s="29"/>
      <c r="M27" s="31"/>
    </row>
    <row r="28" s="1" customFormat="1" ht="14" customHeight="1" spans="1:13">
      <c r="C28" s="33"/>
      <c r="D28" s="33"/>
    </row>
    <row r="29" s="1" customFormat="1" ht="25" customHeight="1" spans="1:13">
      <c r="A29" s="5" t="s">
        <v>71</v>
      </c>
    </row>
    <row r="30" s="1" customFormat="1" ht="25" customHeight="1" spans="1:13">
      <c r="A30" s="6" t="s">
        <v>51</v>
      </c>
      <c r="B30" s="6" t="s">
        <v>52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53</v>
      </c>
      <c r="C31" s="10">
        <v>0</v>
      </c>
      <c r="D31" s="10">
        <v>0</v>
      </c>
      <c r="E31" s="10">
        <f t="shared" ref="E31:E39" si="2">D31+C31</f>
        <v>0</v>
      </c>
      <c r="F31" s="10" t="s">
        <v>27</v>
      </c>
      <c r="G31" s="10">
        <f>0+0+0</f>
        <v>0</v>
      </c>
      <c r="H31" s="10"/>
      <c r="I31" s="10"/>
      <c r="J31" s="22"/>
      <c r="K31" s="22"/>
      <c r="L31" s="22"/>
      <c r="M31" s="10"/>
    </row>
    <row r="32" s="1" customFormat="1" ht="25" customHeight="1" spans="1:13">
      <c r="A32" s="7">
        <v>2</v>
      </c>
      <c r="B32" s="8" t="s">
        <v>54</v>
      </c>
      <c r="C32" s="10">
        <v>8.23</v>
      </c>
      <c r="D32" s="10">
        <v>8.28</v>
      </c>
      <c r="E32" s="10">
        <f t="shared" si="2"/>
        <v>16.51</v>
      </c>
      <c r="F32" s="10" t="s">
        <v>27</v>
      </c>
      <c r="G32" s="10">
        <f>16.54+16.48+16.51</f>
        <v>49.53</v>
      </c>
      <c r="H32" s="10"/>
      <c r="I32" s="10"/>
      <c r="J32" s="22"/>
      <c r="K32" s="22"/>
      <c r="L32" s="22"/>
      <c r="M32" s="21"/>
    </row>
    <row r="33" s="1" customFormat="1" ht="25" customHeight="1" spans="1:13">
      <c r="A33" s="7">
        <v>3</v>
      </c>
      <c r="B33" s="8" t="s">
        <v>55</v>
      </c>
      <c r="C33" s="10">
        <v>34</v>
      </c>
      <c r="D33" s="10">
        <v>9</v>
      </c>
      <c r="E33" s="10">
        <f t="shared" si="2"/>
        <v>43</v>
      </c>
      <c r="F33" s="10" t="s">
        <v>27</v>
      </c>
      <c r="G33" s="10">
        <f>27+20+43</f>
        <v>90</v>
      </c>
      <c r="H33" s="10"/>
      <c r="I33" s="10"/>
      <c r="J33" s="22"/>
      <c r="K33" s="22"/>
      <c r="L33" s="22"/>
      <c r="M33" s="21"/>
    </row>
    <row r="34" s="1" customFormat="1" ht="25" customHeight="1" spans="1:13">
      <c r="A34" s="7">
        <v>4</v>
      </c>
      <c r="B34" s="8" t="s">
        <v>56</v>
      </c>
      <c r="C34" s="10">
        <v>0</v>
      </c>
      <c r="D34" s="10">
        <v>0</v>
      </c>
      <c r="E34" s="10">
        <f t="shared" si="2"/>
        <v>0</v>
      </c>
      <c r="F34" s="10" t="s">
        <v>27</v>
      </c>
      <c r="G34" s="10">
        <f>0+0+0</f>
        <v>0</v>
      </c>
      <c r="H34" s="10"/>
      <c r="I34" s="10"/>
      <c r="J34" s="22"/>
      <c r="K34" s="22"/>
      <c r="L34" s="22"/>
      <c r="M34" s="21"/>
    </row>
    <row r="35" s="1" customFormat="1" ht="25" customHeight="1" spans="1:13">
      <c r="A35" s="7">
        <v>5</v>
      </c>
      <c r="B35" s="8" t="s">
        <v>22</v>
      </c>
      <c r="C35" s="10">
        <v>7.7625</v>
      </c>
      <c r="D35" s="10">
        <v>0</v>
      </c>
      <c r="E35" s="10">
        <f t="shared" si="2"/>
        <v>7.7625</v>
      </c>
      <c r="F35" s="10" t="s">
        <v>14</v>
      </c>
      <c r="G35" s="10">
        <f>0+10.3545+7.7625</f>
        <v>18.117</v>
      </c>
      <c r="H35" s="10"/>
      <c r="J35" s="22"/>
      <c r="K35" s="22"/>
      <c r="L35" s="22"/>
      <c r="M35" s="22"/>
    </row>
    <row r="36" s="1" customFormat="1" ht="25" customHeight="1" spans="1:13">
      <c r="A36" s="7">
        <v>6</v>
      </c>
      <c r="B36" s="8" t="s">
        <v>24</v>
      </c>
      <c r="C36" s="10">
        <v>0</v>
      </c>
      <c r="D36" s="10">
        <v>0</v>
      </c>
      <c r="E36" s="10">
        <f t="shared" si="2"/>
        <v>0</v>
      </c>
      <c r="F36" s="10" t="s">
        <v>14</v>
      </c>
      <c r="G36" s="10">
        <f>0+0+0</f>
        <v>0</v>
      </c>
      <c r="H36" s="10"/>
      <c r="I36" s="10"/>
      <c r="J36" s="20"/>
      <c r="K36" s="22"/>
      <c r="L36" s="22"/>
      <c r="M36" s="22"/>
    </row>
    <row r="37" s="1" customFormat="1" ht="25" customHeight="1" spans="1:13">
      <c r="A37" s="7">
        <v>7</v>
      </c>
      <c r="B37" s="8" t="s">
        <v>57</v>
      </c>
      <c r="C37" s="10">
        <v>0</v>
      </c>
      <c r="D37" s="10">
        <v>0</v>
      </c>
      <c r="E37" s="10">
        <f t="shared" si="2"/>
        <v>0</v>
      </c>
      <c r="F37" s="10" t="s">
        <v>27</v>
      </c>
      <c r="G37" s="10">
        <f>0+6+0</f>
        <v>6</v>
      </c>
      <c r="H37" s="10"/>
      <c r="I37" s="10"/>
      <c r="J37" s="39"/>
      <c r="K37" s="22"/>
      <c r="L37" s="10"/>
      <c r="M37" s="22"/>
    </row>
    <row r="38" s="1" customFormat="1" ht="27" customHeight="1" spans="1:13">
      <c r="A38" s="7">
        <v>8</v>
      </c>
      <c r="B38" s="8" t="s">
        <v>58</v>
      </c>
      <c r="C38" s="10">
        <v>268</v>
      </c>
      <c r="D38" s="10">
        <v>286</v>
      </c>
      <c r="E38" s="10">
        <f t="shared" si="2"/>
        <v>554</v>
      </c>
      <c r="F38" s="10" t="s">
        <v>27</v>
      </c>
      <c r="G38" s="10">
        <f>599+599+554</f>
        <v>1752</v>
      </c>
      <c r="H38" s="10"/>
      <c r="I38" s="10"/>
      <c r="J38" s="43"/>
      <c r="K38" s="22"/>
      <c r="L38" s="10"/>
      <c r="M38" s="22"/>
    </row>
    <row r="39" s="1" customFormat="1" ht="25" customHeight="1" spans="1:13">
      <c r="A39" s="7">
        <v>9</v>
      </c>
      <c r="B39" s="8" t="s">
        <v>59</v>
      </c>
      <c r="C39" s="10">
        <v>0</v>
      </c>
      <c r="D39" s="10">
        <v>0</v>
      </c>
      <c r="E39" s="44">
        <f t="shared" si="2"/>
        <v>0</v>
      </c>
      <c r="F39" s="10" t="s">
        <v>27</v>
      </c>
      <c r="G39" s="10">
        <f>0+0+0</f>
        <v>0</v>
      </c>
      <c r="H39" s="10"/>
      <c r="I39" s="10"/>
      <c r="J39" s="43"/>
      <c r="K39" s="45"/>
      <c r="L39" s="10"/>
      <c r="M39" s="22"/>
    </row>
    <row r="40" s="1" customFormat="1" ht="25" customHeight="1" spans="1:13">
      <c r="A40" s="7">
        <v>10</v>
      </c>
      <c r="B40" s="8" t="s">
        <v>60</v>
      </c>
      <c r="C40" s="10">
        <v>0</v>
      </c>
      <c r="D40" s="10">
        <v>0</v>
      </c>
      <c r="E40" s="10">
        <f>C40+D40</f>
        <v>0</v>
      </c>
      <c r="F40" s="10" t="s">
        <v>27</v>
      </c>
      <c r="G40" s="10">
        <f>0+0+0</f>
        <v>0</v>
      </c>
      <c r="H40" s="22"/>
      <c r="I40" s="7">
        <v>142.5</v>
      </c>
      <c r="J40" s="20"/>
      <c r="K40" s="37"/>
      <c r="L40" s="27"/>
      <c r="M40" s="38"/>
    </row>
    <row r="41" s="1" customFormat="1" ht="25" customHeight="1" spans="1:13">
      <c r="A41" s="7">
        <v>11</v>
      </c>
      <c r="B41" s="8" t="s">
        <v>61</v>
      </c>
      <c r="C41" s="10">
        <v>0</v>
      </c>
      <c r="D41" s="10">
        <v>0</v>
      </c>
      <c r="E41" s="10">
        <f>C41+D41</f>
        <v>0</v>
      </c>
      <c r="F41" s="10" t="s">
        <v>27</v>
      </c>
      <c r="G41" s="10">
        <f>0+0+0</f>
        <v>0</v>
      </c>
      <c r="H41" s="22"/>
      <c r="I41" s="7">
        <v>129.4214</v>
      </c>
      <c r="J41" s="27"/>
      <c r="K41" s="37"/>
      <c r="L41" s="27"/>
      <c r="M41" s="38"/>
    </row>
    <row r="42" s="1" customFormat="1" ht="25" customHeight="1" spans="1:13">
      <c r="A42" s="7">
        <v>12</v>
      </c>
      <c r="B42" s="8" t="s">
        <v>62</v>
      </c>
      <c r="C42" s="7">
        <v>3</v>
      </c>
      <c r="D42" s="7">
        <v>0</v>
      </c>
      <c r="E42" s="10">
        <f>D42+C42</f>
        <v>3</v>
      </c>
      <c r="F42" s="10" t="s">
        <v>37</v>
      </c>
      <c r="G42" s="10">
        <f>2+3+3</f>
        <v>8</v>
      </c>
      <c r="H42" s="22"/>
      <c r="I42" s="10">
        <v>8</v>
      </c>
      <c r="J42" s="27"/>
      <c r="K42" s="27"/>
      <c r="L42" s="27"/>
      <c r="M42" s="38"/>
    </row>
    <row r="43" s="1" customFormat="1" ht="78" customHeight="1" spans="1:13">
      <c r="A43" s="7">
        <v>13</v>
      </c>
      <c r="B43" s="46" t="s">
        <v>48</v>
      </c>
      <c r="C43" s="47" t="s">
        <v>63</v>
      </c>
      <c r="D43" s="48"/>
      <c r="E43" s="48"/>
      <c r="F43" s="48"/>
      <c r="G43" s="48"/>
      <c r="H43" s="48"/>
      <c r="I43" s="48"/>
      <c r="J43" s="48"/>
      <c r="K43" s="48"/>
      <c r="L43" s="49"/>
      <c r="M43" s="50"/>
    </row>
    <row r="44" s="1" customFormat="1" spans="1:13">
      <c r="A44" s="38" t="s">
        <v>64</v>
      </c>
      <c r="B44" s="40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9"/>
    </row>
    <row r="45" s="1" customFormat="1" spans="1:13">
      <c r="A45" s="15"/>
      <c r="B45" s="51"/>
      <c r="M45" s="52"/>
    </row>
    <row r="46" s="1" customFormat="1" spans="1:13">
      <c r="A46" s="15"/>
      <c r="B46" s="51"/>
      <c r="M46" s="52"/>
    </row>
    <row r="47" s="1" customFormat="1" spans="1:13">
      <c r="A47" s="15"/>
      <c r="B47" s="51"/>
      <c r="M47" s="52"/>
    </row>
    <row r="48" s="1" customFormat="1" spans="1:13">
      <c r="A48" s="15"/>
      <c r="B48" s="51"/>
      <c r="M48" s="52"/>
    </row>
    <row r="49" s="1" customFormat="1" spans="1:13">
      <c r="A49" s="15"/>
      <c r="B49" s="51"/>
      <c r="M49" s="52"/>
    </row>
    <row r="50" s="1" customFormat="1" spans="1:13">
      <c r="A50" s="15"/>
      <c r="B50" s="51"/>
      <c r="M50" s="52"/>
    </row>
    <row r="51" s="1" customFormat="1" spans="1:13">
      <c r="A51" s="15"/>
      <c r="B51" s="51"/>
      <c r="M51" s="52"/>
    </row>
    <row r="52" s="1" customFormat="1" ht="12" customHeight="1" spans="1:13">
      <c r="A52" s="15"/>
      <c r="B52" s="51"/>
      <c r="M52" s="52"/>
    </row>
    <row r="53" s="1" customFormat="1" hidden="1" spans="1:13">
      <c r="A53" s="15"/>
      <c r="B53" s="51"/>
      <c r="M53" s="52"/>
    </row>
    <row r="54" s="1" customFormat="1" hidden="1" spans="1:13">
      <c r="A54" s="15"/>
      <c r="B54" s="51"/>
      <c r="M54" s="52"/>
    </row>
    <row r="55" spans="1:13">
      <c r="A55" s="16"/>
      <c r="B55" s="53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5"/>
    </row>
    <row r="63" s="1" customFormat="1" spans="1:13">
      <c r="C63" s="33"/>
      <c r="D63" s="33"/>
    </row>
    <row r="64" spans="1:13">
      <c r="L64" s="1"/>
    </row>
  </sheetData>
  <mergeCells count="11">
    <mergeCell ref="A1:M1"/>
    <mergeCell ref="C25:L25"/>
    <mergeCell ref="C26:L26"/>
    <mergeCell ref="C27:L27"/>
    <mergeCell ref="A29:M29"/>
    <mergeCell ref="C43:L43"/>
    <mergeCell ref="A5:A8"/>
    <mergeCell ref="A44:A55"/>
    <mergeCell ref="H5:H8"/>
    <mergeCell ref="I5:I8"/>
    <mergeCell ref="B44:M55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topLeftCell="A8" workbookViewId="0">
      <selection activeCell="G18" sqref="G18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5" t="s">
        <v>72</v>
      </c>
    </row>
    <row r="2" s="1" customFormat="1" ht="25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7">
        <v>1</v>
      </c>
      <c r="B3" s="8" t="s">
        <v>13</v>
      </c>
      <c r="C3" s="9">
        <v>6</v>
      </c>
      <c r="D3" s="9">
        <v>0</v>
      </c>
      <c r="E3" s="10">
        <f t="shared" ref="E3:E12" si="0">C3+D3</f>
        <v>6</v>
      </c>
      <c r="F3" s="10" t="s">
        <v>14</v>
      </c>
      <c r="G3" s="10">
        <f>2+14.5+12+6</f>
        <v>34.5</v>
      </c>
      <c r="H3" s="10">
        <v>294</v>
      </c>
      <c r="I3" s="10">
        <f>H3-G3</f>
        <v>259.5</v>
      </c>
      <c r="J3" s="10"/>
      <c r="K3" s="10"/>
      <c r="L3" s="10"/>
      <c r="M3" s="10">
        <f>I3/26</f>
        <v>9.98076923076923</v>
      </c>
    </row>
    <row r="4" s="1" customFormat="1" ht="56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14+2+14+12</f>
        <v>42</v>
      </c>
      <c r="H4" s="13"/>
      <c r="I4" s="13"/>
      <c r="J4" s="10"/>
      <c r="K4" s="10"/>
      <c r="L4" s="10"/>
      <c r="M4" s="10"/>
    </row>
    <row r="5" s="1" customFormat="1" ht="56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</f>
        <v>0</v>
      </c>
      <c r="H5" s="10">
        <v>4346</v>
      </c>
      <c r="I5" s="10">
        <f>H5-G5-G7-G6</f>
        <v>3816</v>
      </c>
      <c r="J5" s="20"/>
      <c r="K5" s="10"/>
      <c r="L5" s="10"/>
      <c r="M5" s="10"/>
    </row>
    <row r="6" s="1" customFormat="1" ht="4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</f>
        <v>0</v>
      </c>
      <c r="H6" s="15"/>
      <c r="I6" s="15"/>
      <c r="J6" s="10"/>
      <c r="K6" s="10"/>
      <c r="L6" s="10"/>
      <c r="M6" s="10"/>
    </row>
    <row r="7" s="1" customFormat="1" ht="4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206+172+152+0</f>
        <v>530</v>
      </c>
      <c r="H7" s="15"/>
      <c r="I7" s="15"/>
      <c r="J7" s="10"/>
      <c r="K7" s="10"/>
      <c r="L7" s="10"/>
      <c r="M7" s="10"/>
    </row>
    <row r="8" s="1" customFormat="1" ht="52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</f>
        <v>0</v>
      </c>
      <c r="H8" s="16"/>
      <c r="I8" s="16"/>
      <c r="J8" s="10"/>
      <c r="K8" s="10"/>
      <c r="L8" s="10"/>
      <c r="M8" s="10"/>
    </row>
    <row r="9" s="1" customFormat="1" ht="35" customHeight="1" spans="1:13">
      <c r="A9" s="12">
        <v>4</v>
      </c>
      <c r="B9" s="17" t="s">
        <v>20</v>
      </c>
      <c r="C9" s="13">
        <v>63.15</v>
      </c>
      <c r="D9" s="13"/>
      <c r="E9" s="10">
        <f t="shared" si="0"/>
        <v>63.15</v>
      </c>
      <c r="F9" s="13" t="s">
        <v>14</v>
      </c>
      <c r="G9" s="10">
        <f>0+0+39.77+63.15</f>
        <v>102.92</v>
      </c>
      <c r="H9" s="13">
        <v>5.42</v>
      </c>
      <c r="I9" s="13">
        <f>H9-K10</f>
        <v>4.526235</v>
      </c>
      <c r="J9" s="18" t="s">
        <v>21</v>
      </c>
      <c r="K9" s="13">
        <v>0</v>
      </c>
      <c r="L9" s="13">
        <v>0.88</v>
      </c>
      <c r="M9" s="19"/>
    </row>
    <row r="10" s="1" customFormat="1" ht="25" customHeight="1" spans="1:13">
      <c r="A10" s="7">
        <v>5</v>
      </c>
      <c r="B10" s="8" t="s">
        <v>22</v>
      </c>
      <c r="C10" s="10">
        <v>3.8745</v>
      </c>
      <c r="D10" s="10">
        <v>0</v>
      </c>
      <c r="E10" s="10">
        <f t="shared" si="0"/>
        <v>3.8745</v>
      </c>
      <c r="F10" s="10" t="s">
        <v>14</v>
      </c>
      <c r="G10" s="10">
        <f>5.265+7.938+15.8625+3.8745</f>
        <v>32.94</v>
      </c>
      <c r="H10" s="10"/>
      <c r="I10" s="10">
        <f>G10/(G3*0.1865)</f>
        <v>5.11947779461476</v>
      </c>
      <c r="J10" s="18" t="s">
        <v>23</v>
      </c>
      <c r="K10" s="20">
        <f>0+0+0.338045+0.55572</f>
        <v>0.893765</v>
      </c>
      <c r="L10" s="10"/>
      <c r="M10" s="10">
        <f>C9*L9/100</f>
        <v>0.55572</v>
      </c>
    </row>
    <row r="11" s="1" customFormat="1" ht="25" customHeight="1" spans="1:13">
      <c r="A11" s="7">
        <v>6</v>
      </c>
      <c r="B11" s="8" t="s">
        <v>24</v>
      </c>
      <c r="C11" s="10">
        <v>8.9976</v>
      </c>
      <c r="D11" s="10">
        <v>0</v>
      </c>
      <c r="E11" s="10">
        <f t="shared" si="0"/>
        <v>8.9976</v>
      </c>
      <c r="F11" s="10" t="s">
        <v>14</v>
      </c>
      <c r="G11" s="10">
        <f>8.832+2.8336+13.1376+8.9976</f>
        <v>33.8008</v>
      </c>
      <c r="H11" s="10"/>
      <c r="I11" s="10">
        <f>G11/(G3*0.1865)</f>
        <v>5.2532618409294</v>
      </c>
      <c r="J11" s="10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182</v>
      </c>
      <c r="D12" s="10">
        <v>0</v>
      </c>
      <c r="E12" s="10">
        <f t="shared" si="0"/>
        <v>182</v>
      </c>
      <c r="F12" s="10"/>
      <c r="G12" s="10">
        <f>256+501+386+182</f>
        <v>1325</v>
      </c>
      <c r="H12" s="10">
        <f>G12*1.05</f>
        <v>1391.25</v>
      </c>
      <c r="I12" s="10"/>
      <c r="J12" s="10"/>
      <c r="K12" s="10"/>
      <c r="L12" s="10"/>
      <c r="M12" s="21"/>
    </row>
    <row r="13" s="1" customFormat="1" ht="30" customHeight="1" spans="1:13">
      <c r="A13" s="7">
        <v>8</v>
      </c>
      <c r="B13" s="8" t="s">
        <v>26</v>
      </c>
      <c r="C13" s="10">
        <v>96</v>
      </c>
      <c r="D13" s="10">
        <v>0</v>
      </c>
      <c r="E13" s="10">
        <f t="shared" ref="E13:E20" si="1">D13+C13</f>
        <v>96</v>
      </c>
      <c r="F13" s="10" t="s">
        <v>27</v>
      </c>
      <c r="G13" s="10">
        <f>142+478+310+96</f>
        <v>1026</v>
      </c>
      <c r="H13" s="10"/>
      <c r="I13" s="10"/>
      <c r="J13" s="20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67.84</v>
      </c>
      <c r="D14" s="10">
        <v>0</v>
      </c>
      <c r="E14" s="10">
        <f t="shared" si="1"/>
        <v>67.84</v>
      </c>
      <c r="F14" s="10" t="s">
        <v>27</v>
      </c>
      <c r="G14" s="10">
        <f>852.63+765.27+628.63+67.84</f>
        <v>2314.37</v>
      </c>
      <c r="H14" s="10"/>
      <c r="I14" s="10"/>
      <c r="J14" s="18" t="s">
        <v>29</v>
      </c>
      <c r="K14" s="10">
        <v>3.25</v>
      </c>
      <c r="L14" s="10">
        <v>0</v>
      </c>
      <c r="M14" s="10"/>
    </row>
    <row r="15" s="1" customFormat="1" ht="25" customHeight="1" spans="1:13">
      <c r="A15" s="7">
        <v>10</v>
      </c>
      <c r="B15" s="8" t="s">
        <v>30</v>
      </c>
      <c r="C15" s="10">
        <v>0</v>
      </c>
      <c r="D15" s="10">
        <v>0</v>
      </c>
      <c r="E15" s="10">
        <f t="shared" si="1"/>
        <v>0</v>
      </c>
      <c r="F15" s="10" t="s">
        <v>14</v>
      </c>
      <c r="G15" s="10">
        <f>0+0+0+0</f>
        <v>0</v>
      </c>
      <c r="H15" s="10"/>
      <c r="I15" s="10"/>
      <c r="J15" s="18" t="s">
        <v>31</v>
      </c>
      <c r="K15" s="20">
        <f>2.4676132+2.4190333+2.1010637+0.22048</f>
        <v>7.2081902</v>
      </c>
      <c r="L15" s="10"/>
      <c r="M15" s="10">
        <f>(C14*K14+L14*D14)/1000</f>
        <v>0.22048</v>
      </c>
    </row>
    <row r="16" s="1" customFormat="1" ht="25" customHeight="1" spans="1:13">
      <c r="A16" s="7">
        <v>11</v>
      </c>
      <c r="B16" s="8" t="s">
        <v>32</v>
      </c>
      <c r="C16" s="10">
        <v>0</v>
      </c>
      <c r="D16" s="10">
        <v>0</v>
      </c>
      <c r="E16" s="10">
        <f t="shared" si="1"/>
        <v>0</v>
      </c>
      <c r="F16" s="10" t="s">
        <v>14</v>
      </c>
      <c r="G16" s="10">
        <f>6+42+24+0</f>
        <v>72</v>
      </c>
      <c r="H16" s="10"/>
      <c r="I16" s="10">
        <f>G16/(G3*0.1865)</f>
        <v>11.190115398065</v>
      </c>
      <c r="J16" s="10"/>
      <c r="K16" s="10"/>
      <c r="L16" s="10"/>
      <c r="M16" s="22"/>
    </row>
    <row r="17" s="1" customFormat="1" ht="29" customHeight="1" spans="1:13">
      <c r="A17" s="7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0.1+0+0+0</f>
        <v>0.1</v>
      </c>
      <c r="H17" s="22"/>
      <c r="I17" s="22"/>
      <c r="J17" s="22"/>
      <c r="K17" s="22"/>
      <c r="L17" s="22"/>
      <c r="M17" s="10"/>
    </row>
    <row r="18" s="1" customFormat="1" ht="29" customHeight="1" spans="1:13">
      <c r="A18" s="7">
        <v>13</v>
      </c>
      <c r="B18" s="8" t="s">
        <v>34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0+2+0+2</f>
        <v>4</v>
      </c>
      <c r="H18" s="22"/>
      <c r="I18" s="22">
        <f>G18/(G3*0.1865)</f>
        <v>0.62167307767028</v>
      </c>
      <c r="J18" s="22"/>
      <c r="K18" s="22"/>
      <c r="L18" s="22"/>
      <c r="M18" s="10"/>
    </row>
    <row r="19" s="1" customFormat="1" ht="29" customHeight="1" spans="1:13">
      <c r="A19" s="7">
        <v>14</v>
      </c>
      <c r="B19" s="8" t="s">
        <v>35</v>
      </c>
      <c r="C19" s="10">
        <v>1.5</v>
      </c>
      <c r="D19" s="7">
        <v>0</v>
      </c>
      <c r="E19" s="10">
        <f t="shared" si="1"/>
        <v>1.5</v>
      </c>
      <c r="F19" s="10" t="s">
        <v>14</v>
      </c>
      <c r="G19" s="10">
        <f>0+1.5+0+1.5</f>
        <v>3</v>
      </c>
      <c r="H19" s="22"/>
      <c r="I19" s="22">
        <f>G19/(G3*0.1865)</f>
        <v>0.46625480825271</v>
      </c>
      <c r="J19" s="22"/>
      <c r="K19" s="22"/>
      <c r="L19" s="22"/>
      <c r="M19" s="10"/>
    </row>
    <row r="20" s="1" customFormat="1" ht="29" customHeight="1" spans="1:13">
      <c r="A20" s="7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37</v>
      </c>
      <c r="G20" s="10">
        <f>12+0+9+0</f>
        <v>21</v>
      </c>
      <c r="H20" s="22"/>
      <c r="I20" s="22"/>
      <c r="J20" s="22"/>
      <c r="K20" s="22"/>
      <c r="L20" s="22"/>
      <c r="M20" s="10"/>
    </row>
    <row r="21" s="1" customFormat="1" ht="29" customHeight="1" spans="1:13">
      <c r="A21" s="7">
        <v>16</v>
      </c>
      <c r="B21" s="8" t="s">
        <v>38</v>
      </c>
      <c r="C21" s="7">
        <v>0</v>
      </c>
      <c r="D21" s="7">
        <v>0</v>
      </c>
      <c r="E21" s="10">
        <v>0</v>
      </c>
      <c r="F21" s="10" t="s">
        <v>37</v>
      </c>
      <c r="G21" s="10">
        <f>0+0+0+0</f>
        <v>0</v>
      </c>
      <c r="H21" s="22"/>
      <c r="I21" s="22"/>
      <c r="J21" s="20"/>
      <c r="K21" s="22"/>
      <c r="L21" s="22"/>
      <c r="M21" s="10"/>
    </row>
    <row r="22" s="1" customFormat="1" ht="29" customHeight="1" spans="1:13">
      <c r="A22" s="7">
        <v>17</v>
      </c>
      <c r="B22" s="8" t="s">
        <v>39</v>
      </c>
      <c r="C22" s="7">
        <v>28</v>
      </c>
      <c r="D22" s="7">
        <v>0</v>
      </c>
      <c r="E22" s="10">
        <f>D22+C22</f>
        <v>28</v>
      </c>
      <c r="F22" s="10" t="s">
        <v>27</v>
      </c>
      <c r="G22" s="10">
        <f>1304+1347+838+28</f>
        <v>3517</v>
      </c>
      <c r="H22" s="23"/>
      <c r="I22" s="10" t="e">
        <f>E22/M22</f>
        <v>#DIV/0!</v>
      </c>
      <c r="J22" s="41" t="s">
        <v>40</v>
      </c>
      <c r="K22" s="10">
        <f>23.5+24+13.5+0</f>
        <v>61</v>
      </c>
      <c r="L22" s="10">
        <f>G22/K22</f>
        <v>57.655737704918</v>
      </c>
      <c r="M22" s="10">
        <v>0</v>
      </c>
    </row>
    <row r="23" s="1" customFormat="1" ht="29" customHeight="1" spans="1:13">
      <c r="A23" s="7">
        <v>18</v>
      </c>
      <c r="B23" s="8" t="s">
        <v>41</v>
      </c>
      <c r="C23" s="7">
        <v>1</v>
      </c>
      <c r="D23" s="7">
        <v>0</v>
      </c>
      <c r="E23" s="10">
        <f>D23+C23</f>
        <v>1</v>
      </c>
      <c r="F23" s="10" t="s">
        <v>27</v>
      </c>
      <c r="G23" s="10">
        <f>1466+1706+934+1</f>
        <v>4107</v>
      </c>
      <c r="H23" s="22"/>
      <c r="I23" s="10" t="e">
        <f>E23/M22</f>
        <v>#DIV/0!</v>
      </c>
      <c r="J23" s="22"/>
      <c r="K23" s="22"/>
      <c r="L23" s="22"/>
      <c r="M23" s="10"/>
    </row>
    <row r="24" s="1" customFormat="1" ht="29" customHeight="1" spans="1:13">
      <c r="A24" s="7">
        <v>19</v>
      </c>
      <c r="B24" s="8" t="s">
        <v>42</v>
      </c>
      <c r="C24" s="7">
        <v>0</v>
      </c>
      <c r="D24" s="7">
        <v>0</v>
      </c>
      <c r="E24" s="10"/>
      <c r="F24" s="10" t="s">
        <v>43</v>
      </c>
      <c r="G24" s="10"/>
      <c r="H24" s="22"/>
      <c r="I24" s="22"/>
      <c r="J24" s="22"/>
      <c r="K24" s="22"/>
      <c r="L24" s="22"/>
      <c r="M24" s="10"/>
    </row>
    <row r="25" s="1" customFormat="1" ht="149" customHeight="1" spans="1:13">
      <c r="A25" s="7">
        <v>20</v>
      </c>
      <c r="B25" s="26" t="s">
        <v>44</v>
      </c>
      <c r="C25" s="27" t="s">
        <v>45</v>
      </c>
      <c r="D25" s="28"/>
      <c r="E25" s="28"/>
      <c r="F25" s="28"/>
      <c r="G25" s="28"/>
      <c r="H25" s="28"/>
      <c r="I25" s="28"/>
      <c r="J25" s="28"/>
      <c r="K25" s="28"/>
      <c r="L25" s="29"/>
      <c r="M25" s="27"/>
    </row>
    <row r="26" s="1" customFormat="1" ht="130" customHeight="1" spans="1:13">
      <c r="A26" s="7">
        <v>21</v>
      </c>
      <c r="B26" s="31" t="s">
        <v>46</v>
      </c>
      <c r="C26" s="27" t="s">
        <v>73</v>
      </c>
      <c r="D26" s="28"/>
      <c r="E26" s="28"/>
      <c r="F26" s="28"/>
      <c r="G26" s="28"/>
      <c r="H26" s="28"/>
      <c r="I26" s="28"/>
      <c r="J26" s="28"/>
      <c r="K26" s="28"/>
      <c r="L26" s="29"/>
      <c r="M26" s="31"/>
    </row>
    <row r="27" s="1" customFormat="1" ht="130" customHeight="1" spans="1:13">
      <c r="A27" s="7">
        <v>22</v>
      </c>
      <c r="B27" s="31" t="s">
        <v>48</v>
      </c>
      <c r="C27" s="42" t="s">
        <v>74</v>
      </c>
      <c r="D27" s="28"/>
      <c r="E27" s="28"/>
      <c r="F27" s="28"/>
      <c r="G27" s="28"/>
      <c r="H27" s="28"/>
      <c r="I27" s="28"/>
      <c r="J27" s="28"/>
      <c r="K27" s="28"/>
      <c r="L27" s="29"/>
      <c r="M27" s="31"/>
    </row>
    <row r="28" s="1" customFormat="1" ht="14" customHeight="1" spans="1:13">
      <c r="C28" s="33"/>
      <c r="D28" s="33"/>
    </row>
    <row r="29" s="1" customFormat="1" ht="25" customHeight="1" spans="1:13">
      <c r="A29" s="5" t="s">
        <v>75</v>
      </c>
    </row>
    <row r="30" s="1" customFormat="1" ht="25" customHeight="1" spans="1:13">
      <c r="A30" s="6" t="s">
        <v>51</v>
      </c>
      <c r="B30" s="6" t="s">
        <v>52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53</v>
      </c>
      <c r="C31" s="10">
        <v>0</v>
      </c>
      <c r="D31" s="10">
        <v>0</v>
      </c>
      <c r="E31" s="10">
        <f t="shared" ref="E31:E39" si="2">D31+C31</f>
        <v>0</v>
      </c>
      <c r="F31" s="10" t="s">
        <v>27</v>
      </c>
      <c r="G31" s="10">
        <f>0+0+0+0</f>
        <v>0</v>
      </c>
      <c r="H31" s="10"/>
      <c r="I31" s="10"/>
      <c r="J31" s="22"/>
      <c r="K31" s="22"/>
      <c r="L31" s="22"/>
      <c r="M31" s="10"/>
    </row>
    <row r="32" s="1" customFormat="1" ht="25" customHeight="1" spans="1:13">
      <c r="A32" s="7">
        <v>2</v>
      </c>
      <c r="B32" s="8" t="s">
        <v>54</v>
      </c>
      <c r="C32" s="10">
        <v>8.25</v>
      </c>
      <c r="D32" s="10">
        <v>0</v>
      </c>
      <c r="E32" s="10">
        <f t="shared" si="2"/>
        <v>8.25</v>
      </c>
      <c r="F32" s="10" t="s">
        <v>27</v>
      </c>
      <c r="G32" s="10">
        <f>16.54+16.48+16.51+8.25</f>
        <v>57.78</v>
      </c>
      <c r="H32" s="10"/>
      <c r="I32" s="10"/>
      <c r="J32" s="22"/>
      <c r="K32" s="22"/>
      <c r="L32" s="22"/>
      <c r="M32" s="21"/>
    </row>
    <row r="33" s="1" customFormat="1" ht="25" customHeight="1" spans="1:13">
      <c r="A33" s="7">
        <v>3</v>
      </c>
      <c r="B33" s="8" t="s">
        <v>55</v>
      </c>
      <c r="C33" s="10">
        <v>14</v>
      </c>
      <c r="D33" s="10">
        <v>0</v>
      </c>
      <c r="E33" s="10">
        <f t="shared" si="2"/>
        <v>14</v>
      </c>
      <c r="F33" s="10" t="s">
        <v>27</v>
      </c>
      <c r="G33" s="10">
        <f>27+20+43+14</f>
        <v>104</v>
      </c>
      <c r="H33" s="10"/>
      <c r="I33" s="10"/>
      <c r="J33" s="22"/>
      <c r="K33" s="22"/>
      <c r="L33" s="22"/>
      <c r="M33" s="21"/>
    </row>
    <row r="34" s="1" customFormat="1" ht="25" customHeight="1" spans="1:13">
      <c r="A34" s="7">
        <v>4</v>
      </c>
      <c r="B34" s="8" t="s">
        <v>56</v>
      </c>
      <c r="C34" s="10">
        <v>0</v>
      </c>
      <c r="D34" s="10">
        <v>0</v>
      </c>
      <c r="E34" s="10">
        <f t="shared" si="2"/>
        <v>0</v>
      </c>
      <c r="F34" s="10" t="s">
        <v>27</v>
      </c>
      <c r="G34" s="10">
        <f>0+0+0+0</f>
        <v>0</v>
      </c>
      <c r="H34" s="10"/>
      <c r="I34" s="10"/>
      <c r="J34" s="22"/>
      <c r="K34" s="22"/>
      <c r="L34" s="22"/>
      <c r="M34" s="21"/>
    </row>
    <row r="35" s="1" customFormat="1" ht="25" customHeight="1" spans="1:13">
      <c r="A35" s="7">
        <v>5</v>
      </c>
      <c r="B35" s="8" t="s">
        <v>22</v>
      </c>
      <c r="C35" s="10">
        <v>8.154</v>
      </c>
      <c r="D35" s="10">
        <v>0</v>
      </c>
      <c r="E35" s="10">
        <f t="shared" si="2"/>
        <v>8.154</v>
      </c>
      <c r="F35" s="10" t="s">
        <v>14</v>
      </c>
      <c r="G35" s="10">
        <f>0+10.3545+7.7625+8.154</f>
        <v>26.271</v>
      </c>
      <c r="H35" s="10"/>
      <c r="J35" s="22"/>
      <c r="K35" s="22"/>
      <c r="L35" s="22"/>
      <c r="M35" s="22"/>
    </row>
    <row r="36" s="1" customFormat="1" ht="25" customHeight="1" spans="1:13">
      <c r="A36" s="7">
        <v>6</v>
      </c>
      <c r="B36" s="8" t="s">
        <v>24</v>
      </c>
      <c r="C36" s="10">
        <v>0</v>
      </c>
      <c r="D36" s="10">
        <v>0</v>
      </c>
      <c r="E36" s="10">
        <f t="shared" si="2"/>
        <v>0</v>
      </c>
      <c r="F36" s="10" t="s">
        <v>14</v>
      </c>
      <c r="G36" s="10">
        <f>0+0+0+0</f>
        <v>0</v>
      </c>
      <c r="H36" s="10"/>
      <c r="I36" s="10"/>
      <c r="J36" s="20"/>
      <c r="K36" s="22"/>
      <c r="L36" s="22"/>
      <c r="M36" s="22"/>
    </row>
    <row r="37" s="1" customFormat="1" ht="25" customHeight="1" spans="1:13">
      <c r="A37" s="7">
        <v>7</v>
      </c>
      <c r="B37" s="8" t="s">
        <v>57</v>
      </c>
      <c r="C37" s="10">
        <v>0</v>
      </c>
      <c r="D37" s="10">
        <v>0</v>
      </c>
      <c r="E37" s="10">
        <f t="shared" si="2"/>
        <v>0</v>
      </c>
      <c r="F37" s="10" t="s">
        <v>27</v>
      </c>
      <c r="G37" s="10">
        <f>0+6+0+0</f>
        <v>6</v>
      </c>
      <c r="H37" s="10"/>
      <c r="I37" s="10"/>
      <c r="J37" s="39"/>
      <c r="K37" s="22"/>
      <c r="L37" s="10"/>
      <c r="M37" s="22"/>
    </row>
    <row r="38" s="1" customFormat="1" ht="27" customHeight="1" spans="1:13">
      <c r="A38" s="7">
        <v>8</v>
      </c>
      <c r="B38" s="8" t="s">
        <v>58</v>
      </c>
      <c r="C38" s="10">
        <v>284</v>
      </c>
      <c r="D38" s="10">
        <v>0</v>
      </c>
      <c r="E38" s="10">
        <f t="shared" si="2"/>
        <v>284</v>
      </c>
      <c r="F38" s="10" t="s">
        <v>27</v>
      </c>
      <c r="G38" s="10">
        <f>599+599+554+284</f>
        <v>2036</v>
      </c>
      <c r="H38" s="10"/>
      <c r="I38" s="10"/>
      <c r="J38" s="43"/>
      <c r="K38" s="22"/>
      <c r="L38" s="10"/>
      <c r="M38" s="22"/>
    </row>
    <row r="39" s="1" customFormat="1" ht="25" customHeight="1" spans="1:13">
      <c r="A39" s="7">
        <v>9</v>
      </c>
      <c r="B39" s="8" t="s">
        <v>59</v>
      </c>
      <c r="C39" s="10">
        <v>0</v>
      </c>
      <c r="D39" s="10">
        <v>0</v>
      </c>
      <c r="E39" s="44">
        <f t="shared" si="2"/>
        <v>0</v>
      </c>
      <c r="F39" s="10" t="s">
        <v>27</v>
      </c>
      <c r="G39" s="10">
        <f>0+0+0+0</f>
        <v>0</v>
      </c>
      <c r="H39" s="10"/>
      <c r="I39" s="10"/>
      <c r="J39" s="43"/>
      <c r="K39" s="45"/>
      <c r="L39" s="10"/>
      <c r="M39" s="22"/>
    </row>
    <row r="40" s="1" customFormat="1" ht="25" customHeight="1" spans="1:13">
      <c r="A40" s="7">
        <v>10</v>
      </c>
      <c r="B40" s="8" t="s">
        <v>60</v>
      </c>
      <c r="C40" s="10">
        <v>0</v>
      </c>
      <c r="D40" s="10">
        <v>0</v>
      </c>
      <c r="E40" s="10">
        <f>C40+D40</f>
        <v>0</v>
      </c>
      <c r="F40" s="10" t="s">
        <v>27</v>
      </c>
      <c r="G40" s="10">
        <f>0+0+0+0</f>
        <v>0</v>
      </c>
      <c r="H40" s="22"/>
      <c r="I40" s="7">
        <v>105</v>
      </c>
      <c r="J40" s="20"/>
      <c r="K40" s="37"/>
      <c r="L40" s="27"/>
      <c r="M40" s="38"/>
    </row>
    <row r="41" s="1" customFormat="1" ht="25" customHeight="1" spans="1:13">
      <c r="A41" s="7">
        <v>11</v>
      </c>
      <c r="B41" s="8" t="s">
        <v>61</v>
      </c>
      <c r="C41" s="10">
        <v>0</v>
      </c>
      <c r="D41" s="10">
        <v>0</v>
      </c>
      <c r="E41" s="10">
        <f>C41+D41</f>
        <v>0</v>
      </c>
      <c r="F41" s="10" t="s">
        <v>27</v>
      </c>
      <c r="G41" s="10">
        <f>0+0+0+0</f>
        <v>0</v>
      </c>
      <c r="H41" s="22"/>
      <c r="I41" s="7">
        <v>130.29</v>
      </c>
      <c r="J41" s="27"/>
      <c r="K41" s="37"/>
      <c r="L41" s="27"/>
      <c r="M41" s="38"/>
    </row>
    <row r="42" s="1" customFormat="1" ht="25" customHeight="1" spans="1:13">
      <c r="A42" s="7">
        <v>12</v>
      </c>
      <c r="B42" s="8" t="s">
        <v>62</v>
      </c>
      <c r="C42" s="7">
        <v>2</v>
      </c>
      <c r="D42" s="7">
        <v>0</v>
      </c>
      <c r="E42" s="10">
        <f>D42+C42</f>
        <v>2</v>
      </c>
      <c r="F42" s="10" t="s">
        <v>37</v>
      </c>
      <c r="G42" s="10">
        <f>2+3+3+2</f>
        <v>10</v>
      </c>
      <c r="H42" s="22"/>
      <c r="I42" s="10">
        <v>10</v>
      </c>
      <c r="J42" s="27"/>
      <c r="K42" s="27"/>
      <c r="L42" s="27"/>
      <c r="M42" s="38"/>
    </row>
    <row r="43" s="1" customFormat="1" ht="78" customHeight="1" spans="1:13">
      <c r="A43" s="7">
        <v>13</v>
      </c>
      <c r="B43" s="46" t="s">
        <v>48</v>
      </c>
      <c r="C43" s="47" t="s">
        <v>63</v>
      </c>
      <c r="D43" s="48"/>
      <c r="E43" s="48"/>
      <c r="F43" s="48"/>
      <c r="G43" s="48"/>
      <c r="H43" s="48"/>
      <c r="I43" s="48"/>
      <c r="J43" s="48"/>
      <c r="K43" s="48"/>
      <c r="L43" s="49"/>
      <c r="M43" s="50"/>
    </row>
    <row r="44" s="1" customFormat="1" spans="1:13">
      <c r="A44" s="38" t="s">
        <v>64</v>
      </c>
      <c r="B44" s="40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9"/>
    </row>
    <row r="45" s="1" customFormat="1" spans="1:13">
      <c r="A45" s="15"/>
      <c r="B45" s="51"/>
      <c r="M45" s="52"/>
    </row>
    <row r="46" s="1" customFormat="1" spans="1:13">
      <c r="A46" s="15"/>
      <c r="B46" s="51"/>
      <c r="M46" s="52"/>
    </row>
    <row r="47" s="1" customFormat="1" spans="1:13">
      <c r="A47" s="15"/>
      <c r="B47" s="51"/>
      <c r="M47" s="52"/>
    </row>
    <row r="48" s="1" customFormat="1" spans="1:13">
      <c r="A48" s="15"/>
      <c r="B48" s="51"/>
      <c r="M48" s="52"/>
    </row>
    <row r="49" s="1" customFormat="1" spans="1:13">
      <c r="A49" s="15"/>
      <c r="B49" s="51"/>
      <c r="M49" s="52"/>
    </row>
    <row r="50" s="1" customFormat="1" spans="1:13">
      <c r="A50" s="15"/>
      <c r="B50" s="51"/>
      <c r="M50" s="52"/>
    </row>
    <row r="51" s="1" customFormat="1" spans="1:13">
      <c r="A51" s="15"/>
      <c r="B51" s="51"/>
      <c r="M51" s="52"/>
    </row>
    <row r="52" s="1" customFormat="1" ht="12" customHeight="1" spans="1:13">
      <c r="A52" s="15"/>
      <c r="B52" s="51"/>
      <c r="M52" s="52"/>
    </row>
    <row r="53" s="1" customFormat="1" hidden="1" spans="1:13">
      <c r="A53" s="15"/>
      <c r="B53" s="51"/>
      <c r="M53" s="52"/>
    </row>
    <row r="54" s="1" customFormat="1" hidden="1" spans="1:13">
      <c r="A54" s="15"/>
      <c r="B54" s="51"/>
      <c r="M54" s="52"/>
    </row>
    <row r="55" spans="1:13">
      <c r="A55" s="16"/>
      <c r="B55" s="53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5"/>
    </row>
    <row r="63" s="1" customFormat="1" spans="1:13">
      <c r="C63" s="33"/>
      <c r="D63" s="33"/>
    </row>
    <row r="64" spans="1:13">
      <c r="L64" s="1"/>
    </row>
  </sheetData>
  <mergeCells count="11">
    <mergeCell ref="A1:M1"/>
    <mergeCell ref="C25:L25"/>
    <mergeCell ref="C26:L26"/>
    <mergeCell ref="C27:L27"/>
    <mergeCell ref="A29:M29"/>
    <mergeCell ref="C43:L43"/>
    <mergeCell ref="A5:A8"/>
    <mergeCell ref="A44:A55"/>
    <mergeCell ref="H5:H8"/>
    <mergeCell ref="I5:I8"/>
    <mergeCell ref="B44:M55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topLeftCell="B8" workbookViewId="0">
      <selection activeCell="G18" sqref="G18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5" t="s">
        <v>76</v>
      </c>
    </row>
    <row r="2" s="1" customFormat="1" ht="25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7">
        <v>1</v>
      </c>
      <c r="B3" s="8" t="s">
        <v>13</v>
      </c>
      <c r="C3" s="9">
        <v>0</v>
      </c>
      <c r="D3" s="9">
        <v>0</v>
      </c>
      <c r="E3" s="10">
        <f t="shared" ref="E3:E12" si="0">C3+D3</f>
        <v>0</v>
      </c>
      <c r="F3" s="10" t="s">
        <v>14</v>
      </c>
      <c r="G3" s="10">
        <f>2+14.5+12+6+0</f>
        <v>34.5</v>
      </c>
      <c r="H3" s="10">
        <v>294</v>
      </c>
      <c r="I3" s="10">
        <f>H3-G3</f>
        <v>259.5</v>
      </c>
      <c r="J3" s="10"/>
      <c r="K3" s="10"/>
      <c r="L3" s="10"/>
      <c r="M3" s="10">
        <f>I3/25</f>
        <v>10.38</v>
      </c>
    </row>
    <row r="4" s="1" customFormat="1" ht="56" customHeight="1" spans="1:13">
      <c r="A4" s="12">
        <v>2</v>
      </c>
      <c r="B4" s="8" t="s">
        <v>15</v>
      </c>
      <c r="C4" s="9">
        <v>6</v>
      </c>
      <c r="D4" s="9"/>
      <c r="E4" s="10">
        <f t="shared" si="0"/>
        <v>6</v>
      </c>
      <c r="F4" s="10" t="s">
        <v>14</v>
      </c>
      <c r="G4" s="10">
        <f>14+2+14+12+6</f>
        <v>48</v>
      </c>
      <c r="H4" s="13"/>
      <c r="I4" s="13"/>
      <c r="J4" s="10"/>
      <c r="K4" s="10"/>
      <c r="L4" s="10"/>
      <c r="M4" s="10"/>
    </row>
    <row r="5" s="1" customFormat="1" ht="56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</f>
        <v>0</v>
      </c>
      <c r="H5" s="10">
        <v>4346</v>
      </c>
      <c r="I5" s="10">
        <f>H5-G5-G7-G6</f>
        <v>3816</v>
      </c>
      <c r="J5" s="20"/>
      <c r="K5" s="10"/>
      <c r="L5" s="10"/>
      <c r="M5" s="10"/>
    </row>
    <row r="6" s="1" customFormat="1" ht="4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</f>
        <v>0</v>
      </c>
      <c r="H6" s="15"/>
      <c r="I6" s="15"/>
      <c r="J6" s="10"/>
      <c r="K6" s="10"/>
      <c r="L6" s="10"/>
      <c r="M6" s="10"/>
    </row>
    <row r="7" s="1" customFormat="1" ht="4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206+172+152+0+0</f>
        <v>530</v>
      </c>
      <c r="H7" s="15"/>
      <c r="I7" s="15"/>
      <c r="J7" s="10"/>
      <c r="K7" s="10"/>
      <c r="L7" s="10"/>
      <c r="M7" s="10"/>
    </row>
    <row r="8" s="1" customFormat="1" ht="52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</f>
        <v>0</v>
      </c>
      <c r="H8" s="16"/>
      <c r="I8" s="16"/>
      <c r="J8" s="10"/>
      <c r="K8" s="10"/>
      <c r="L8" s="10"/>
      <c r="M8" s="10"/>
    </row>
    <row r="9" s="1" customFormat="1" ht="35" customHeight="1" spans="1:13">
      <c r="A9" s="12">
        <v>4</v>
      </c>
      <c r="B9" s="17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0+0+39.77+63.15+0</f>
        <v>102.92</v>
      </c>
      <c r="H9" s="13">
        <v>5.42</v>
      </c>
      <c r="I9" s="13">
        <f>H9-K10</f>
        <v>4.526235</v>
      </c>
      <c r="J9" s="18" t="s">
        <v>21</v>
      </c>
      <c r="K9" s="13">
        <v>0</v>
      </c>
      <c r="L9" s="13">
        <v>0</v>
      </c>
      <c r="M9" s="19"/>
    </row>
    <row r="10" s="1" customFormat="1" ht="25" customHeight="1" spans="1:13">
      <c r="A10" s="7">
        <v>5</v>
      </c>
      <c r="B10" s="8" t="s">
        <v>22</v>
      </c>
      <c r="C10" s="10">
        <v>0</v>
      </c>
      <c r="D10" s="10">
        <v>0</v>
      </c>
      <c r="E10" s="10">
        <f t="shared" si="0"/>
        <v>0</v>
      </c>
      <c r="F10" s="10" t="s">
        <v>14</v>
      </c>
      <c r="G10" s="10">
        <f>5.265+7.938+15.8625+3.8745+0</f>
        <v>32.94</v>
      </c>
      <c r="H10" s="10"/>
      <c r="I10" s="10">
        <f>G10/(G3*0.1865)</f>
        <v>5.11947779461476</v>
      </c>
      <c r="J10" s="18" t="s">
        <v>23</v>
      </c>
      <c r="K10" s="20">
        <f>0+0+0.338045+0.55572+0</f>
        <v>0.893765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0</v>
      </c>
      <c r="D11" s="10">
        <v>0</v>
      </c>
      <c r="E11" s="10">
        <f t="shared" si="0"/>
        <v>0</v>
      </c>
      <c r="F11" s="10" t="s">
        <v>14</v>
      </c>
      <c r="G11" s="10">
        <f>8.832+2.8336+13.1376+8.9976+0</f>
        <v>33.8008</v>
      </c>
      <c r="H11" s="10"/>
      <c r="I11" s="10">
        <f>G11/(G3*0.1865)</f>
        <v>5.2532618409294</v>
      </c>
      <c r="J11" s="10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0</v>
      </c>
      <c r="D12" s="10">
        <v>0</v>
      </c>
      <c r="E12" s="10">
        <f t="shared" si="0"/>
        <v>0</v>
      </c>
      <c r="F12" s="10"/>
      <c r="G12" s="10">
        <f>256+501+386+182+0</f>
        <v>1325</v>
      </c>
      <c r="H12" s="10">
        <f>G12*1.05</f>
        <v>1391.25</v>
      </c>
      <c r="I12" s="10"/>
      <c r="J12" s="10"/>
      <c r="K12" s="10"/>
      <c r="L12" s="10"/>
      <c r="M12" s="21"/>
    </row>
    <row r="13" s="1" customFormat="1" ht="30" customHeight="1" spans="1:13">
      <c r="A13" s="7">
        <v>8</v>
      </c>
      <c r="B13" s="8" t="s">
        <v>26</v>
      </c>
      <c r="C13" s="10">
        <v>0</v>
      </c>
      <c r="D13" s="10">
        <v>0</v>
      </c>
      <c r="E13" s="10">
        <f t="shared" ref="E13:E20" si="1">D13+C13</f>
        <v>0</v>
      </c>
      <c r="F13" s="10" t="s">
        <v>27</v>
      </c>
      <c r="G13" s="10">
        <f>142+478+310+96+0</f>
        <v>1026</v>
      </c>
      <c r="H13" s="10"/>
      <c r="I13" s="10"/>
      <c r="J13" s="20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0</v>
      </c>
      <c r="D14" s="10">
        <v>0</v>
      </c>
      <c r="E14" s="10">
        <f t="shared" si="1"/>
        <v>0</v>
      </c>
      <c r="F14" s="10" t="s">
        <v>27</v>
      </c>
      <c r="G14" s="10">
        <f>852.63+765.27+628.63+67.84+0</f>
        <v>2314.37</v>
      </c>
      <c r="H14" s="10"/>
      <c r="I14" s="10"/>
      <c r="J14" s="18" t="s">
        <v>29</v>
      </c>
      <c r="K14" s="10">
        <v>0</v>
      </c>
      <c r="L14" s="10">
        <v>0</v>
      </c>
      <c r="M14" s="10"/>
    </row>
    <row r="15" s="1" customFormat="1" ht="25" customHeight="1" spans="1:13">
      <c r="A15" s="7">
        <v>10</v>
      </c>
      <c r="B15" s="8" t="s">
        <v>30</v>
      </c>
      <c r="C15" s="10">
        <v>0</v>
      </c>
      <c r="D15" s="10">
        <v>0</v>
      </c>
      <c r="E15" s="10">
        <f t="shared" si="1"/>
        <v>0</v>
      </c>
      <c r="F15" s="10" t="s">
        <v>14</v>
      </c>
      <c r="G15" s="10">
        <f>0+0+0+0+0</f>
        <v>0</v>
      </c>
      <c r="H15" s="10"/>
      <c r="I15" s="10"/>
      <c r="J15" s="18" t="s">
        <v>31</v>
      </c>
      <c r="K15" s="20">
        <f>2.4676132+2.4190333+2.1010637+0.22048+0</f>
        <v>7.2081902</v>
      </c>
      <c r="L15" s="10"/>
      <c r="M15" s="10">
        <f>(C14*K14+L14*D14)/1000</f>
        <v>0</v>
      </c>
    </row>
    <row r="16" s="1" customFormat="1" ht="25" customHeight="1" spans="1:13">
      <c r="A16" s="7">
        <v>11</v>
      </c>
      <c r="B16" s="8" t="s">
        <v>32</v>
      </c>
      <c r="C16" s="10">
        <v>0</v>
      </c>
      <c r="D16" s="10">
        <v>0</v>
      </c>
      <c r="E16" s="10">
        <f t="shared" si="1"/>
        <v>0</v>
      </c>
      <c r="F16" s="10" t="s">
        <v>14</v>
      </c>
      <c r="G16" s="10">
        <f>6+42+24+0+0</f>
        <v>72</v>
      </c>
      <c r="H16" s="10"/>
      <c r="I16" s="10">
        <f>G16/(G3*0.1865)</f>
        <v>11.190115398065</v>
      </c>
      <c r="J16" s="10"/>
      <c r="K16" s="10"/>
      <c r="L16" s="10"/>
      <c r="M16" s="22"/>
    </row>
    <row r="17" s="1" customFormat="1" ht="29" customHeight="1" spans="1:13">
      <c r="A17" s="7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0.1+0+0+0+0</f>
        <v>0.1</v>
      </c>
      <c r="H17" s="22"/>
      <c r="I17" s="22"/>
      <c r="J17" s="22"/>
      <c r="K17" s="22"/>
      <c r="L17" s="22"/>
      <c r="M17" s="10"/>
    </row>
    <row r="18" s="1" customFormat="1" ht="29" customHeight="1" spans="1:13">
      <c r="A18" s="7">
        <v>13</v>
      </c>
      <c r="B18" s="8" t="s">
        <v>34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0+2+0+2+0</f>
        <v>4</v>
      </c>
      <c r="H18" s="22"/>
      <c r="I18" s="22">
        <f>G18/(G3*0.1865)</f>
        <v>0.62167307767028</v>
      </c>
      <c r="J18" s="22"/>
      <c r="K18" s="22"/>
      <c r="L18" s="22"/>
      <c r="M18" s="10"/>
    </row>
    <row r="19" s="1" customFormat="1" ht="29" customHeight="1" spans="1:13">
      <c r="A19" s="7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0+1.5+0+1.5+0</f>
        <v>3</v>
      </c>
      <c r="H19" s="22"/>
      <c r="I19" s="22">
        <f>G19/(G3*0.1865)</f>
        <v>0.46625480825271</v>
      </c>
      <c r="J19" s="22"/>
      <c r="K19" s="22"/>
      <c r="L19" s="22"/>
      <c r="M19" s="10"/>
    </row>
    <row r="20" s="1" customFormat="1" ht="29" customHeight="1" spans="1:13">
      <c r="A20" s="7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37</v>
      </c>
      <c r="G20" s="10">
        <f>12+0+9+0+0</f>
        <v>21</v>
      </c>
      <c r="H20" s="22"/>
      <c r="I20" s="22"/>
      <c r="J20" s="22"/>
      <c r="K20" s="22"/>
      <c r="L20" s="22"/>
      <c r="M20" s="10"/>
    </row>
    <row r="21" s="1" customFormat="1" ht="29" customHeight="1" spans="1:13">
      <c r="A21" s="7">
        <v>16</v>
      </c>
      <c r="B21" s="8" t="s">
        <v>38</v>
      </c>
      <c r="C21" s="7">
        <v>0</v>
      </c>
      <c r="D21" s="7">
        <v>0</v>
      </c>
      <c r="E21" s="10">
        <v>0</v>
      </c>
      <c r="F21" s="10" t="s">
        <v>37</v>
      </c>
      <c r="G21" s="10">
        <f>0+0+0+0+0</f>
        <v>0</v>
      </c>
      <c r="H21" s="22"/>
      <c r="I21" s="22"/>
      <c r="J21" s="20"/>
      <c r="K21" s="22"/>
      <c r="L21" s="22"/>
      <c r="M21" s="10"/>
    </row>
    <row r="22" s="1" customFormat="1" ht="29" customHeight="1" spans="1:13">
      <c r="A22" s="7">
        <v>17</v>
      </c>
      <c r="B22" s="8" t="s">
        <v>39</v>
      </c>
      <c r="C22" s="7">
        <v>0</v>
      </c>
      <c r="D22" s="7">
        <v>0</v>
      </c>
      <c r="E22" s="10">
        <f>D22+C22</f>
        <v>0</v>
      </c>
      <c r="F22" s="10" t="s">
        <v>27</v>
      </c>
      <c r="G22" s="10">
        <f>1304+1347+838+28+0</f>
        <v>3517</v>
      </c>
      <c r="H22" s="23"/>
      <c r="I22" s="10" t="e">
        <f>E22/M22</f>
        <v>#DIV/0!</v>
      </c>
      <c r="J22" s="41" t="s">
        <v>40</v>
      </c>
      <c r="K22" s="10">
        <f>23.5+24+13.5+0+0</f>
        <v>61</v>
      </c>
      <c r="L22" s="10">
        <f>G22/K22</f>
        <v>57.655737704918</v>
      </c>
      <c r="M22" s="10">
        <v>0</v>
      </c>
    </row>
    <row r="23" s="1" customFormat="1" ht="29" customHeight="1" spans="1:13">
      <c r="A23" s="7">
        <v>18</v>
      </c>
      <c r="B23" s="8" t="s">
        <v>41</v>
      </c>
      <c r="C23" s="7">
        <v>0</v>
      </c>
      <c r="D23" s="7">
        <v>0</v>
      </c>
      <c r="E23" s="10">
        <f>D23+C23</f>
        <v>0</v>
      </c>
      <c r="F23" s="10" t="s">
        <v>27</v>
      </c>
      <c r="G23" s="10">
        <f>1466+1706+934+1+0</f>
        <v>4107</v>
      </c>
      <c r="H23" s="22"/>
      <c r="I23" s="10" t="e">
        <f>E23/M22</f>
        <v>#DIV/0!</v>
      </c>
      <c r="J23" s="22"/>
      <c r="K23" s="22"/>
      <c r="L23" s="22"/>
      <c r="M23" s="10"/>
    </row>
    <row r="24" s="1" customFormat="1" ht="29" customHeight="1" spans="1:13">
      <c r="A24" s="7">
        <v>19</v>
      </c>
      <c r="B24" s="8" t="s">
        <v>42</v>
      </c>
      <c r="C24" s="7">
        <v>0</v>
      </c>
      <c r="D24" s="7">
        <v>0</v>
      </c>
      <c r="E24" s="10"/>
      <c r="F24" s="10" t="s">
        <v>43</v>
      </c>
      <c r="G24" s="10"/>
      <c r="H24" s="22"/>
      <c r="I24" s="22"/>
      <c r="J24" s="22"/>
      <c r="K24" s="22"/>
      <c r="L24" s="22"/>
      <c r="M24" s="10"/>
    </row>
    <row r="25" s="1" customFormat="1" ht="149" customHeight="1" spans="1:13">
      <c r="A25" s="7">
        <v>20</v>
      </c>
      <c r="B25" s="26" t="s">
        <v>44</v>
      </c>
      <c r="C25" s="27" t="s">
        <v>45</v>
      </c>
      <c r="D25" s="28"/>
      <c r="E25" s="28"/>
      <c r="F25" s="28"/>
      <c r="G25" s="28"/>
      <c r="H25" s="28"/>
      <c r="I25" s="28"/>
      <c r="J25" s="28"/>
      <c r="K25" s="28"/>
      <c r="L25" s="29"/>
      <c r="M25" s="27"/>
    </row>
    <row r="26" s="1" customFormat="1" ht="130" customHeight="1" spans="1:13">
      <c r="A26" s="7">
        <v>21</v>
      </c>
      <c r="B26" s="31" t="s">
        <v>46</v>
      </c>
      <c r="C26" s="27" t="s">
        <v>73</v>
      </c>
      <c r="D26" s="28"/>
      <c r="E26" s="28"/>
      <c r="F26" s="28"/>
      <c r="G26" s="28"/>
      <c r="H26" s="28"/>
      <c r="I26" s="28"/>
      <c r="J26" s="28"/>
      <c r="K26" s="28"/>
      <c r="L26" s="29"/>
      <c r="M26" s="31"/>
    </row>
    <row r="27" s="1" customFormat="1" ht="130" customHeight="1" spans="1:13">
      <c r="A27" s="7">
        <v>22</v>
      </c>
      <c r="B27" s="31" t="s">
        <v>48</v>
      </c>
      <c r="C27" s="42" t="s">
        <v>74</v>
      </c>
      <c r="D27" s="28"/>
      <c r="E27" s="28"/>
      <c r="F27" s="28"/>
      <c r="G27" s="28"/>
      <c r="H27" s="28"/>
      <c r="I27" s="28"/>
      <c r="J27" s="28"/>
      <c r="K27" s="28"/>
      <c r="L27" s="29"/>
      <c r="M27" s="31"/>
    </row>
    <row r="28" s="1" customFormat="1" ht="14" customHeight="1" spans="1:13">
      <c r="C28" s="33"/>
      <c r="D28" s="33"/>
    </row>
    <row r="29" s="1" customFormat="1" ht="25" customHeight="1" spans="1:13">
      <c r="A29" s="5" t="s">
        <v>77</v>
      </c>
    </row>
    <row r="30" s="1" customFormat="1" ht="25" customHeight="1" spans="1:13">
      <c r="A30" s="6" t="s">
        <v>51</v>
      </c>
      <c r="B30" s="6" t="s">
        <v>52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53</v>
      </c>
      <c r="C31" s="10">
        <v>0</v>
      </c>
      <c r="D31" s="10">
        <v>0</v>
      </c>
      <c r="E31" s="10">
        <f t="shared" ref="E31:E39" si="2">D31+C31</f>
        <v>0</v>
      </c>
      <c r="F31" s="10" t="s">
        <v>27</v>
      </c>
      <c r="G31" s="10">
        <f>0+0+0+0+0</f>
        <v>0</v>
      </c>
      <c r="H31" s="10"/>
      <c r="I31" s="10"/>
      <c r="J31" s="22"/>
      <c r="K31" s="22"/>
      <c r="L31" s="22"/>
      <c r="M31" s="10"/>
    </row>
    <row r="32" s="1" customFormat="1" ht="25" customHeight="1" spans="1:13">
      <c r="A32" s="7">
        <v>2</v>
      </c>
      <c r="B32" s="8" t="s">
        <v>54</v>
      </c>
      <c r="C32" s="10">
        <v>0</v>
      </c>
      <c r="D32" s="10">
        <v>0</v>
      </c>
      <c r="E32" s="10">
        <f t="shared" si="2"/>
        <v>0</v>
      </c>
      <c r="F32" s="10" t="s">
        <v>27</v>
      </c>
      <c r="G32" s="10">
        <f>16.54+16.48+16.51+8.25+0</f>
        <v>57.78</v>
      </c>
      <c r="H32" s="10"/>
      <c r="I32" s="10"/>
      <c r="J32" s="22"/>
      <c r="K32" s="22"/>
      <c r="L32" s="22"/>
      <c r="M32" s="21"/>
    </row>
    <row r="33" s="1" customFormat="1" ht="25" customHeight="1" spans="1:13">
      <c r="A33" s="7">
        <v>3</v>
      </c>
      <c r="B33" s="8" t="s">
        <v>55</v>
      </c>
      <c r="C33" s="10">
        <v>0</v>
      </c>
      <c r="D33" s="10">
        <v>0</v>
      </c>
      <c r="E33" s="10">
        <f t="shared" si="2"/>
        <v>0</v>
      </c>
      <c r="F33" s="10" t="s">
        <v>27</v>
      </c>
      <c r="G33" s="10">
        <f>27+20+43+14+0</f>
        <v>104</v>
      </c>
      <c r="H33" s="10"/>
      <c r="I33" s="10"/>
      <c r="J33" s="22"/>
      <c r="K33" s="22"/>
      <c r="L33" s="22"/>
      <c r="M33" s="21"/>
    </row>
    <row r="34" s="1" customFormat="1" ht="25" customHeight="1" spans="1:13">
      <c r="A34" s="7">
        <v>4</v>
      </c>
      <c r="B34" s="8" t="s">
        <v>56</v>
      </c>
      <c r="C34" s="10">
        <v>0</v>
      </c>
      <c r="D34" s="10">
        <v>0</v>
      </c>
      <c r="E34" s="10">
        <f t="shared" si="2"/>
        <v>0</v>
      </c>
      <c r="F34" s="10" t="s">
        <v>27</v>
      </c>
      <c r="G34" s="10">
        <f>0+0+0+0+0</f>
        <v>0</v>
      </c>
      <c r="H34" s="10"/>
      <c r="I34" s="10"/>
      <c r="J34" s="22"/>
      <c r="K34" s="22"/>
      <c r="L34" s="22"/>
      <c r="M34" s="21"/>
    </row>
    <row r="35" s="1" customFormat="1" ht="25" customHeight="1" spans="1:13">
      <c r="A35" s="7">
        <v>5</v>
      </c>
      <c r="B35" s="8" t="s">
        <v>22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0+10.3545+7.7625+8.154+0</f>
        <v>26.271</v>
      </c>
      <c r="H35" s="10"/>
      <c r="J35" s="22"/>
      <c r="K35" s="22"/>
      <c r="L35" s="22"/>
      <c r="M35" s="22"/>
    </row>
    <row r="36" s="1" customFormat="1" ht="25" customHeight="1" spans="1:13">
      <c r="A36" s="7">
        <v>6</v>
      </c>
      <c r="B36" s="8" t="s">
        <v>24</v>
      </c>
      <c r="C36" s="10">
        <v>0</v>
      </c>
      <c r="D36" s="10">
        <v>0</v>
      </c>
      <c r="E36" s="10">
        <f t="shared" si="2"/>
        <v>0</v>
      </c>
      <c r="F36" s="10" t="s">
        <v>14</v>
      </c>
      <c r="G36" s="10">
        <f>0+0+0+0+0</f>
        <v>0</v>
      </c>
      <c r="H36" s="10"/>
      <c r="I36" s="10"/>
      <c r="J36" s="20"/>
      <c r="K36" s="22"/>
      <c r="L36" s="22"/>
      <c r="M36" s="22"/>
    </row>
    <row r="37" s="1" customFormat="1" ht="25" customHeight="1" spans="1:13">
      <c r="A37" s="7">
        <v>7</v>
      </c>
      <c r="B37" s="8" t="s">
        <v>57</v>
      </c>
      <c r="C37" s="10">
        <v>0</v>
      </c>
      <c r="D37" s="10">
        <v>0</v>
      </c>
      <c r="E37" s="10">
        <f t="shared" si="2"/>
        <v>0</v>
      </c>
      <c r="F37" s="10" t="s">
        <v>27</v>
      </c>
      <c r="G37" s="10">
        <f>0+6+0+0+0</f>
        <v>6</v>
      </c>
      <c r="H37" s="10"/>
      <c r="I37" s="10"/>
      <c r="J37" s="39"/>
      <c r="K37" s="22"/>
      <c r="L37" s="10"/>
      <c r="M37" s="22"/>
    </row>
    <row r="38" s="1" customFormat="1" ht="27" customHeight="1" spans="1:13">
      <c r="A38" s="7">
        <v>8</v>
      </c>
      <c r="B38" s="8" t="s">
        <v>58</v>
      </c>
      <c r="C38" s="10">
        <v>0</v>
      </c>
      <c r="D38" s="10">
        <v>0</v>
      </c>
      <c r="E38" s="10">
        <f t="shared" si="2"/>
        <v>0</v>
      </c>
      <c r="F38" s="10" t="s">
        <v>27</v>
      </c>
      <c r="G38" s="10">
        <f>599+599+554+284+0</f>
        <v>2036</v>
      </c>
      <c r="H38" s="10"/>
      <c r="I38" s="10"/>
      <c r="J38" s="43"/>
      <c r="K38" s="22"/>
      <c r="L38" s="10"/>
      <c r="M38" s="22"/>
    </row>
    <row r="39" s="1" customFormat="1" ht="25" customHeight="1" spans="1:13">
      <c r="A39" s="7">
        <v>9</v>
      </c>
      <c r="B39" s="8" t="s">
        <v>59</v>
      </c>
      <c r="C39" s="10">
        <v>0</v>
      </c>
      <c r="D39" s="10">
        <v>0</v>
      </c>
      <c r="E39" s="44">
        <f t="shared" si="2"/>
        <v>0</v>
      </c>
      <c r="F39" s="10" t="s">
        <v>27</v>
      </c>
      <c r="G39" s="10">
        <f>0+0+0+0+0</f>
        <v>0</v>
      </c>
      <c r="H39" s="10"/>
      <c r="I39" s="10"/>
      <c r="J39" s="43"/>
      <c r="K39" s="45"/>
      <c r="L39" s="10"/>
      <c r="M39" s="22"/>
    </row>
    <row r="40" s="1" customFormat="1" ht="25" customHeight="1" spans="1:13">
      <c r="A40" s="7">
        <v>10</v>
      </c>
      <c r="B40" s="8" t="s">
        <v>60</v>
      </c>
      <c r="C40" s="10">
        <v>0</v>
      </c>
      <c r="D40" s="10">
        <v>0</v>
      </c>
      <c r="E40" s="10">
        <f>C40+D40</f>
        <v>0</v>
      </c>
      <c r="F40" s="10" t="s">
        <v>27</v>
      </c>
      <c r="G40" s="10">
        <f>0+0+0+0+0</f>
        <v>0</v>
      </c>
      <c r="H40" s="22"/>
      <c r="I40" s="7">
        <v>105</v>
      </c>
      <c r="J40" s="20"/>
      <c r="K40" s="37"/>
      <c r="L40" s="27"/>
      <c r="M40" s="38"/>
    </row>
    <row r="41" s="1" customFormat="1" ht="25" customHeight="1" spans="1:13">
      <c r="A41" s="7">
        <v>11</v>
      </c>
      <c r="B41" s="8" t="s">
        <v>61</v>
      </c>
      <c r="C41" s="10">
        <v>0</v>
      </c>
      <c r="D41" s="10">
        <v>0</v>
      </c>
      <c r="E41" s="10">
        <f>C41+D41</f>
        <v>0</v>
      </c>
      <c r="F41" s="10" t="s">
        <v>27</v>
      </c>
      <c r="G41" s="10">
        <f>0+0+0+0+0</f>
        <v>0</v>
      </c>
      <c r="H41" s="22"/>
      <c r="I41" s="7">
        <v>130.29</v>
      </c>
      <c r="J41" s="27"/>
      <c r="K41" s="37"/>
      <c r="L41" s="27"/>
      <c r="M41" s="38"/>
    </row>
    <row r="42" s="1" customFormat="1" ht="25" customHeight="1" spans="1:13">
      <c r="A42" s="7">
        <v>12</v>
      </c>
      <c r="B42" s="8" t="s">
        <v>62</v>
      </c>
      <c r="C42" s="7">
        <v>0</v>
      </c>
      <c r="D42" s="7">
        <v>0</v>
      </c>
      <c r="E42" s="10">
        <f>D42+C42</f>
        <v>0</v>
      </c>
      <c r="F42" s="10" t="s">
        <v>37</v>
      </c>
      <c r="G42" s="10">
        <f>2+3+3+2+0</f>
        <v>10</v>
      </c>
      <c r="H42" s="22"/>
      <c r="I42" s="10">
        <v>10</v>
      </c>
      <c r="J42" s="27"/>
      <c r="K42" s="27"/>
      <c r="L42" s="27"/>
      <c r="M42" s="38"/>
    </row>
    <row r="43" s="1" customFormat="1" ht="78" customHeight="1" spans="1:13">
      <c r="A43" s="7">
        <v>13</v>
      </c>
      <c r="B43" s="46" t="s">
        <v>48</v>
      </c>
      <c r="C43" s="47" t="s">
        <v>63</v>
      </c>
      <c r="D43" s="48"/>
      <c r="E43" s="48"/>
      <c r="F43" s="48"/>
      <c r="G43" s="48"/>
      <c r="H43" s="48"/>
      <c r="I43" s="48"/>
      <c r="J43" s="48"/>
      <c r="K43" s="48"/>
      <c r="L43" s="49"/>
      <c r="M43" s="50"/>
    </row>
    <row r="44" s="1" customFormat="1" spans="1:13">
      <c r="A44" s="38" t="s">
        <v>64</v>
      </c>
      <c r="B44" s="40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9"/>
    </row>
    <row r="45" s="1" customFormat="1" spans="1:13">
      <c r="A45" s="15"/>
      <c r="B45" s="51"/>
      <c r="M45" s="52"/>
    </row>
    <row r="46" s="1" customFormat="1" spans="1:13">
      <c r="A46" s="15"/>
      <c r="B46" s="51"/>
      <c r="M46" s="52"/>
    </row>
    <row r="47" s="1" customFormat="1" spans="1:13">
      <c r="A47" s="15"/>
      <c r="B47" s="51"/>
      <c r="M47" s="52"/>
    </row>
    <row r="48" s="1" customFormat="1" spans="1:13">
      <c r="A48" s="15"/>
      <c r="B48" s="51"/>
      <c r="M48" s="52"/>
    </row>
    <row r="49" s="1" customFormat="1" spans="1:13">
      <c r="A49" s="15"/>
      <c r="B49" s="51"/>
      <c r="M49" s="52"/>
    </row>
    <row r="50" s="1" customFormat="1" spans="1:13">
      <c r="A50" s="15"/>
      <c r="B50" s="51"/>
      <c r="M50" s="52"/>
    </row>
    <row r="51" s="1" customFormat="1" spans="1:13">
      <c r="A51" s="15"/>
      <c r="B51" s="51"/>
      <c r="M51" s="52"/>
    </row>
    <row r="52" s="1" customFormat="1" ht="12" customHeight="1" spans="1:13">
      <c r="A52" s="15"/>
      <c r="B52" s="51"/>
      <c r="M52" s="52"/>
    </row>
    <row r="53" s="1" customFormat="1" hidden="1" spans="1:13">
      <c r="A53" s="15"/>
      <c r="B53" s="51"/>
      <c r="M53" s="52"/>
    </row>
    <row r="54" s="1" customFormat="1" hidden="1" spans="1:13">
      <c r="A54" s="15"/>
      <c r="B54" s="51"/>
      <c r="M54" s="52"/>
    </row>
    <row r="55" spans="1:13">
      <c r="A55" s="16"/>
      <c r="B55" s="53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5"/>
    </row>
    <row r="63" s="1" customFormat="1" spans="1:13">
      <c r="C63" s="33"/>
      <c r="D63" s="33"/>
    </row>
    <row r="64" spans="1:13">
      <c r="L64" s="1"/>
    </row>
  </sheetData>
  <mergeCells count="11">
    <mergeCell ref="A1:M1"/>
    <mergeCell ref="C25:L25"/>
    <mergeCell ref="C26:L26"/>
    <mergeCell ref="C27:L27"/>
    <mergeCell ref="A29:M29"/>
    <mergeCell ref="C43:L43"/>
    <mergeCell ref="A5:A8"/>
    <mergeCell ref="A44:A55"/>
    <mergeCell ref="H5:H8"/>
    <mergeCell ref="I5:I8"/>
    <mergeCell ref="B44:M55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topLeftCell="B4" workbookViewId="0">
      <selection activeCell="G17" sqref="G17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5" t="s">
        <v>78</v>
      </c>
    </row>
    <row r="2" s="1" customFormat="1" ht="25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7">
        <v>1</v>
      </c>
      <c r="B3" s="8" t="s">
        <v>13</v>
      </c>
      <c r="C3" s="9">
        <v>0</v>
      </c>
      <c r="D3" s="9">
        <v>0</v>
      </c>
      <c r="E3" s="10">
        <f t="shared" ref="E3:E12" si="0">C3+D3</f>
        <v>0</v>
      </c>
      <c r="F3" s="10" t="s">
        <v>14</v>
      </c>
      <c r="G3" s="10">
        <f>2+14.5+12+6+0+0</f>
        <v>34.5</v>
      </c>
      <c r="H3" s="10">
        <v>294</v>
      </c>
      <c r="I3" s="10">
        <f>H3-G3</f>
        <v>259.5</v>
      </c>
      <c r="J3" s="10"/>
      <c r="K3" s="10"/>
      <c r="L3" s="10"/>
      <c r="M3" s="10">
        <f>I3/24</f>
        <v>10.8125</v>
      </c>
    </row>
    <row r="4" s="1" customFormat="1" ht="56" customHeight="1" spans="1:13">
      <c r="A4" s="12">
        <v>2</v>
      </c>
      <c r="B4" s="8" t="s">
        <v>15</v>
      </c>
      <c r="C4" s="9">
        <v>0</v>
      </c>
      <c r="D4" s="9"/>
      <c r="E4" s="10">
        <f t="shared" si="0"/>
        <v>0</v>
      </c>
      <c r="F4" s="10" t="s">
        <v>14</v>
      </c>
      <c r="G4" s="10">
        <f>14+2+14+12+6+0</f>
        <v>48</v>
      </c>
      <c r="H4" s="13"/>
      <c r="I4" s="13"/>
      <c r="J4" s="10"/>
      <c r="K4" s="10"/>
      <c r="L4" s="10"/>
      <c r="M4" s="10"/>
    </row>
    <row r="5" s="1" customFormat="1" ht="56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</f>
        <v>0</v>
      </c>
      <c r="H5" s="10">
        <v>4346</v>
      </c>
      <c r="I5" s="10">
        <f>H5-G5-G7-G6</f>
        <v>3816</v>
      </c>
      <c r="J5" s="20"/>
      <c r="K5" s="10"/>
      <c r="L5" s="10"/>
      <c r="M5" s="10"/>
    </row>
    <row r="6" s="1" customFormat="1" ht="4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</f>
        <v>0</v>
      </c>
      <c r="H6" s="15"/>
      <c r="I6" s="15"/>
      <c r="J6" s="10"/>
      <c r="K6" s="10"/>
      <c r="L6" s="10"/>
      <c r="M6" s="10"/>
    </row>
    <row r="7" s="1" customFormat="1" ht="4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206+172+152+0+0+0</f>
        <v>530</v>
      </c>
      <c r="H7" s="15"/>
      <c r="I7" s="15"/>
      <c r="J7" s="10"/>
      <c r="K7" s="10"/>
      <c r="L7" s="10"/>
      <c r="M7" s="10"/>
    </row>
    <row r="8" s="1" customFormat="1" ht="52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</f>
        <v>0</v>
      </c>
      <c r="H8" s="16"/>
      <c r="I8" s="16"/>
      <c r="J8" s="10"/>
      <c r="K8" s="10"/>
      <c r="L8" s="10"/>
      <c r="M8" s="10"/>
    </row>
    <row r="9" s="1" customFormat="1" ht="35" customHeight="1" spans="1:13">
      <c r="A9" s="12">
        <v>4</v>
      </c>
      <c r="B9" s="17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0+0+39.77+63.15+0+0</f>
        <v>102.92</v>
      </c>
      <c r="H9" s="13">
        <v>5.42</v>
      </c>
      <c r="I9" s="13">
        <f>H9-K10</f>
        <v>4.526235</v>
      </c>
      <c r="J9" s="18" t="s">
        <v>21</v>
      </c>
      <c r="K9" s="13">
        <v>0</v>
      </c>
      <c r="L9" s="13">
        <v>0</v>
      </c>
      <c r="M9" s="19"/>
    </row>
    <row r="10" s="1" customFormat="1" ht="25" customHeight="1" spans="1:13">
      <c r="A10" s="7">
        <v>5</v>
      </c>
      <c r="B10" s="8" t="s">
        <v>22</v>
      </c>
      <c r="C10" s="10">
        <v>0</v>
      </c>
      <c r="D10" s="10">
        <v>0</v>
      </c>
      <c r="E10" s="10">
        <f t="shared" si="0"/>
        <v>0</v>
      </c>
      <c r="F10" s="10" t="s">
        <v>14</v>
      </c>
      <c r="G10" s="10">
        <f>5.265+7.938+15.8625+3.8745+0+0</f>
        <v>32.94</v>
      </c>
      <c r="H10" s="10"/>
      <c r="I10" s="10">
        <f>G10/(G3*0.1865)</f>
        <v>5.11947779461476</v>
      </c>
      <c r="J10" s="18" t="s">
        <v>23</v>
      </c>
      <c r="K10" s="20">
        <f>0+0+0.338045+0.55572+0+0</f>
        <v>0.893765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0</v>
      </c>
      <c r="D11" s="10">
        <v>0</v>
      </c>
      <c r="E11" s="10">
        <f t="shared" si="0"/>
        <v>0</v>
      </c>
      <c r="F11" s="10" t="s">
        <v>14</v>
      </c>
      <c r="G11" s="10">
        <f>8.832+2.8336+13.1376+8.9976+0+0</f>
        <v>33.8008</v>
      </c>
      <c r="H11" s="10"/>
      <c r="I11" s="10">
        <f>G11/(G3*0.1865)</f>
        <v>5.2532618409294</v>
      </c>
      <c r="J11" s="10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0</v>
      </c>
      <c r="D12" s="10">
        <v>0</v>
      </c>
      <c r="E12" s="10">
        <f t="shared" si="0"/>
        <v>0</v>
      </c>
      <c r="F12" s="10"/>
      <c r="G12" s="10">
        <f>256+501+386+182+0+0</f>
        <v>1325</v>
      </c>
      <c r="H12" s="10">
        <f>G12*1.05</f>
        <v>1391.25</v>
      </c>
      <c r="I12" s="10"/>
      <c r="J12" s="10"/>
      <c r="K12" s="10"/>
      <c r="L12" s="10"/>
      <c r="M12" s="21"/>
    </row>
    <row r="13" s="1" customFormat="1" ht="30" customHeight="1" spans="1:13">
      <c r="A13" s="7">
        <v>8</v>
      </c>
      <c r="B13" s="8" t="s">
        <v>26</v>
      </c>
      <c r="C13" s="10">
        <v>0</v>
      </c>
      <c r="D13" s="10">
        <v>0</v>
      </c>
      <c r="E13" s="10">
        <f t="shared" ref="E13:E20" si="1">D13+C13</f>
        <v>0</v>
      </c>
      <c r="F13" s="10" t="s">
        <v>27</v>
      </c>
      <c r="G13" s="10">
        <f>142+478+310+96+0+0</f>
        <v>1026</v>
      </c>
      <c r="H13" s="10"/>
      <c r="I13" s="10"/>
      <c r="J13" s="20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0</v>
      </c>
      <c r="D14" s="10">
        <v>0</v>
      </c>
      <c r="E14" s="10">
        <f t="shared" si="1"/>
        <v>0</v>
      </c>
      <c r="F14" s="10" t="s">
        <v>27</v>
      </c>
      <c r="G14" s="10">
        <f>852.63+765.27+628.63+67.84+0+0</f>
        <v>2314.37</v>
      </c>
      <c r="H14" s="10"/>
      <c r="I14" s="10"/>
      <c r="J14" s="18" t="s">
        <v>29</v>
      </c>
      <c r="K14" s="10">
        <v>0</v>
      </c>
      <c r="L14" s="10">
        <v>0</v>
      </c>
      <c r="M14" s="10"/>
    </row>
    <row r="15" s="1" customFormat="1" ht="25" customHeight="1" spans="1:13">
      <c r="A15" s="7">
        <v>10</v>
      </c>
      <c r="B15" s="8" t="s">
        <v>30</v>
      </c>
      <c r="C15" s="10">
        <v>0</v>
      </c>
      <c r="D15" s="10">
        <v>0</v>
      </c>
      <c r="E15" s="10">
        <f t="shared" si="1"/>
        <v>0</v>
      </c>
      <c r="F15" s="10" t="s">
        <v>14</v>
      </c>
      <c r="G15" s="10">
        <f>0+0+0+0+0+0</f>
        <v>0</v>
      </c>
      <c r="H15" s="10"/>
      <c r="I15" s="10"/>
      <c r="J15" s="18" t="s">
        <v>31</v>
      </c>
      <c r="K15" s="20">
        <f>2.4676132+2.4190333+2.1010637+0.22048+0+0</f>
        <v>7.2081902</v>
      </c>
      <c r="L15" s="10"/>
      <c r="M15" s="10">
        <f>(C14*K14+L14*D14)/1000</f>
        <v>0</v>
      </c>
    </row>
    <row r="16" s="1" customFormat="1" ht="25" customHeight="1" spans="1:13">
      <c r="A16" s="7">
        <v>11</v>
      </c>
      <c r="B16" s="8" t="s">
        <v>32</v>
      </c>
      <c r="C16" s="10">
        <v>0</v>
      </c>
      <c r="D16" s="10">
        <v>0</v>
      </c>
      <c r="E16" s="10">
        <f t="shared" si="1"/>
        <v>0</v>
      </c>
      <c r="F16" s="10" t="s">
        <v>14</v>
      </c>
      <c r="G16" s="10">
        <f>6+42+24+0+0+0</f>
        <v>72</v>
      </c>
      <c r="H16" s="10"/>
      <c r="I16" s="10">
        <f>G16/(G3*0.1865)</f>
        <v>11.190115398065</v>
      </c>
      <c r="J16" s="10"/>
      <c r="K16" s="10"/>
      <c r="L16" s="10"/>
      <c r="M16" s="22"/>
    </row>
    <row r="17" s="1" customFormat="1" ht="29" customHeight="1" spans="1:13">
      <c r="A17" s="7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0.1+0+0+0+0+0</f>
        <v>0.1</v>
      </c>
      <c r="H17" s="22"/>
      <c r="I17" s="22"/>
      <c r="J17" s="22"/>
      <c r="K17" s="22"/>
      <c r="L17" s="22"/>
      <c r="M17" s="10"/>
    </row>
    <row r="18" s="1" customFormat="1" ht="29" customHeight="1" spans="1:13">
      <c r="A18" s="7">
        <v>13</v>
      </c>
      <c r="B18" s="8" t="s">
        <v>34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0+2+0+2+0+0</f>
        <v>4</v>
      </c>
      <c r="H18" s="22"/>
      <c r="I18" s="22">
        <f>G18/(G3*0.1865)</f>
        <v>0.62167307767028</v>
      </c>
      <c r="J18" s="22"/>
      <c r="K18" s="22"/>
      <c r="L18" s="22"/>
      <c r="M18" s="10"/>
    </row>
    <row r="19" s="1" customFormat="1" ht="29" customHeight="1" spans="1:13">
      <c r="A19" s="7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0+1.5+0+1.5+0+0</f>
        <v>3</v>
      </c>
      <c r="H19" s="22"/>
      <c r="I19" s="22">
        <f>G19/(G3*0.1865)</f>
        <v>0.46625480825271</v>
      </c>
      <c r="J19" s="22"/>
      <c r="K19" s="22"/>
      <c r="L19" s="22"/>
      <c r="M19" s="10"/>
    </row>
    <row r="20" s="1" customFormat="1" ht="29" customHeight="1" spans="1:13">
      <c r="A20" s="7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37</v>
      </c>
      <c r="G20" s="10">
        <f>12+0+9+0+0+0</f>
        <v>21</v>
      </c>
      <c r="H20" s="22"/>
      <c r="I20" s="22"/>
      <c r="J20" s="22"/>
      <c r="K20" s="22"/>
      <c r="L20" s="22"/>
      <c r="M20" s="10"/>
    </row>
    <row r="21" s="1" customFormat="1" ht="29" customHeight="1" spans="1:13">
      <c r="A21" s="7">
        <v>16</v>
      </c>
      <c r="B21" s="8" t="s">
        <v>38</v>
      </c>
      <c r="C21" s="7">
        <v>0</v>
      </c>
      <c r="D21" s="7">
        <v>0</v>
      </c>
      <c r="E21" s="10">
        <v>0</v>
      </c>
      <c r="F21" s="10" t="s">
        <v>37</v>
      </c>
      <c r="G21" s="10">
        <f>0+0+0+0+0+0</f>
        <v>0</v>
      </c>
      <c r="H21" s="22"/>
      <c r="I21" s="22"/>
      <c r="J21" s="20"/>
      <c r="K21" s="22"/>
      <c r="L21" s="22"/>
      <c r="M21" s="10"/>
    </row>
    <row r="22" s="1" customFormat="1" ht="29" customHeight="1" spans="1:13">
      <c r="A22" s="7">
        <v>17</v>
      </c>
      <c r="B22" s="8" t="s">
        <v>39</v>
      </c>
      <c r="C22" s="7">
        <v>0</v>
      </c>
      <c r="D22" s="7">
        <v>0</v>
      </c>
      <c r="E22" s="10">
        <f>D22+C22</f>
        <v>0</v>
      </c>
      <c r="F22" s="10" t="s">
        <v>27</v>
      </c>
      <c r="G22" s="10">
        <f>1304+1347+838+28+0+0</f>
        <v>3517</v>
      </c>
      <c r="H22" s="23"/>
      <c r="I22" s="10" t="e">
        <f>E22/M22</f>
        <v>#DIV/0!</v>
      </c>
      <c r="J22" s="41" t="s">
        <v>40</v>
      </c>
      <c r="K22" s="10">
        <f>23.5+24+13.5+0+0+0</f>
        <v>61</v>
      </c>
      <c r="L22" s="10">
        <f>G22/K22</f>
        <v>57.655737704918</v>
      </c>
      <c r="M22" s="10">
        <v>0</v>
      </c>
    </row>
    <row r="23" s="1" customFormat="1" ht="29" customHeight="1" spans="1:13">
      <c r="A23" s="7">
        <v>18</v>
      </c>
      <c r="B23" s="8" t="s">
        <v>41</v>
      </c>
      <c r="C23" s="7">
        <v>0</v>
      </c>
      <c r="D23" s="7">
        <v>0</v>
      </c>
      <c r="E23" s="10">
        <f>D23+C23</f>
        <v>0</v>
      </c>
      <c r="F23" s="10" t="s">
        <v>27</v>
      </c>
      <c r="G23" s="10">
        <f>1466+1706+934+1+0+0</f>
        <v>4107</v>
      </c>
      <c r="H23" s="22"/>
      <c r="I23" s="10" t="e">
        <f>E23/M22</f>
        <v>#DIV/0!</v>
      </c>
      <c r="J23" s="22"/>
      <c r="K23" s="22"/>
      <c r="L23" s="22"/>
      <c r="M23" s="10"/>
    </row>
    <row r="24" s="1" customFormat="1" ht="29" customHeight="1" spans="1:13">
      <c r="A24" s="7">
        <v>19</v>
      </c>
      <c r="B24" s="8" t="s">
        <v>42</v>
      </c>
      <c r="C24" s="7">
        <v>0</v>
      </c>
      <c r="D24" s="7">
        <v>0</v>
      </c>
      <c r="E24" s="10"/>
      <c r="F24" s="10" t="s">
        <v>43</v>
      </c>
      <c r="G24" s="10"/>
      <c r="H24" s="22"/>
      <c r="I24" s="22"/>
      <c r="J24" s="22"/>
      <c r="K24" s="22"/>
      <c r="L24" s="22"/>
      <c r="M24" s="10"/>
    </row>
    <row r="25" s="1" customFormat="1" ht="149" customHeight="1" spans="1:13">
      <c r="A25" s="7">
        <v>20</v>
      </c>
      <c r="B25" s="26" t="s">
        <v>44</v>
      </c>
      <c r="C25" s="27"/>
      <c r="D25" s="28"/>
      <c r="E25" s="28"/>
      <c r="F25" s="28"/>
      <c r="G25" s="28"/>
      <c r="H25" s="28"/>
      <c r="I25" s="28"/>
      <c r="J25" s="28"/>
      <c r="K25" s="28"/>
      <c r="L25" s="29"/>
      <c r="M25" s="27"/>
    </row>
    <row r="26" s="1" customFormat="1" ht="130" customHeight="1" spans="1:13">
      <c r="A26" s="7">
        <v>21</v>
      </c>
      <c r="B26" s="31" t="s">
        <v>46</v>
      </c>
      <c r="C26" s="27" t="s">
        <v>79</v>
      </c>
      <c r="D26" s="28"/>
      <c r="E26" s="28"/>
      <c r="F26" s="28"/>
      <c r="G26" s="28"/>
      <c r="H26" s="28"/>
      <c r="I26" s="28"/>
      <c r="J26" s="28"/>
      <c r="K26" s="28"/>
      <c r="L26" s="29"/>
      <c r="M26" s="31"/>
    </row>
    <row r="27" s="1" customFormat="1" ht="130" customHeight="1" spans="1:13">
      <c r="A27" s="7">
        <v>22</v>
      </c>
      <c r="B27" s="31" t="s">
        <v>48</v>
      </c>
      <c r="C27" s="42" t="s">
        <v>74</v>
      </c>
      <c r="D27" s="28"/>
      <c r="E27" s="28"/>
      <c r="F27" s="28"/>
      <c r="G27" s="28"/>
      <c r="H27" s="28"/>
      <c r="I27" s="28"/>
      <c r="J27" s="28"/>
      <c r="K27" s="28"/>
      <c r="L27" s="29"/>
      <c r="M27" s="31"/>
    </row>
    <row r="28" s="1" customFormat="1" ht="14" customHeight="1" spans="1:13">
      <c r="C28" s="33"/>
      <c r="D28" s="33"/>
    </row>
    <row r="29" s="1" customFormat="1" ht="25" customHeight="1" spans="1:13">
      <c r="A29" s="5" t="s">
        <v>80</v>
      </c>
    </row>
    <row r="30" s="1" customFormat="1" ht="25" customHeight="1" spans="1:13">
      <c r="A30" s="6" t="s">
        <v>51</v>
      </c>
      <c r="B30" s="6" t="s">
        <v>52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53</v>
      </c>
      <c r="C31" s="10">
        <v>0</v>
      </c>
      <c r="D31" s="10">
        <v>0</v>
      </c>
      <c r="E31" s="10">
        <f t="shared" ref="E31:E39" si="2">D31+C31</f>
        <v>0</v>
      </c>
      <c r="F31" s="10" t="s">
        <v>27</v>
      </c>
      <c r="G31" s="10">
        <f>0+0+0+0+0+0</f>
        <v>0</v>
      </c>
      <c r="H31" s="10"/>
      <c r="I31" s="10"/>
      <c r="J31" s="22"/>
      <c r="K31" s="22"/>
      <c r="L31" s="22"/>
      <c r="M31" s="10"/>
    </row>
    <row r="32" s="1" customFormat="1" ht="25" customHeight="1" spans="1:13">
      <c r="A32" s="7">
        <v>2</v>
      </c>
      <c r="B32" s="8" t="s">
        <v>54</v>
      </c>
      <c r="C32" s="10">
        <v>0</v>
      </c>
      <c r="D32" s="10">
        <v>0</v>
      </c>
      <c r="E32" s="10">
        <f t="shared" si="2"/>
        <v>0</v>
      </c>
      <c r="F32" s="10" t="s">
        <v>27</v>
      </c>
      <c r="G32" s="10">
        <f>16.54+16.48+16.51+8.25+0+0</f>
        <v>57.78</v>
      </c>
      <c r="H32" s="10"/>
      <c r="I32" s="10"/>
      <c r="J32" s="22"/>
      <c r="K32" s="22"/>
      <c r="L32" s="22"/>
      <c r="M32" s="21"/>
    </row>
    <row r="33" s="1" customFormat="1" ht="25" customHeight="1" spans="1:13">
      <c r="A33" s="7">
        <v>3</v>
      </c>
      <c r="B33" s="8" t="s">
        <v>55</v>
      </c>
      <c r="C33" s="10">
        <v>0</v>
      </c>
      <c r="D33" s="10">
        <v>0</v>
      </c>
      <c r="E33" s="10">
        <f t="shared" si="2"/>
        <v>0</v>
      </c>
      <c r="F33" s="10" t="s">
        <v>27</v>
      </c>
      <c r="G33" s="10">
        <f>27+20+43+14+0+0</f>
        <v>104</v>
      </c>
      <c r="H33" s="10"/>
      <c r="I33" s="10"/>
      <c r="J33" s="22"/>
      <c r="K33" s="22"/>
      <c r="L33" s="22"/>
      <c r="M33" s="21"/>
    </row>
    <row r="34" s="1" customFormat="1" ht="25" customHeight="1" spans="1:13">
      <c r="A34" s="7">
        <v>4</v>
      </c>
      <c r="B34" s="8" t="s">
        <v>56</v>
      </c>
      <c r="C34" s="10">
        <v>0</v>
      </c>
      <c r="D34" s="10">
        <v>0</v>
      </c>
      <c r="E34" s="10">
        <f t="shared" si="2"/>
        <v>0</v>
      </c>
      <c r="F34" s="10" t="s">
        <v>27</v>
      </c>
      <c r="G34" s="10">
        <f>0+0+0+0+0+0</f>
        <v>0</v>
      </c>
      <c r="H34" s="10"/>
      <c r="I34" s="10"/>
      <c r="J34" s="22"/>
      <c r="K34" s="22"/>
      <c r="L34" s="22"/>
      <c r="M34" s="21"/>
    </row>
    <row r="35" s="1" customFormat="1" ht="25" customHeight="1" spans="1:13">
      <c r="A35" s="7">
        <v>5</v>
      </c>
      <c r="B35" s="8" t="s">
        <v>22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0+10.3545+7.7625+8.154+0+0</f>
        <v>26.271</v>
      </c>
      <c r="H35" s="10"/>
      <c r="J35" s="22"/>
      <c r="K35" s="22"/>
      <c r="L35" s="22"/>
      <c r="M35" s="22"/>
    </row>
    <row r="36" s="1" customFormat="1" ht="25" customHeight="1" spans="1:13">
      <c r="A36" s="7">
        <v>6</v>
      </c>
      <c r="B36" s="8" t="s">
        <v>24</v>
      </c>
      <c r="C36" s="10">
        <v>0</v>
      </c>
      <c r="D36" s="10">
        <v>0</v>
      </c>
      <c r="E36" s="10">
        <f t="shared" si="2"/>
        <v>0</v>
      </c>
      <c r="F36" s="10" t="s">
        <v>14</v>
      </c>
      <c r="G36" s="10">
        <f>0+0+0+0+0+0</f>
        <v>0</v>
      </c>
      <c r="H36" s="10"/>
      <c r="I36" s="10"/>
      <c r="J36" s="20"/>
      <c r="K36" s="22"/>
      <c r="L36" s="22"/>
      <c r="M36" s="22"/>
    </row>
    <row r="37" s="1" customFormat="1" ht="25" customHeight="1" spans="1:13">
      <c r="A37" s="7">
        <v>7</v>
      </c>
      <c r="B37" s="8" t="s">
        <v>57</v>
      </c>
      <c r="C37" s="10">
        <v>0</v>
      </c>
      <c r="D37" s="10">
        <v>0</v>
      </c>
      <c r="E37" s="10">
        <f t="shared" si="2"/>
        <v>0</v>
      </c>
      <c r="F37" s="10" t="s">
        <v>27</v>
      </c>
      <c r="G37" s="10">
        <f>0+6+0+0+0+0</f>
        <v>6</v>
      </c>
      <c r="H37" s="10"/>
      <c r="I37" s="10"/>
      <c r="J37" s="39"/>
      <c r="K37" s="22"/>
      <c r="L37" s="10"/>
      <c r="M37" s="22"/>
    </row>
    <row r="38" s="1" customFormat="1" ht="27" customHeight="1" spans="1:13">
      <c r="A38" s="7">
        <v>8</v>
      </c>
      <c r="B38" s="8" t="s">
        <v>58</v>
      </c>
      <c r="C38" s="10">
        <v>0</v>
      </c>
      <c r="D38" s="10">
        <v>0</v>
      </c>
      <c r="E38" s="10">
        <f t="shared" si="2"/>
        <v>0</v>
      </c>
      <c r="F38" s="10" t="s">
        <v>27</v>
      </c>
      <c r="G38" s="10">
        <f>599+599+554+284+0+0</f>
        <v>2036</v>
      </c>
      <c r="H38" s="10"/>
      <c r="I38" s="10"/>
      <c r="J38" s="43"/>
      <c r="K38" s="22"/>
      <c r="L38" s="10"/>
      <c r="M38" s="22"/>
    </row>
    <row r="39" s="1" customFormat="1" ht="25" customHeight="1" spans="1:13">
      <c r="A39" s="7">
        <v>9</v>
      </c>
      <c r="B39" s="8" t="s">
        <v>59</v>
      </c>
      <c r="C39" s="10">
        <v>0</v>
      </c>
      <c r="D39" s="10">
        <v>0</v>
      </c>
      <c r="E39" s="44">
        <f t="shared" si="2"/>
        <v>0</v>
      </c>
      <c r="F39" s="10" t="s">
        <v>27</v>
      </c>
      <c r="G39" s="10">
        <f>0+0+0+0+0+0</f>
        <v>0</v>
      </c>
      <c r="H39" s="10"/>
      <c r="I39" s="10"/>
      <c r="J39" s="43"/>
      <c r="K39" s="45"/>
      <c r="L39" s="10"/>
      <c r="M39" s="22"/>
    </row>
    <row r="40" s="1" customFormat="1" ht="25" customHeight="1" spans="1:13">
      <c r="A40" s="7">
        <v>10</v>
      </c>
      <c r="B40" s="8" t="s">
        <v>60</v>
      </c>
      <c r="C40" s="10">
        <v>0</v>
      </c>
      <c r="D40" s="10">
        <v>0</v>
      </c>
      <c r="E40" s="10">
        <f>C40+D40</f>
        <v>0</v>
      </c>
      <c r="F40" s="10" t="s">
        <v>27</v>
      </c>
      <c r="G40" s="10">
        <f>0+0+0+0+0+0</f>
        <v>0</v>
      </c>
      <c r="H40" s="22"/>
      <c r="I40" s="7">
        <v>105</v>
      </c>
      <c r="J40" s="20"/>
      <c r="K40" s="37"/>
      <c r="L40" s="27"/>
      <c r="M40" s="38"/>
    </row>
    <row r="41" s="1" customFormat="1" ht="25" customHeight="1" spans="1:13">
      <c r="A41" s="7">
        <v>11</v>
      </c>
      <c r="B41" s="8" t="s">
        <v>61</v>
      </c>
      <c r="C41" s="10">
        <v>0</v>
      </c>
      <c r="D41" s="10">
        <v>0</v>
      </c>
      <c r="E41" s="10">
        <f>C41+D41</f>
        <v>0</v>
      </c>
      <c r="F41" s="10" t="s">
        <v>27</v>
      </c>
      <c r="G41" s="10">
        <f>0+0+0+0+0+0</f>
        <v>0</v>
      </c>
      <c r="H41" s="22"/>
      <c r="I41" s="7">
        <v>130.29</v>
      </c>
      <c r="J41" s="27"/>
      <c r="K41" s="37"/>
      <c r="L41" s="27"/>
      <c r="M41" s="38"/>
    </row>
    <row r="42" s="1" customFormat="1" ht="25" customHeight="1" spans="1:13">
      <c r="A42" s="7">
        <v>12</v>
      </c>
      <c r="B42" s="8" t="s">
        <v>62</v>
      </c>
      <c r="C42" s="7">
        <v>0</v>
      </c>
      <c r="D42" s="7">
        <v>0</v>
      </c>
      <c r="E42" s="10">
        <f>D42+C42</f>
        <v>0</v>
      </c>
      <c r="F42" s="10" t="s">
        <v>37</v>
      </c>
      <c r="G42" s="10">
        <f>2+3+3+2+0+0</f>
        <v>10</v>
      </c>
      <c r="H42" s="22"/>
      <c r="I42" s="10">
        <v>10</v>
      </c>
      <c r="J42" s="27"/>
      <c r="K42" s="27"/>
      <c r="L42" s="27"/>
      <c r="M42" s="38"/>
    </row>
    <row r="43" s="1" customFormat="1" ht="78" customHeight="1" spans="1:13">
      <c r="A43" s="7">
        <v>13</v>
      </c>
      <c r="B43" s="46" t="s">
        <v>48</v>
      </c>
      <c r="C43" s="47" t="s">
        <v>63</v>
      </c>
      <c r="D43" s="48"/>
      <c r="E43" s="48"/>
      <c r="F43" s="48"/>
      <c r="G43" s="48"/>
      <c r="H43" s="48"/>
      <c r="I43" s="48"/>
      <c r="J43" s="48"/>
      <c r="K43" s="48"/>
      <c r="L43" s="49"/>
      <c r="M43" s="50"/>
    </row>
    <row r="44" s="1" customFormat="1" spans="1:13">
      <c r="A44" s="38" t="s">
        <v>64</v>
      </c>
      <c r="B44" s="40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9"/>
    </row>
    <row r="45" s="1" customFormat="1" spans="1:13">
      <c r="A45" s="15"/>
      <c r="B45" s="51"/>
      <c r="M45" s="52"/>
    </row>
    <row r="46" s="1" customFormat="1" spans="1:13">
      <c r="A46" s="15"/>
      <c r="B46" s="51"/>
      <c r="M46" s="52"/>
    </row>
    <row r="47" s="1" customFormat="1" spans="1:13">
      <c r="A47" s="15"/>
      <c r="B47" s="51"/>
      <c r="M47" s="52"/>
    </row>
    <row r="48" s="1" customFormat="1" spans="1:13">
      <c r="A48" s="15"/>
      <c r="B48" s="51"/>
      <c r="M48" s="52"/>
    </row>
    <row r="49" s="1" customFormat="1" spans="1:13">
      <c r="A49" s="15"/>
      <c r="B49" s="51"/>
      <c r="M49" s="52"/>
    </row>
    <row r="50" s="1" customFormat="1" spans="1:13">
      <c r="A50" s="15"/>
      <c r="B50" s="51"/>
      <c r="M50" s="52"/>
    </row>
    <row r="51" s="1" customFormat="1" spans="1:13">
      <c r="A51" s="15"/>
      <c r="B51" s="51"/>
      <c r="M51" s="52"/>
    </row>
    <row r="52" s="1" customFormat="1" ht="12" customHeight="1" spans="1:13">
      <c r="A52" s="15"/>
      <c r="B52" s="51"/>
      <c r="M52" s="52"/>
    </row>
    <row r="53" s="1" customFormat="1" hidden="1" spans="1:13">
      <c r="A53" s="15"/>
      <c r="B53" s="51"/>
      <c r="M53" s="52"/>
    </row>
    <row r="54" s="1" customFormat="1" hidden="1" spans="1:13">
      <c r="A54" s="15"/>
      <c r="B54" s="51"/>
      <c r="M54" s="52"/>
    </row>
    <row r="55" spans="1:13">
      <c r="A55" s="16"/>
      <c r="B55" s="53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5"/>
    </row>
    <row r="63" s="1" customFormat="1" spans="1:13">
      <c r="C63" s="33"/>
      <c r="D63" s="33"/>
    </row>
    <row r="64" spans="1:13">
      <c r="L64" s="1"/>
    </row>
  </sheetData>
  <mergeCells count="11">
    <mergeCell ref="A1:M1"/>
    <mergeCell ref="C25:L25"/>
    <mergeCell ref="C26:L26"/>
    <mergeCell ref="C27:L27"/>
    <mergeCell ref="A29:M29"/>
    <mergeCell ref="C43:L43"/>
    <mergeCell ref="A5:A8"/>
    <mergeCell ref="A44:A55"/>
    <mergeCell ref="H5:H8"/>
    <mergeCell ref="I5:I8"/>
    <mergeCell ref="B44:M55"/>
  </mergeCell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6" workbookViewId="0">
      <selection activeCell="G17" sqref="G17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5" t="s">
        <v>81</v>
      </c>
    </row>
    <row r="2" s="1" customFormat="1" ht="25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7">
        <v>1</v>
      </c>
      <c r="B3" s="8" t="s">
        <v>13</v>
      </c>
      <c r="C3" s="9">
        <v>0</v>
      </c>
      <c r="D3" s="9">
        <v>0</v>
      </c>
      <c r="E3" s="10">
        <f t="shared" ref="E3:E12" si="0">C3+D3</f>
        <v>0</v>
      </c>
      <c r="F3" s="10" t="s">
        <v>14</v>
      </c>
      <c r="G3" s="10">
        <f>2+14.5+12+6+0+0+0</f>
        <v>34.5</v>
      </c>
      <c r="H3" s="10">
        <v>294</v>
      </c>
      <c r="I3" s="10">
        <f>H3-G3</f>
        <v>259.5</v>
      </c>
      <c r="J3" s="10"/>
      <c r="K3" s="10"/>
      <c r="L3" s="10"/>
      <c r="M3" s="10">
        <f>I3/23</f>
        <v>11.2826086956522</v>
      </c>
    </row>
    <row r="4" s="1" customFormat="1" ht="56" customHeight="1" spans="1:13">
      <c r="A4" s="12">
        <v>2</v>
      </c>
      <c r="B4" s="8" t="s">
        <v>15</v>
      </c>
      <c r="C4" s="9">
        <v>0</v>
      </c>
      <c r="D4" s="9"/>
      <c r="E4" s="10">
        <f t="shared" si="0"/>
        <v>0</v>
      </c>
      <c r="F4" s="10" t="s">
        <v>14</v>
      </c>
      <c r="G4" s="10">
        <f>14+2+14+12+6+0+0</f>
        <v>48</v>
      </c>
      <c r="H4" s="13"/>
      <c r="I4" s="13"/>
      <c r="J4" s="10"/>
      <c r="K4" s="10"/>
      <c r="L4" s="10"/>
      <c r="M4" s="10"/>
    </row>
    <row r="5" s="1" customFormat="1" ht="56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</f>
        <v>0</v>
      </c>
      <c r="H5" s="10">
        <v>4346</v>
      </c>
      <c r="I5" s="10">
        <f>H5-G5-G7-G6</f>
        <v>3816</v>
      </c>
      <c r="J5" s="20"/>
      <c r="K5" s="10"/>
      <c r="L5" s="10"/>
      <c r="M5" s="10"/>
    </row>
    <row r="6" s="1" customFormat="1" ht="4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</f>
        <v>0</v>
      </c>
      <c r="H6" s="15"/>
      <c r="I6" s="15"/>
      <c r="J6" s="10"/>
      <c r="K6" s="10"/>
      <c r="L6" s="10"/>
      <c r="M6" s="10"/>
    </row>
    <row r="7" s="1" customFormat="1" ht="45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206+172+152+0+0+0+0</f>
        <v>530</v>
      </c>
      <c r="H7" s="15"/>
      <c r="I7" s="15"/>
      <c r="J7" s="10"/>
      <c r="K7" s="10"/>
      <c r="L7" s="10"/>
      <c r="M7" s="10"/>
    </row>
    <row r="8" s="1" customFormat="1" ht="52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</f>
        <v>0</v>
      </c>
      <c r="H8" s="16"/>
      <c r="I8" s="16"/>
      <c r="J8" s="10"/>
      <c r="K8" s="10"/>
      <c r="L8" s="10"/>
      <c r="M8" s="10"/>
    </row>
    <row r="9" s="1" customFormat="1" ht="35" customHeight="1" spans="1:13">
      <c r="A9" s="12">
        <v>4</v>
      </c>
      <c r="B9" s="17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0+0+39.77+63.15+0+0+0</f>
        <v>102.92</v>
      </c>
      <c r="H9" s="13">
        <v>5.42</v>
      </c>
      <c r="I9" s="13">
        <f>H9-K10</f>
        <v>4.526235</v>
      </c>
      <c r="J9" s="18" t="s">
        <v>21</v>
      </c>
      <c r="K9" s="13">
        <v>0</v>
      </c>
      <c r="L9" s="13">
        <v>0</v>
      </c>
      <c r="M9" s="19"/>
    </row>
    <row r="10" s="1" customFormat="1" ht="25" customHeight="1" spans="1:13">
      <c r="A10" s="7">
        <v>5</v>
      </c>
      <c r="B10" s="8" t="s">
        <v>22</v>
      </c>
      <c r="C10" s="10">
        <v>0</v>
      </c>
      <c r="D10" s="10">
        <v>0</v>
      </c>
      <c r="E10" s="10">
        <f t="shared" si="0"/>
        <v>0</v>
      </c>
      <c r="F10" s="10" t="s">
        <v>14</v>
      </c>
      <c r="G10" s="10">
        <f>5.265+7.938+15.8625+3.8745+0+0+0</f>
        <v>32.94</v>
      </c>
      <c r="H10" s="10"/>
      <c r="I10" s="10">
        <f>G10/(G3*0.1865)</f>
        <v>5.11947779461476</v>
      </c>
      <c r="J10" s="18" t="s">
        <v>23</v>
      </c>
      <c r="K10" s="20">
        <f>0+0+0.338045+0.55572+0+0+0</f>
        <v>0.893765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0</v>
      </c>
      <c r="D11" s="10">
        <v>0</v>
      </c>
      <c r="E11" s="10">
        <f t="shared" si="0"/>
        <v>0</v>
      </c>
      <c r="F11" s="10" t="s">
        <v>14</v>
      </c>
      <c r="G11" s="10">
        <f>8.832+2.8336+13.1376+8.9976+0+0+0</f>
        <v>33.8008</v>
      </c>
      <c r="H11" s="10"/>
      <c r="I11" s="10">
        <f>G11/(G3*0.1865)</f>
        <v>5.2532618409294</v>
      </c>
      <c r="J11" s="10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0</v>
      </c>
      <c r="D12" s="10">
        <v>0</v>
      </c>
      <c r="E12" s="10">
        <f t="shared" si="0"/>
        <v>0</v>
      </c>
      <c r="F12" s="10"/>
      <c r="G12" s="10">
        <f>256+501+386+182+0+0+0</f>
        <v>1325</v>
      </c>
      <c r="H12" s="10">
        <f>G12*1.05</f>
        <v>1391.25</v>
      </c>
      <c r="I12" s="10"/>
      <c r="J12" s="10"/>
      <c r="K12" s="10"/>
      <c r="L12" s="10"/>
      <c r="M12" s="21"/>
    </row>
    <row r="13" s="1" customFormat="1" ht="30" customHeight="1" spans="1:13">
      <c r="A13" s="7">
        <v>8</v>
      </c>
      <c r="B13" s="8" t="s">
        <v>26</v>
      </c>
      <c r="C13" s="10">
        <v>0</v>
      </c>
      <c r="D13" s="10">
        <v>0</v>
      </c>
      <c r="E13" s="10">
        <f t="shared" ref="E13:E20" si="1">D13+C13</f>
        <v>0</v>
      </c>
      <c r="F13" s="10" t="s">
        <v>27</v>
      </c>
      <c r="G13" s="10">
        <f>142+478+310+96+0+0+0</f>
        <v>1026</v>
      </c>
      <c r="H13" s="10"/>
      <c r="I13" s="10"/>
      <c r="J13" s="20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0</v>
      </c>
      <c r="D14" s="10">
        <v>0</v>
      </c>
      <c r="E14" s="10">
        <f t="shared" si="1"/>
        <v>0</v>
      </c>
      <c r="F14" s="10" t="s">
        <v>27</v>
      </c>
      <c r="G14" s="10">
        <f>852.63+765.27+628.63+67.84+0+0+0</f>
        <v>2314.37</v>
      </c>
      <c r="H14" s="10"/>
      <c r="I14" s="10"/>
      <c r="J14" s="18" t="s">
        <v>29</v>
      </c>
      <c r="K14" s="10">
        <v>0</v>
      </c>
      <c r="L14" s="10">
        <v>0</v>
      </c>
      <c r="M14" s="10"/>
    </row>
    <row r="15" s="1" customFormat="1" ht="25" customHeight="1" spans="1:13">
      <c r="A15" s="7">
        <v>10</v>
      </c>
      <c r="B15" s="8" t="s">
        <v>30</v>
      </c>
      <c r="C15" s="10">
        <v>0</v>
      </c>
      <c r="D15" s="10">
        <v>0</v>
      </c>
      <c r="E15" s="10">
        <f t="shared" si="1"/>
        <v>0</v>
      </c>
      <c r="F15" s="10" t="s">
        <v>14</v>
      </c>
      <c r="G15" s="10">
        <f>0+0+0+0+0+0+0</f>
        <v>0</v>
      </c>
      <c r="H15" s="10"/>
      <c r="I15" s="10"/>
      <c r="J15" s="18" t="s">
        <v>31</v>
      </c>
      <c r="K15" s="20">
        <f>2.4676132+2.4190333+2.1010637+0.22048+0+0+0</f>
        <v>7.2081902</v>
      </c>
      <c r="L15" s="10"/>
      <c r="M15" s="10">
        <f>(C14*K14+L14*D14)/1000</f>
        <v>0</v>
      </c>
    </row>
    <row r="16" s="1" customFormat="1" ht="25" customHeight="1" spans="1:13">
      <c r="A16" s="7">
        <v>11</v>
      </c>
      <c r="B16" s="8" t="s">
        <v>32</v>
      </c>
      <c r="C16" s="10">
        <v>0</v>
      </c>
      <c r="D16" s="10">
        <v>0</v>
      </c>
      <c r="E16" s="10">
        <f t="shared" si="1"/>
        <v>0</v>
      </c>
      <c r="F16" s="10" t="s">
        <v>14</v>
      </c>
      <c r="G16" s="10">
        <f>6+42+24+0+0+0+0</f>
        <v>72</v>
      </c>
      <c r="H16" s="10"/>
      <c r="I16" s="10">
        <f>G16/(G3*0.1865)</f>
        <v>11.190115398065</v>
      </c>
      <c r="J16" s="10"/>
      <c r="K16" s="10"/>
      <c r="L16" s="10"/>
      <c r="M16" s="22"/>
    </row>
    <row r="17" s="1" customFormat="1" ht="29" customHeight="1" spans="1:13">
      <c r="A17" s="7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0.1+0+0+0+0+0+0</f>
        <v>0.1</v>
      </c>
      <c r="H17" s="22"/>
      <c r="I17" s="22"/>
      <c r="J17" s="22"/>
      <c r="K17" s="22"/>
      <c r="L17" s="22"/>
      <c r="M17" s="10"/>
    </row>
    <row r="18" s="1" customFormat="1" ht="29" customHeight="1" spans="1:13">
      <c r="A18" s="7">
        <v>13</v>
      </c>
      <c r="B18" s="8" t="s">
        <v>34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0+2+0+2+0+0+0</f>
        <v>4</v>
      </c>
      <c r="H18" s="22"/>
      <c r="I18" s="22">
        <f>G18/(G3*0.1865)</f>
        <v>0.62167307767028</v>
      </c>
      <c r="J18" s="22"/>
      <c r="K18" s="22"/>
      <c r="L18" s="22"/>
      <c r="M18" s="10"/>
    </row>
    <row r="19" s="1" customFormat="1" ht="29" customHeight="1" spans="1:13">
      <c r="A19" s="7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0+1.5+0+1.5+0+0+0</f>
        <v>3</v>
      </c>
      <c r="H19" s="22"/>
      <c r="I19" s="22">
        <f>G19/(G3*0.1865)</f>
        <v>0.46625480825271</v>
      </c>
      <c r="J19" s="22"/>
      <c r="K19" s="22"/>
      <c r="L19" s="22"/>
      <c r="M19" s="10"/>
    </row>
    <row r="20" s="1" customFormat="1" ht="29" customHeight="1" spans="1:13">
      <c r="A20" s="7">
        <v>15</v>
      </c>
      <c r="B20" s="8" t="s">
        <v>36</v>
      </c>
      <c r="C20" s="10">
        <v>0</v>
      </c>
      <c r="D20" s="7">
        <v>0</v>
      </c>
      <c r="E20" s="10">
        <f t="shared" si="1"/>
        <v>0</v>
      </c>
      <c r="F20" s="10" t="s">
        <v>37</v>
      </c>
      <c r="G20" s="10">
        <f>12+0+9+0+0+0+0</f>
        <v>21</v>
      </c>
      <c r="H20" s="22"/>
      <c r="I20" s="22"/>
      <c r="J20" s="22"/>
      <c r="K20" s="22"/>
      <c r="L20" s="22"/>
      <c r="M20" s="10"/>
    </row>
    <row r="21" s="1" customFormat="1" ht="29" customHeight="1" spans="1:13">
      <c r="A21" s="7">
        <v>16</v>
      </c>
      <c r="B21" s="8" t="s">
        <v>38</v>
      </c>
      <c r="C21" s="7">
        <v>0</v>
      </c>
      <c r="D21" s="7">
        <v>0</v>
      </c>
      <c r="E21" s="10">
        <v>0</v>
      </c>
      <c r="F21" s="10" t="s">
        <v>37</v>
      </c>
      <c r="G21" s="10">
        <f>0+0+0+0+0+0+0</f>
        <v>0</v>
      </c>
      <c r="H21" s="22"/>
      <c r="I21" s="22"/>
      <c r="J21" s="20"/>
      <c r="K21" s="22"/>
      <c r="L21" s="22"/>
      <c r="M21" s="10"/>
    </row>
    <row r="22" s="1" customFormat="1" ht="29" customHeight="1" spans="1:13">
      <c r="A22" s="7">
        <v>17</v>
      </c>
      <c r="B22" s="8" t="s">
        <v>39</v>
      </c>
      <c r="C22" s="7">
        <v>0</v>
      </c>
      <c r="D22" s="7">
        <v>0</v>
      </c>
      <c r="E22" s="10">
        <f>D22+C22</f>
        <v>0</v>
      </c>
      <c r="F22" s="10" t="s">
        <v>27</v>
      </c>
      <c r="G22" s="10">
        <f>1304+1347+838+28+0+0+0</f>
        <v>3517</v>
      </c>
      <c r="H22" s="23"/>
      <c r="I22" s="10" t="e">
        <f>E22/M22</f>
        <v>#DIV/0!</v>
      </c>
      <c r="J22" s="41" t="s">
        <v>40</v>
      </c>
      <c r="K22" s="10">
        <f>23.5+24+13.5+0+0+0+0</f>
        <v>61</v>
      </c>
      <c r="L22" s="10">
        <f>G22/K22</f>
        <v>57.655737704918</v>
      </c>
      <c r="M22" s="10">
        <v>0</v>
      </c>
    </row>
    <row r="23" s="1" customFormat="1" ht="29" customHeight="1" spans="1:13">
      <c r="A23" s="7">
        <v>18</v>
      </c>
      <c r="B23" s="8" t="s">
        <v>41</v>
      </c>
      <c r="C23" s="7">
        <v>0</v>
      </c>
      <c r="D23" s="7">
        <v>0</v>
      </c>
      <c r="E23" s="10">
        <f>D23+C23</f>
        <v>0</v>
      </c>
      <c r="F23" s="10" t="s">
        <v>27</v>
      </c>
      <c r="G23" s="10">
        <f>1466+1706+934+1+0+0+0</f>
        <v>4107</v>
      </c>
      <c r="H23" s="22"/>
      <c r="I23" s="10" t="e">
        <f>E23/M22</f>
        <v>#DIV/0!</v>
      </c>
      <c r="J23" s="22"/>
      <c r="K23" s="22"/>
      <c r="L23" s="22"/>
      <c r="M23" s="10"/>
    </row>
    <row r="24" s="1" customFormat="1" ht="29" customHeight="1" spans="1:13">
      <c r="A24" s="7">
        <v>19</v>
      </c>
      <c r="B24" s="8" t="s">
        <v>42</v>
      </c>
      <c r="C24" s="7">
        <v>0</v>
      </c>
      <c r="D24" s="7">
        <v>0</v>
      </c>
      <c r="E24" s="10"/>
      <c r="F24" s="10" t="s">
        <v>43</v>
      </c>
      <c r="G24" s="10"/>
      <c r="H24" s="22"/>
      <c r="I24" s="22"/>
      <c r="J24" s="22"/>
      <c r="K24" s="22"/>
      <c r="L24" s="22"/>
      <c r="M24" s="10"/>
    </row>
    <row r="25" s="1" customFormat="1" ht="149" customHeight="1" spans="1:13">
      <c r="A25" s="7">
        <v>20</v>
      </c>
      <c r="B25" s="26" t="s">
        <v>44</v>
      </c>
      <c r="C25" s="27"/>
      <c r="D25" s="28"/>
      <c r="E25" s="28"/>
      <c r="F25" s="28"/>
      <c r="G25" s="28"/>
      <c r="H25" s="28"/>
      <c r="I25" s="28"/>
      <c r="J25" s="28"/>
      <c r="K25" s="28"/>
      <c r="L25" s="29"/>
      <c r="M25" s="27"/>
    </row>
    <row r="26" s="1" customFormat="1" ht="130" customHeight="1" spans="1:13">
      <c r="A26" s="7">
        <v>21</v>
      </c>
      <c r="B26" s="31" t="s">
        <v>46</v>
      </c>
      <c r="C26" s="27" t="s">
        <v>79</v>
      </c>
      <c r="D26" s="28"/>
      <c r="E26" s="28"/>
      <c r="F26" s="28"/>
      <c r="G26" s="28"/>
      <c r="H26" s="28"/>
      <c r="I26" s="28"/>
      <c r="J26" s="28"/>
      <c r="K26" s="28"/>
      <c r="L26" s="29"/>
      <c r="M26" s="31"/>
    </row>
    <row r="27" s="1" customFormat="1" ht="130" customHeight="1" spans="1:13">
      <c r="A27" s="7">
        <v>22</v>
      </c>
      <c r="B27" s="31" t="s">
        <v>48</v>
      </c>
      <c r="C27" s="42" t="s">
        <v>67</v>
      </c>
      <c r="D27" s="28"/>
      <c r="E27" s="28"/>
      <c r="F27" s="28"/>
      <c r="G27" s="28"/>
      <c r="H27" s="28"/>
      <c r="I27" s="28"/>
      <c r="J27" s="28"/>
      <c r="K27" s="28"/>
      <c r="L27" s="29"/>
      <c r="M27" s="31"/>
    </row>
    <row r="28" s="1" customFormat="1" ht="14" customHeight="1" spans="1:13">
      <c r="C28" s="33"/>
      <c r="D28" s="33"/>
    </row>
    <row r="29" s="1" customFormat="1" ht="25" customHeight="1" spans="1:13">
      <c r="A29" s="5" t="s">
        <v>82</v>
      </c>
    </row>
    <row r="30" s="1" customFormat="1" ht="25" customHeight="1" spans="1:13">
      <c r="A30" s="6" t="s">
        <v>51</v>
      </c>
      <c r="B30" s="6" t="s">
        <v>52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53</v>
      </c>
      <c r="C31" s="10">
        <v>0</v>
      </c>
      <c r="D31" s="10">
        <v>0</v>
      </c>
      <c r="E31" s="10">
        <f t="shared" ref="E31:E39" si="2">D31+C31</f>
        <v>0</v>
      </c>
      <c r="F31" s="10" t="s">
        <v>27</v>
      </c>
      <c r="G31" s="10">
        <f>0+0+0+0+0+0+0</f>
        <v>0</v>
      </c>
      <c r="H31" s="10"/>
      <c r="I31" s="10"/>
      <c r="J31" s="22"/>
      <c r="K31" s="22"/>
      <c r="L31" s="22"/>
      <c r="M31" s="10"/>
    </row>
    <row r="32" s="1" customFormat="1" ht="25" customHeight="1" spans="1:13">
      <c r="A32" s="7">
        <v>2</v>
      </c>
      <c r="B32" s="8" t="s">
        <v>54</v>
      </c>
      <c r="C32" s="10">
        <v>0</v>
      </c>
      <c r="D32" s="10">
        <v>0</v>
      </c>
      <c r="E32" s="10">
        <f t="shared" si="2"/>
        <v>0</v>
      </c>
      <c r="F32" s="10" t="s">
        <v>27</v>
      </c>
      <c r="G32" s="10">
        <f>16.54+16.48+16.51+8.25+0+0+0</f>
        <v>57.78</v>
      </c>
      <c r="H32" s="10"/>
      <c r="I32" s="10"/>
      <c r="J32" s="22"/>
      <c r="K32" s="22"/>
      <c r="L32" s="22"/>
      <c r="M32" s="21"/>
    </row>
    <row r="33" s="1" customFormat="1" ht="25" customHeight="1" spans="1:13">
      <c r="A33" s="7">
        <v>3</v>
      </c>
      <c r="B33" s="8" t="s">
        <v>55</v>
      </c>
      <c r="C33" s="10">
        <v>0</v>
      </c>
      <c r="D33" s="10">
        <v>0</v>
      </c>
      <c r="E33" s="10">
        <f t="shared" si="2"/>
        <v>0</v>
      </c>
      <c r="F33" s="10" t="s">
        <v>27</v>
      </c>
      <c r="G33" s="10">
        <f>27+20+43+14+0+0+0</f>
        <v>104</v>
      </c>
      <c r="H33" s="10"/>
      <c r="I33" s="10"/>
      <c r="J33" s="22"/>
      <c r="K33" s="22"/>
      <c r="L33" s="22"/>
      <c r="M33" s="21"/>
    </row>
    <row r="34" s="1" customFormat="1" ht="25" customHeight="1" spans="1:13">
      <c r="A34" s="7">
        <v>4</v>
      </c>
      <c r="B34" s="8" t="s">
        <v>56</v>
      </c>
      <c r="C34" s="10">
        <v>0</v>
      </c>
      <c r="D34" s="10">
        <v>0</v>
      </c>
      <c r="E34" s="10">
        <f t="shared" si="2"/>
        <v>0</v>
      </c>
      <c r="F34" s="10" t="s">
        <v>27</v>
      </c>
      <c r="G34" s="10">
        <f>0+0+0+0+0+0+0</f>
        <v>0</v>
      </c>
      <c r="H34" s="10"/>
      <c r="I34" s="10"/>
      <c r="J34" s="22"/>
      <c r="K34" s="22"/>
      <c r="L34" s="22"/>
      <c r="M34" s="21"/>
    </row>
    <row r="35" s="1" customFormat="1" ht="25" customHeight="1" spans="1:13">
      <c r="A35" s="7">
        <v>5</v>
      </c>
      <c r="B35" s="8" t="s">
        <v>22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0+10.3545+7.7625+8.154+0+0+0</f>
        <v>26.271</v>
      </c>
      <c r="H35" s="10"/>
      <c r="J35" s="22"/>
      <c r="K35" s="22"/>
      <c r="L35" s="22"/>
      <c r="M35" s="22"/>
    </row>
    <row r="36" s="1" customFormat="1" ht="25" customHeight="1" spans="1:13">
      <c r="A36" s="7">
        <v>6</v>
      </c>
      <c r="B36" s="8" t="s">
        <v>24</v>
      </c>
      <c r="C36" s="10">
        <v>0</v>
      </c>
      <c r="D36" s="10">
        <v>0</v>
      </c>
      <c r="E36" s="10">
        <f t="shared" si="2"/>
        <v>0</v>
      </c>
      <c r="F36" s="10" t="s">
        <v>14</v>
      </c>
      <c r="G36" s="10">
        <f>0+0+0+0+0+0+0</f>
        <v>0</v>
      </c>
      <c r="H36" s="10"/>
      <c r="I36" s="10"/>
      <c r="J36" s="20"/>
      <c r="K36" s="22"/>
      <c r="L36" s="22"/>
      <c r="M36" s="22"/>
    </row>
    <row r="37" s="1" customFormat="1" ht="25" customHeight="1" spans="1:13">
      <c r="A37" s="7">
        <v>7</v>
      </c>
      <c r="B37" s="8" t="s">
        <v>57</v>
      </c>
      <c r="C37" s="10">
        <v>0</v>
      </c>
      <c r="D37" s="10">
        <v>0</v>
      </c>
      <c r="E37" s="10">
        <f t="shared" si="2"/>
        <v>0</v>
      </c>
      <c r="F37" s="10" t="s">
        <v>27</v>
      </c>
      <c r="G37" s="10">
        <f>0+6+0+0+0+0+0</f>
        <v>6</v>
      </c>
      <c r="H37" s="10"/>
      <c r="I37" s="10"/>
      <c r="J37" s="39"/>
      <c r="K37" s="22"/>
      <c r="L37" s="10"/>
      <c r="M37" s="22"/>
    </row>
    <row r="38" s="1" customFormat="1" ht="27" customHeight="1" spans="1:13">
      <c r="A38" s="7">
        <v>8</v>
      </c>
      <c r="B38" s="8" t="s">
        <v>58</v>
      </c>
      <c r="C38" s="10">
        <v>0</v>
      </c>
      <c r="D38" s="10">
        <v>0</v>
      </c>
      <c r="E38" s="10">
        <f t="shared" si="2"/>
        <v>0</v>
      </c>
      <c r="F38" s="10" t="s">
        <v>27</v>
      </c>
      <c r="G38" s="10">
        <f>599+599+554+284+0+0+0</f>
        <v>2036</v>
      </c>
      <c r="H38" s="10"/>
      <c r="I38" s="10"/>
      <c r="J38" s="43"/>
      <c r="K38" s="22"/>
      <c r="L38" s="10"/>
      <c r="M38" s="22"/>
    </row>
    <row r="39" s="1" customFormat="1" ht="25" customHeight="1" spans="1:13">
      <c r="A39" s="7">
        <v>9</v>
      </c>
      <c r="B39" s="8" t="s">
        <v>59</v>
      </c>
      <c r="C39" s="10">
        <v>0</v>
      </c>
      <c r="D39" s="10">
        <v>0</v>
      </c>
      <c r="E39" s="44">
        <f t="shared" si="2"/>
        <v>0</v>
      </c>
      <c r="F39" s="10" t="s">
        <v>27</v>
      </c>
      <c r="G39" s="10">
        <f>0+0+0+0+0+0+0</f>
        <v>0</v>
      </c>
      <c r="H39" s="10"/>
      <c r="I39" s="10"/>
      <c r="J39" s="43"/>
      <c r="K39" s="45"/>
      <c r="L39" s="10"/>
      <c r="M39" s="22"/>
    </row>
    <row r="40" s="1" customFormat="1" ht="25" customHeight="1" spans="1:13">
      <c r="A40" s="7">
        <v>10</v>
      </c>
      <c r="B40" s="8" t="s">
        <v>60</v>
      </c>
      <c r="C40" s="10">
        <v>0</v>
      </c>
      <c r="D40" s="10">
        <v>0</v>
      </c>
      <c r="E40" s="10">
        <f>C40+D40</f>
        <v>0</v>
      </c>
      <c r="F40" s="10" t="s">
        <v>27</v>
      </c>
      <c r="G40" s="10">
        <f>0+0+0+0+0+0+0</f>
        <v>0</v>
      </c>
      <c r="H40" s="22"/>
      <c r="I40" s="7">
        <v>195</v>
      </c>
      <c r="J40" s="20"/>
      <c r="K40" s="37"/>
      <c r="L40" s="27"/>
      <c r="M40" s="38"/>
    </row>
    <row r="41" s="1" customFormat="1" ht="25" customHeight="1" spans="1:13">
      <c r="A41" s="7">
        <v>11</v>
      </c>
      <c r="B41" s="8" t="s">
        <v>61</v>
      </c>
      <c r="C41" s="10">
        <v>0</v>
      </c>
      <c r="D41" s="10">
        <v>0</v>
      </c>
      <c r="E41" s="10">
        <f>C41+D41</f>
        <v>0</v>
      </c>
      <c r="F41" s="10" t="s">
        <v>27</v>
      </c>
      <c r="G41" s="10">
        <f>0+0+0+0+0+0+0</f>
        <v>0</v>
      </c>
      <c r="H41" s="22"/>
      <c r="I41" s="7">
        <v>129.4214</v>
      </c>
      <c r="J41" s="27"/>
      <c r="K41" s="37"/>
      <c r="L41" s="27"/>
      <c r="M41" s="38"/>
    </row>
    <row r="42" s="1" customFormat="1" ht="25" customHeight="1" spans="1:13">
      <c r="A42" s="7">
        <v>12</v>
      </c>
      <c r="B42" s="8" t="s">
        <v>62</v>
      </c>
      <c r="C42" s="7">
        <v>0</v>
      </c>
      <c r="D42" s="7">
        <v>0</v>
      </c>
      <c r="E42" s="10">
        <f>D42+C42</f>
        <v>0</v>
      </c>
      <c r="F42" s="10" t="s">
        <v>37</v>
      </c>
      <c r="G42" s="10">
        <f>2+3+3+2+0+0+0</f>
        <v>10</v>
      </c>
      <c r="H42" s="22"/>
      <c r="I42" s="10">
        <v>10</v>
      </c>
      <c r="J42" s="27"/>
      <c r="K42" s="27"/>
      <c r="L42" s="27"/>
      <c r="M42" s="38"/>
    </row>
    <row r="43" s="1" customFormat="1" ht="78" customHeight="1" spans="1:13">
      <c r="A43" s="7">
        <v>13</v>
      </c>
      <c r="B43" s="46" t="s">
        <v>48</v>
      </c>
      <c r="C43" s="47" t="s">
        <v>63</v>
      </c>
      <c r="D43" s="48"/>
      <c r="E43" s="48"/>
      <c r="F43" s="48"/>
      <c r="G43" s="48"/>
      <c r="H43" s="48"/>
      <c r="I43" s="48"/>
      <c r="J43" s="48"/>
      <c r="K43" s="48"/>
      <c r="L43" s="49"/>
      <c r="M43" s="50"/>
    </row>
    <row r="44" s="1" customFormat="1" spans="1:13">
      <c r="A44" s="38" t="s">
        <v>64</v>
      </c>
      <c r="B44" s="40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9"/>
    </row>
    <row r="45" s="1" customFormat="1" spans="1:13">
      <c r="A45" s="15"/>
      <c r="B45" s="51"/>
      <c r="M45" s="52"/>
    </row>
    <row r="46" s="1" customFormat="1" spans="1:13">
      <c r="A46" s="15"/>
      <c r="B46" s="51"/>
      <c r="M46" s="52"/>
    </row>
    <row r="47" s="1" customFormat="1" spans="1:13">
      <c r="A47" s="15"/>
      <c r="B47" s="51"/>
      <c r="M47" s="52"/>
    </row>
    <row r="48" s="1" customFormat="1" spans="1:13">
      <c r="A48" s="15"/>
      <c r="B48" s="51"/>
      <c r="M48" s="52"/>
    </row>
    <row r="49" s="1" customFormat="1" spans="1:13">
      <c r="A49" s="15"/>
      <c r="B49" s="51"/>
      <c r="M49" s="52"/>
    </row>
    <row r="50" s="1" customFormat="1" spans="1:13">
      <c r="A50" s="15"/>
      <c r="B50" s="51"/>
      <c r="M50" s="52"/>
    </row>
    <row r="51" s="1" customFormat="1" spans="1:13">
      <c r="A51" s="15"/>
      <c r="B51" s="51"/>
      <c r="M51" s="52"/>
    </row>
    <row r="52" s="1" customFormat="1" ht="12" customHeight="1" spans="1:13">
      <c r="A52" s="15"/>
      <c r="B52" s="51"/>
      <c r="M52" s="52"/>
    </row>
    <row r="53" s="1" customFormat="1" hidden="1" spans="1:13">
      <c r="A53" s="15"/>
      <c r="B53" s="51"/>
      <c r="M53" s="52"/>
    </row>
    <row r="54" s="1" customFormat="1" hidden="1" spans="1:13">
      <c r="A54" s="15"/>
      <c r="B54" s="51"/>
      <c r="M54" s="52"/>
    </row>
    <row r="55" spans="1:13">
      <c r="A55" s="16"/>
      <c r="B55" s="53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5"/>
    </row>
    <row r="63" s="1" customFormat="1" spans="1:13">
      <c r="C63" s="33"/>
      <c r="D63" s="33"/>
    </row>
    <row r="64" spans="1:13">
      <c r="L64" s="1"/>
    </row>
  </sheetData>
  <mergeCells count="11">
    <mergeCell ref="A1:M1"/>
    <mergeCell ref="C25:L25"/>
    <mergeCell ref="C26:L26"/>
    <mergeCell ref="C27:L27"/>
    <mergeCell ref="A29:M29"/>
    <mergeCell ref="C43:L43"/>
    <mergeCell ref="A5:A8"/>
    <mergeCell ref="A44:A55"/>
    <mergeCell ref="H5:H8"/>
    <mergeCell ref="I5:I8"/>
    <mergeCell ref="B44:M55"/>
  </mergeCell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"/>
  <sheetViews>
    <sheetView zoomScale="85" zoomScaleNormal="85" topLeftCell="A8" workbookViewId="0">
      <selection activeCell="G18" sqref="G18"/>
    </sheetView>
  </sheetViews>
  <sheetFormatPr defaultColWidth="9" defaultRowHeight="13.5"/>
  <cols>
    <col min="1" max="1" width="7" style="2" customWidth="1"/>
    <col min="2" max="2" width="28.75" style="2" customWidth="1"/>
    <col min="3" max="3" width="9.625" style="3" customWidth="1"/>
    <col min="4" max="4" width="11.375" style="3" customWidth="1"/>
    <col min="5" max="7" width="14" style="2" customWidth="1"/>
    <col min="8" max="8" width="11.125" style="2" customWidth="1"/>
    <col min="9" max="9" width="10.875" style="2" customWidth="1"/>
    <col min="10" max="10" width="30" style="2" customWidth="1"/>
    <col min="11" max="11" width="21.4666666666667" style="2" customWidth="1"/>
    <col min="12" max="12" width="22.3416666666667" style="2" customWidth="1"/>
    <col min="13" max="13" width="25.7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2" customHeight="1" spans="1:13">
      <c r="A1" s="5" t="s">
        <v>83</v>
      </c>
    </row>
    <row r="2" s="1" customFormat="1" ht="25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47" customHeight="1" spans="1:13">
      <c r="A3" s="7">
        <v>1</v>
      </c>
      <c r="B3" s="8" t="s">
        <v>13</v>
      </c>
      <c r="C3" s="9">
        <v>0.5</v>
      </c>
      <c r="D3" s="9">
        <v>0.5</v>
      </c>
      <c r="E3" s="10">
        <f t="shared" ref="E3:E12" si="0">C3+D3</f>
        <v>1</v>
      </c>
      <c r="F3" s="10" t="s">
        <v>14</v>
      </c>
      <c r="G3" s="10">
        <f>2+14.5+12+6+0+0+0+1</f>
        <v>35.5</v>
      </c>
      <c r="H3" s="10">
        <v>294</v>
      </c>
      <c r="I3" s="10">
        <f>H3-G3</f>
        <v>258.5</v>
      </c>
      <c r="J3" s="10"/>
      <c r="K3" s="10"/>
      <c r="L3" s="10"/>
      <c r="M3" s="10">
        <f>I3/22</f>
        <v>11.75</v>
      </c>
    </row>
    <row r="4" s="1" customFormat="1" ht="56" customHeight="1" spans="1:13">
      <c r="A4" s="12">
        <v>2</v>
      </c>
      <c r="B4" s="8" t="s">
        <v>15</v>
      </c>
      <c r="C4" s="9">
        <v>0</v>
      </c>
      <c r="D4" s="9"/>
      <c r="E4" s="10">
        <f t="shared" si="0"/>
        <v>0</v>
      </c>
      <c r="F4" s="10" t="s">
        <v>14</v>
      </c>
      <c r="G4" s="10">
        <f>14+2+14+12+6+0+0+0</f>
        <v>48</v>
      </c>
      <c r="H4" s="13"/>
      <c r="I4" s="13"/>
      <c r="J4" s="10"/>
      <c r="K4" s="10"/>
      <c r="L4" s="10"/>
      <c r="M4" s="10"/>
    </row>
    <row r="5" s="1" customFormat="1" ht="56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</f>
        <v>0</v>
      </c>
      <c r="H5" s="10">
        <v>4346</v>
      </c>
      <c r="I5" s="10">
        <f>H5-G5-G7-G6</f>
        <v>3796</v>
      </c>
      <c r="J5" s="20"/>
      <c r="K5" s="10"/>
      <c r="L5" s="10"/>
      <c r="M5" s="10"/>
    </row>
    <row r="6" s="1" customFormat="1" ht="45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</f>
        <v>0</v>
      </c>
      <c r="H6" s="15"/>
      <c r="I6" s="15"/>
      <c r="J6" s="10"/>
      <c r="K6" s="10"/>
      <c r="L6" s="10"/>
      <c r="M6" s="10"/>
    </row>
    <row r="7" s="1" customFormat="1" ht="45" customHeight="1" spans="1:13">
      <c r="A7" s="15"/>
      <c r="B7" s="8" t="s">
        <v>18</v>
      </c>
      <c r="C7" s="10">
        <v>0</v>
      </c>
      <c r="D7" s="10">
        <v>20</v>
      </c>
      <c r="E7" s="10">
        <f t="shared" si="0"/>
        <v>20</v>
      </c>
      <c r="F7" s="10" t="s">
        <v>14</v>
      </c>
      <c r="G7" s="10">
        <f>206+172+152+0+0+0+0+20</f>
        <v>550</v>
      </c>
      <c r="H7" s="15"/>
      <c r="I7" s="15"/>
      <c r="J7" s="10"/>
      <c r="K7" s="10"/>
      <c r="L7" s="10"/>
      <c r="M7" s="10"/>
    </row>
    <row r="8" s="1" customFormat="1" ht="52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</f>
        <v>0</v>
      </c>
      <c r="H8" s="16"/>
      <c r="I8" s="16"/>
      <c r="J8" s="10"/>
      <c r="K8" s="10"/>
      <c r="L8" s="10"/>
      <c r="M8" s="10"/>
    </row>
    <row r="9" s="1" customFormat="1" ht="35" customHeight="1" spans="1:13">
      <c r="A9" s="12">
        <v>4</v>
      </c>
      <c r="B9" s="17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0+0+39.77+63.15+0+0+0+0</f>
        <v>102.92</v>
      </c>
      <c r="H9" s="13">
        <v>5.42</v>
      </c>
      <c r="I9" s="13">
        <f>H9-K10</f>
        <v>4.526235</v>
      </c>
      <c r="J9" s="18" t="s">
        <v>21</v>
      </c>
      <c r="K9" s="13">
        <v>0</v>
      </c>
      <c r="L9" s="13">
        <v>0</v>
      </c>
      <c r="M9" s="19"/>
    </row>
    <row r="10" s="1" customFormat="1" ht="25" customHeight="1" spans="1:13">
      <c r="A10" s="7">
        <v>5</v>
      </c>
      <c r="B10" s="8" t="s">
        <v>22</v>
      </c>
      <c r="C10" s="10">
        <v>4.698</v>
      </c>
      <c r="D10" s="10">
        <v>0</v>
      </c>
      <c r="E10" s="10">
        <f t="shared" si="0"/>
        <v>4.698</v>
      </c>
      <c r="F10" s="10" t="s">
        <v>14</v>
      </c>
      <c r="G10" s="10">
        <f>5.265+7.938+15.8625+3.8745+0+0+0+4.698</f>
        <v>37.638</v>
      </c>
      <c r="H10" s="10"/>
      <c r="I10" s="10">
        <f>G10/(G3*0.1865)</f>
        <v>5.68485443492051</v>
      </c>
      <c r="J10" s="18" t="s">
        <v>23</v>
      </c>
      <c r="K10" s="20">
        <f>0+0+0.338045+0.55572+0+0+0+0</f>
        <v>0.893765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10.9664</v>
      </c>
      <c r="D11" s="10">
        <v>0</v>
      </c>
      <c r="E11" s="10">
        <f t="shared" si="0"/>
        <v>10.9664</v>
      </c>
      <c r="F11" s="10" t="s">
        <v>14</v>
      </c>
      <c r="G11" s="10">
        <f>8.832+2.8336+13.1376+8.9976+0+0+0+10.9664</f>
        <v>44.7672</v>
      </c>
      <c r="H11" s="10"/>
      <c r="I11" s="10">
        <f>G11/(G3*0.1865)</f>
        <v>6.76165087036967</v>
      </c>
      <c r="J11" s="10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4</v>
      </c>
      <c r="D12" s="10">
        <v>12</v>
      </c>
      <c r="E12" s="10">
        <f t="shared" si="0"/>
        <v>16</v>
      </c>
      <c r="F12" s="10"/>
      <c r="G12" s="10">
        <f>256+501+386+182+0+0+0+16</f>
        <v>1341</v>
      </c>
      <c r="H12" s="10">
        <f>G12*1.05</f>
        <v>1408.05</v>
      </c>
      <c r="I12" s="10"/>
      <c r="J12" s="10"/>
      <c r="K12" s="10"/>
      <c r="L12" s="10"/>
      <c r="M12" s="21"/>
    </row>
    <row r="13" s="1" customFormat="1" ht="30" customHeight="1" spans="1:13">
      <c r="A13" s="7">
        <v>8</v>
      </c>
      <c r="B13" s="8" t="s">
        <v>26</v>
      </c>
      <c r="C13" s="10">
        <v>71</v>
      </c>
      <c r="D13" s="10">
        <v>64</v>
      </c>
      <c r="E13" s="10">
        <f t="shared" ref="E13:E20" si="1">D13+C13</f>
        <v>135</v>
      </c>
      <c r="F13" s="10" t="s">
        <v>27</v>
      </c>
      <c r="G13" s="10">
        <f>142+478+310+96+0+0+0+135</f>
        <v>1161</v>
      </c>
      <c r="H13" s="10"/>
      <c r="I13" s="10"/>
      <c r="J13" s="20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134.47</v>
      </c>
      <c r="D14" s="10">
        <v>487.75</v>
      </c>
      <c r="E14" s="10">
        <f t="shared" si="1"/>
        <v>622.22</v>
      </c>
      <c r="F14" s="10" t="s">
        <v>27</v>
      </c>
      <c r="G14" s="10">
        <f>852.63+765.27+628.63+67.84+0+0+0+622.22</f>
        <v>2936.59</v>
      </c>
      <c r="H14" s="10"/>
      <c r="I14" s="10"/>
      <c r="J14" s="18" t="s">
        <v>29</v>
      </c>
      <c r="K14" s="10">
        <v>3.25</v>
      </c>
      <c r="L14" s="10">
        <v>3.04</v>
      </c>
      <c r="M14" s="10"/>
    </row>
    <row r="15" s="1" customFormat="1" ht="25" customHeight="1" spans="1:13">
      <c r="A15" s="7">
        <v>10</v>
      </c>
      <c r="B15" s="8" t="s">
        <v>30</v>
      </c>
      <c r="C15" s="10">
        <v>0</v>
      </c>
      <c r="D15" s="10">
        <v>0</v>
      </c>
      <c r="E15" s="10">
        <f t="shared" si="1"/>
        <v>0</v>
      </c>
      <c r="F15" s="10" t="s">
        <v>14</v>
      </c>
      <c r="G15" s="10">
        <f>0+0+0+0+0+0+0+0</f>
        <v>0</v>
      </c>
      <c r="H15" s="10"/>
      <c r="I15" s="10"/>
      <c r="J15" s="18" t="s">
        <v>31</v>
      </c>
      <c r="K15" s="20">
        <f>2.4676132+2.4190333+2.1010637+0.22048+0+0+0+1.9197875</f>
        <v>9.1279777</v>
      </c>
      <c r="L15" s="10"/>
      <c r="M15" s="10">
        <f>(C14*K14+L14*D14)/1000</f>
        <v>1.9197875</v>
      </c>
    </row>
    <row r="16" s="1" customFormat="1" ht="25" customHeight="1" spans="1:13">
      <c r="A16" s="7">
        <v>11</v>
      </c>
      <c r="B16" s="8" t="s">
        <v>32</v>
      </c>
      <c r="C16" s="10">
        <v>15</v>
      </c>
      <c r="D16" s="10">
        <v>9</v>
      </c>
      <c r="E16" s="10">
        <f t="shared" si="1"/>
        <v>24</v>
      </c>
      <c r="F16" s="10" t="s">
        <v>14</v>
      </c>
      <c r="G16" s="10">
        <f>6+42+24+0+0+0+0+24</f>
        <v>96</v>
      </c>
      <c r="H16" s="10"/>
      <c r="I16" s="10">
        <f>G16/(G3*0.1865)</f>
        <v>14.4998678397463</v>
      </c>
      <c r="J16" s="10"/>
      <c r="K16" s="10"/>
      <c r="L16" s="10"/>
      <c r="M16" s="22"/>
    </row>
    <row r="17" s="1" customFormat="1" ht="29" customHeight="1" spans="1:13">
      <c r="A17" s="7">
        <v>12</v>
      </c>
      <c r="B17" s="8" t="s">
        <v>33</v>
      </c>
      <c r="C17" s="7">
        <v>0</v>
      </c>
      <c r="D17" s="7">
        <v>0</v>
      </c>
      <c r="E17" s="10">
        <f t="shared" si="1"/>
        <v>0</v>
      </c>
      <c r="F17" s="10" t="s">
        <v>14</v>
      </c>
      <c r="G17" s="10">
        <f>0.1+0+0+0+0+0+0+0</f>
        <v>0.1</v>
      </c>
      <c r="H17" s="22"/>
      <c r="I17" s="22"/>
      <c r="J17" s="22"/>
      <c r="K17" s="22"/>
      <c r="L17" s="22"/>
      <c r="M17" s="10"/>
    </row>
    <row r="18" s="1" customFormat="1" ht="29" customHeight="1" spans="1:13">
      <c r="A18" s="7">
        <v>13</v>
      </c>
      <c r="B18" s="8" t="s">
        <v>34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0+2+0+2+0+0+0+0</f>
        <v>4</v>
      </c>
      <c r="H18" s="22"/>
      <c r="I18" s="22">
        <f>G18/(G3*0.1865)</f>
        <v>0.604161159989427</v>
      </c>
      <c r="J18" s="22"/>
      <c r="K18" s="22"/>
      <c r="L18" s="22"/>
      <c r="M18" s="10"/>
    </row>
    <row r="19" s="1" customFormat="1" ht="29" customHeight="1" spans="1:13">
      <c r="A19" s="7">
        <v>14</v>
      </c>
      <c r="B19" s="8" t="s">
        <v>35</v>
      </c>
      <c r="C19" s="10">
        <v>0</v>
      </c>
      <c r="D19" s="7">
        <v>0</v>
      </c>
      <c r="E19" s="10">
        <f t="shared" si="1"/>
        <v>0</v>
      </c>
      <c r="F19" s="10" t="s">
        <v>14</v>
      </c>
      <c r="G19" s="10">
        <f>0+1.5+0+1.5+0+0+0+0</f>
        <v>3</v>
      </c>
      <c r="H19" s="22"/>
      <c r="I19" s="22">
        <f>G19/(G3*0.1865)</f>
        <v>0.45312086999207</v>
      </c>
      <c r="J19" s="22"/>
      <c r="K19" s="22"/>
      <c r="L19" s="22"/>
      <c r="M19" s="10"/>
    </row>
    <row r="20" s="1" customFormat="1" ht="29" customHeight="1" spans="1:13">
      <c r="A20" s="7">
        <v>15</v>
      </c>
      <c r="B20" s="8" t="s">
        <v>36</v>
      </c>
      <c r="C20" s="10">
        <v>3</v>
      </c>
      <c r="D20" s="7">
        <v>7</v>
      </c>
      <c r="E20" s="10">
        <f t="shared" si="1"/>
        <v>10</v>
      </c>
      <c r="F20" s="10" t="s">
        <v>37</v>
      </c>
      <c r="G20" s="10">
        <f>12+0+9+0+0+0+0+10</f>
        <v>31</v>
      </c>
      <c r="H20" s="22"/>
      <c r="I20" s="22"/>
      <c r="J20" s="22"/>
      <c r="K20" s="22"/>
      <c r="L20" s="22"/>
      <c r="M20" s="10"/>
    </row>
    <row r="21" s="1" customFormat="1" ht="29" customHeight="1" spans="1:13">
      <c r="A21" s="7">
        <v>16</v>
      </c>
      <c r="B21" s="8" t="s">
        <v>38</v>
      </c>
      <c r="C21" s="7">
        <v>0</v>
      </c>
      <c r="D21" s="7">
        <v>0</v>
      </c>
      <c r="E21" s="10">
        <v>0</v>
      </c>
      <c r="F21" s="10" t="s">
        <v>37</v>
      </c>
      <c r="G21" s="10">
        <f>0+0+0+0+0+0+0+0</f>
        <v>0</v>
      </c>
      <c r="H21" s="22"/>
      <c r="I21" s="22"/>
      <c r="J21" s="20"/>
      <c r="K21" s="22"/>
      <c r="L21" s="22"/>
      <c r="M21" s="10"/>
    </row>
    <row r="22" s="1" customFormat="1" ht="29" customHeight="1" spans="1:13">
      <c r="A22" s="7">
        <v>17</v>
      </c>
      <c r="B22" s="8" t="s">
        <v>39</v>
      </c>
      <c r="C22" s="7">
        <v>93</v>
      </c>
      <c r="D22" s="7">
        <v>512</v>
      </c>
      <c r="E22" s="10">
        <f>D22+C22</f>
        <v>605</v>
      </c>
      <c r="F22" s="10" t="s">
        <v>27</v>
      </c>
      <c r="G22" s="10">
        <f>1304+1347+838+28+0+0+0+605</f>
        <v>4122</v>
      </c>
      <c r="H22" s="23"/>
      <c r="I22" s="10">
        <f>E22/M22</f>
        <v>67.2222222222222</v>
      </c>
      <c r="J22" s="41" t="s">
        <v>40</v>
      </c>
      <c r="K22" s="10">
        <f>23.5+24+13.5+0+0+0+0+9</f>
        <v>70</v>
      </c>
      <c r="L22" s="10">
        <f>G22/K22</f>
        <v>58.8857142857143</v>
      </c>
      <c r="M22" s="10">
        <v>9</v>
      </c>
    </row>
    <row r="23" s="1" customFormat="1" ht="29" customHeight="1" spans="1:13">
      <c r="A23" s="7">
        <v>18</v>
      </c>
      <c r="B23" s="8" t="s">
        <v>41</v>
      </c>
      <c r="C23" s="7">
        <v>306</v>
      </c>
      <c r="D23" s="7">
        <v>468</v>
      </c>
      <c r="E23" s="10">
        <f>D23+C23</f>
        <v>774</v>
      </c>
      <c r="F23" s="10" t="s">
        <v>27</v>
      </c>
      <c r="G23" s="10">
        <f>1466+1706+934+1+0+0+0+774</f>
        <v>4881</v>
      </c>
      <c r="H23" s="22"/>
      <c r="I23" s="10">
        <f>E23/M22</f>
        <v>86</v>
      </c>
      <c r="J23" s="22"/>
      <c r="K23" s="22"/>
      <c r="L23" s="22"/>
      <c r="M23" s="10"/>
    </row>
    <row r="24" s="1" customFormat="1" ht="29" customHeight="1" spans="1:13">
      <c r="A24" s="7">
        <v>19</v>
      </c>
      <c r="B24" s="8" t="s">
        <v>42</v>
      </c>
      <c r="C24" s="7">
        <v>0</v>
      </c>
      <c r="D24" s="7">
        <v>0</v>
      </c>
      <c r="E24" s="10"/>
      <c r="F24" s="10" t="s">
        <v>43</v>
      </c>
      <c r="G24" s="10"/>
      <c r="H24" s="22"/>
      <c r="I24" s="22"/>
      <c r="J24" s="22"/>
      <c r="K24" s="22"/>
      <c r="L24" s="22"/>
      <c r="M24" s="10"/>
    </row>
    <row r="25" s="1" customFormat="1" ht="149" customHeight="1" spans="1:13">
      <c r="A25" s="7">
        <v>20</v>
      </c>
      <c r="B25" s="26" t="s">
        <v>44</v>
      </c>
      <c r="C25" s="27"/>
      <c r="D25" s="28"/>
      <c r="E25" s="28"/>
      <c r="F25" s="28"/>
      <c r="G25" s="28"/>
      <c r="H25" s="28"/>
      <c r="I25" s="28"/>
      <c r="J25" s="28"/>
      <c r="K25" s="28"/>
      <c r="L25" s="29"/>
      <c r="M25" s="27"/>
    </row>
    <row r="26" s="1" customFormat="1" ht="130" customHeight="1" spans="1:13">
      <c r="A26" s="7">
        <v>21</v>
      </c>
      <c r="B26" s="31" t="s">
        <v>46</v>
      </c>
      <c r="C26" s="27" t="s">
        <v>84</v>
      </c>
      <c r="D26" s="28"/>
      <c r="E26" s="28"/>
      <c r="F26" s="28"/>
      <c r="G26" s="28"/>
      <c r="H26" s="28"/>
      <c r="I26" s="28"/>
      <c r="J26" s="28"/>
      <c r="K26" s="28"/>
      <c r="L26" s="29"/>
      <c r="M26" s="31"/>
    </row>
    <row r="27" s="1" customFormat="1" ht="130" customHeight="1" spans="1:13">
      <c r="A27" s="7">
        <v>22</v>
      </c>
      <c r="B27" s="31" t="s">
        <v>48</v>
      </c>
      <c r="C27" s="42" t="s">
        <v>49</v>
      </c>
      <c r="D27" s="28"/>
      <c r="E27" s="28"/>
      <c r="F27" s="28"/>
      <c r="G27" s="28"/>
      <c r="H27" s="28"/>
      <c r="I27" s="28"/>
      <c r="J27" s="28"/>
      <c r="K27" s="28"/>
      <c r="L27" s="29"/>
      <c r="M27" s="31"/>
    </row>
    <row r="28" s="1" customFormat="1" ht="14" customHeight="1" spans="1:13">
      <c r="C28" s="33"/>
      <c r="D28" s="33"/>
    </row>
    <row r="29" s="1" customFormat="1" ht="25" customHeight="1" spans="1:13">
      <c r="A29" s="5" t="s">
        <v>85</v>
      </c>
    </row>
    <row r="30" s="1" customFormat="1" ht="25" customHeight="1" spans="1:13">
      <c r="A30" s="6" t="s">
        <v>51</v>
      </c>
      <c r="B30" s="6" t="s">
        <v>52</v>
      </c>
      <c r="C30" s="6" t="s">
        <v>2</v>
      </c>
      <c r="D30" s="6" t="s">
        <v>3</v>
      </c>
      <c r="E30" s="6" t="s">
        <v>4</v>
      </c>
      <c r="F30" s="6" t="s">
        <v>5</v>
      </c>
      <c r="G30" s="6" t="s">
        <v>6</v>
      </c>
      <c r="H30" s="6" t="s">
        <v>7</v>
      </c>
      <c r="I30" s="6" t="s">
        <v>8</v>
      </c>
      <c r="J30" s="6" t="s">
        <v>9</v>
      </c>
      <c r="K30" s="6" t="s">
        <v>10</v>
      </c>
      <c r="L30" s="6" t="s">
        <v>11</v>
      </c>
      <c r="M30" s="6" t="s">
        <v>12</v>
      </c>
    </row>
    <row r="31" s="1" customFormat="1" ht="25" customHeight="1" spans="1:13">
      <c r="A31" s="7">
        <v>1</v>
      </c>
      <c r="B31" s="8" t="s">
        <v>53</v>
      </c>
      <c r="C31" s="10">
        <v>0</v>
      </c>
      <c r="D31" s="10">
        <v>0</v>
      </c>
      <c r="E31" s="10">
        <f t="shared" ref="E31:E39" si="2">D31+C31</f>
        <v>0</v>
      </c>
      <c r="F31" s="10" t="s">
        <v>27</v>
      </c>
      <c r="G31" s="10">
        <f>0+0+0+0+0+0+0+0</f>
        <v>0</v>
      </c>
      <c r="H31" s="10"/>
      <c r="I31" s="10"/>
      <c r="J31" s="22"/>
      <c r="K31" s="22"/>
      <c r="L31" s="22"/>
      <c r="M31" s="10"/>
    </row>
    <row r="32" s="1" customFormat="1" ht="25" customHeight="1" spans="1:13">
      <c r="A32" s="7">
        <v>2</v>
      </c>
      <c r="B32" s="8" t="s">
        <v>54</v>
      </c>
      <c r="C32" s="10">
        <v>0</v>
      </c>
      <c r="D32" s="10">
        <v>0</v>
      </c>
      <c r="E32" s="10">
        <f t="shared" si="2"/>
        <v>0</v>
      </c>
      <c r="F32" s="10" t="s">
        <v>27</v>
      </c>
      <c r="G32" s="10">
        <f>16.54+16.48+16.51+8.25+0+0+0+0</f>
        <v>57.78</v>
      </c>
      <c r="H32" s="10"/>
      <c r="I32" s="10"/>
      <c r="J32" s="22"/>
      <c r="K32" s="22"/>
      <c r="L32" s="22"/>
      <c r="M32" s="21"/>
    </row>
    <row r="33" s="1" customFormat="1" ht="25" customHeight="1" spans="1:13">
      <c r="A33" s="7">
        <v>3</v>
      </c>
      <c r="B33" s="8" t="s">
        <v>55</v>
      </c>
      <c r="C33" s="10">
        <v>65</v>
      </c>
      <c r="D33" s="10">
        <v>11</v>
      </c>
      <c r="E33" s="10">
        <f t="shared" si="2"/>
        <v>76</v>
      </c>
      <c r="F33" s="10" t="s">
        <v>27</v>
      </c>
      <c r="G33" s="10">
        <f>27+20+43+14+0+0+0+76</f>
        <v>180</v>
      </c>
      <c r="H33" s="10"/>
      <c r="I33" s="10"/>
      <c r="J33" s="22"/>
      <c r="K33" s="22"/>
      <c r="L33" s="22"/>
      <c r="M33" s="21"/>
    </row>
    <row r="34" s="1" customFormat="1" ht="25" customHeight="1" spans="1:13">
      <c r="A34" s="7">
        <v>4</v>
      </c>
      <c r="B34" s="8" t="s">
        <v>56</v>
      </c>
      <c r="C34" s="10">
        <v>0</v>
      </c>
      <c r="D34" s="10">
        <v>0</v>
      </c>
      <c r="E34" s="10">
        <f t="shared" si="2"/>
        <v>0</v>
      </c>
      <c r="F34" s="10" t="s">
        <v>27</v>
      </c>
      <c r="G34" s="10">
        <f>0+0+0+0+0+0+0+0</f>
        <v>0</v>
      </c>
      <c r="H34" s="10"/>
      <c r="I34" s="10"/>
      <c r="J34" s="22"/>
      <c r="K34" s="22"/>
      <c r="L34" s="22"/>
      <c r="M34" s="21"/>
    </row>
    <row r="35" s="1" customFormat="1" ht="25" customHeight="1" spans="1:13">
      <c r="A35" s="7">
        <v>5</v>
      </c>
      <c r="B35" s="8" t="s">
        <v>22</v>
      </c>
      <c r="C35" s="10">
        <v>0</v>
      </c>
      <c r="D35" s="10">
        <v>0</v>
      </c>
      <c r="E35" s="10">
        <f t="shared" si="2"/>
        <v>0</v>
      </c>
      <c r="F35" s="10" t="s">
        <v>14</v>
      </c>
      <c r="G35" s="10">
        <f>0+10.3545+7.7625+8.154+0+0+0+0</f>
        <v>26.271</v>
      </c>
      <c r="H35" s="10"/>
      <c r="J35" s="22"/>
      <c r="K35" s="22"/>
      <c r="L35" s="22"/>
      <c r="M35" s="22"/>
    </row>
    <row r="36" s="1" customFormat="1" ht="25" customHeight="1" spans="1:13">
      <c r="A36" s="7">
        <v>6</v>
      </c>
      <c r="B36" s="8" t="s">
        <v>24</v>
      </c>
      <c r="C36" s="10">
        <v>0</v>
      </c>
      <c r="D36" s="10">
        <v>0</v>
      </c>
      <c r="E36" s="10">
        <f t="shared" si="2"/>
        <v>0</v>
      </c>
      <c r="F36" s="10" t="s">
        <v>14</v>
      </c>
      <c r="G36" s="10">
        <f>0+0+0+0+0+0+0+0</f>
        <v>0</v>
      </c>
      <c r="H36" s="10"/>
      <c r="I36" s="10"/>
      <c r="J36" s="20"/>
      <c r="K36" s="22"/>
      <c r="L36" s="22"/>
      <c r="M36" s="22"/>
    </row>
    <row r="37" s="1" customFormat="1" ht="25" customHeight="1" spans="1:13">
      <c r="A37" s="7">
        <v>7</v>
      </c>
      <c r="B37" s="8" t="s">
        <v>57</v>
      </c>
      <c r="C37" s="10">
        <v>19</v>
      </c>
      <c r="D37" s="10">
        <v>0</v>
      </c>
      <c r="E37" s="10">
        <f t="shared" si="2"/>
        <v>19</v>
      </c>
      <c r="F37" s="10" t="s">
        <v>27</v>
      </c>
      <c r="G37" s="10">
        <f>0+6+0+0+0+0+0+19</f>
        <v>25</v>
      </c>
      <c r="H37" s="10"/>
      <c r="I37" s="10"/>
      <c r="J37" s="39"/>
      <c r="K37" s="22"/>
      <c r="L37" s="10"/>
      <c r="M37" s="22"/>
    </row>
    <row r="38" s="1" customFormat="1" ht="27" customHeight="1" spans="1:13">
      <c r="A38" s="7">
        <v>8</v>
      </c>
      <c r="B38" s="8" t="s">
        <v>58</v>
      </c>
      <c r="C38" s="10">
        <v>294</v>
      </c>
      <c r="D38" s="10">
        <v>295</v>
      </c>
      <c r="E38" s="10">
        <f t="shared" si="2"/>
        <v>589</v>
      </c>
      <c r="F38" s="10" t="s">
        <v>27</v>
      </c>
      <c r="G38" s="10">
        <f>599+599+554+284+0+0+0+589</f>
        <v>2625</v>
      </c>
      <c r="H38" s="10"/>
      <c r="I38" s="10"/>
      <c r="J38" s="43"/>
      <c r="K38" s="22"/>
      <c r="L38" s="10"/>
      <c r="M38" s="22"/>
    </row>
    <row r="39" s="1" customFormat="1" ht="25" customHeight="1" spans="1:13">
      <c r="A39" s="7">
        <v>9</v>
      </c>
      <c r="B39" s="8" t="s">
        <v>59</v>
      </c>
      <c r="C39" s="10">
        <v>0</v>
      </c>
      <c r="D39" s="10">
        <v>0</v>
      </c>
      <c r="E39" s="44">
        <f t="shared" si="2"/>
        <v>0</v>
      </c>
      <c r="F39" s="10" t="s">
        <v>27</v>
      </c>
      <c r="G39" s="10">
        <f>0+0+0+0+0+0+0+0</f>
        <v>0</v>
      </c>
      <c r="H39" s="10"/>
      <c r="I39" s="10"/>
      <c r="J39" s="43"/>
      <c r="K39" s="45"/>
      <c r="L39" s="10"/>
      <c r="M39" s="22"/>
    </row>
    <row r="40" s="1" customFormat="1" ht="25" customHeight="1" spans="1:13">
      <c r="A40" s="7">
        <v>10</v>
      </c>
      <c r="B40" s="8" t="s">
        <v>60</v>
      </c>
      <c r="C40" s="10">
        <v>0</v>
      </c>
      <c r="D40" s="10">
        <v>0</v>
      </c>
      <c r="E40" s="10">
        <f>C40+D40</f>
        <v>0</v>
      </c>
      <c r="F40" s="10" t="s">
        <v>27</v>
      </c>
      <c r="G40" s="10">
        <f>0+0+0+0+0+0+0+0</f>
        <v>0</v>
      </c>
      <c r="H40" s="22"/>
      <c r="I40" s="7">
        <v>30</v>
      </c>
      <c r="J40" s="20"/>
      <c r="K40" s="37"/>
      <c r="L40" s="27"/>
      <c r="M40" s="38"/>
    </row>
    <row r="41" s="1" customFormat="1" ht="25" customHeight="1" spans="1:13">
      <c r="A41" s="7">
        <v>11</v>
      </c>
      <c r="B41" s="8" t="s">
        <v>61</v>
      </c>
      <c r="C41" s="10">
        <v>0</v>
      </c>
      <c r="D41" s="10">
        <v>0</v>
      </c>
      <c r="E41" s="10">
        <f>C41+D41</f>
        <v>0</v>
      </c>
      <c r="F41" s="10" t="s">
        <v>27</v>
      </c>
      <c r="G41" s="10">
        <f>0+0+0+0+0+0+0+0</f>
        <v>0</v>
      </c>
      <c r="H41" s="22"/>
      <c r="I41" s="7">
        <v>118.1296</v>
      </c>
      <c r="J41" s="27"/>
      <c r="K41" s="37"/>
      <c r="L41" s="27"/>
      <c r="M41" s="38"/>
    </row>
    <row r="42" s="1" customFormat="1" ht="25" customHeight="1" spans="1:13">
      <c r="A42" s="7">
        <v>12</v>
      </c>
      <c r="B42" s="8" t="s">
        <v>62</v>
      </c>
      <c r="C42" s="7">
        <v>0</v>
      </c>
      <c r="D42" s="7">
        <v>0</v>
      </c>
      <c r="E42" s="10">
        <f>D42+C42</f>
        <v>0</v>
      </c>
      <c r="F42" s="10" t="s">
        <v>37</v>
      </c>
      <c r="G42" s="10">
        <f>2+3+3+2+0+0+0+0</f>
        <v>10</v>
      </c>
      <c r="H42" s="22"/>
      <c r="I42" s="10">
        <v>10</v>
      </c>
      <c r="J42" s="27"/>
      <c r="K42" s="27"/>
      <c r="L42" s="27"/>
      <c r="M42" s="38"/>
    </row>
    <row r="43" s="1" customFormat="1" ht="78" customHeight="1" spans="1:13">
      <c r="A43" s="7">
        <v>13</v>
      </c>
      <c r="B43" s="46" t="s">
        <v>48</v>
      </c>
      <c r="C43" s="47" t="s">
        <v>63</v>
      </c>
      <c r="D43" s="48"/>
      <c r="E43" s="48"/>
      <c r="F43" s="48"/>
      <c r="G43" s="48"/>
      <c r="H43" s="48"/>
      <c r="I43" s="48"/>
      <c r="J43" s="48"/>
      <c r="K43" s="48"/>
      <c r="L43" s="49"/>
      <c r="M43" s="50"/>
    </row>
    <row r="44" s="1" customFormat="1" spans="1:13">
      <c r="A44" s="38" t="s">
        <v>64</v>
      </c>
      <c r="B44" s="40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9"/>
    </row>
    <row r="45" s="1" customFormat="1" spans="1:13">
      <c r="A45" s="15"/>
      <c r="B45" s="51"/>
      <c r="M45" s="52"/>
    </row>
    <row r="46" s="1" customFormat="1" spans="1:13">
      <c r="A46" s="15"/>
      <c r="B46" s="51"/>
      <c r="M46" s="52"/>
    </row>
    <row r="47" s="1" customFormat="1" spans="1:13">
      <c r="A47" s="15"/>
      <c r="B47" s="51"/>
      <c r="M47" s="52"/>
    </row>
    <row r="48" s="1" customFormat="1" spans="1:13">
      <c r="A48" s="15"/>
      <c r="B48" s="51"/>
      <c r="M48" s="52"/>
    </row>
    <row r="49" s="1" customFormat="1" spans="1:13">
      <c r="A49" s="15"/>
      <c r="B49" s="51"/>
      <c r="M49" s="52"/>
    </row>
    <row r="50" s="1" customFormat="1" spans="1:13">
      <c r="A50" s="15"/>
      <c r="B50" s="51"/>
      <c r="M50" s="52"/>
    </row>
    <row r="51" s="1" customFormat="1" spans="1:13">
      <c r="A51" s="15"/>
      <c r="B51" s="51"/>
      <c r="M51" s="52"/>
    </row>
    <row r="52" s="1" customFormat="1" ht="12" customHeight="1" spans="1:13">
      <c r="A52" s="15"/>
      <c r="B52" s="51"/>
      <c r="M52" s="52"/>
    </row>
    <row r="53" s="1" customFormat="1" hidden="1" spans="1:13">
      <c r="A53" s="15"/>
      <c r="B53" s="51"/>
      <c r="M53" s="52"/>
    </row>
    <row r="54" s="1" customFormat="1" hidden="1" spans="1:13">
      <c r="A54" s="15"/>
      <c r="B54" s="51"/>
      <c r="M54" s="52"/>
    </row>
    <row r="55" spans="1:13">
      <c r="A55" s="16"/>
      <c r="B55" s="53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5"/>
    </row>
    <row r="63" s="1" customFormat="1" spans="1:13">
      <c r="C63" s="33"/>
      <c r="D63" s="33"/>
    </row>
    <row r="64" spans="1:13">
      <c r="L64" s="1"/>
    </row>
  </sheetData>
  <mergeCells count="11">
    <mergeCell ref="A1:M1"/>
    <mergeCell ref="C25:L25"/>
    <mergeCell ref="C26:L26"/>
    <mergeCell ref="C27:L27"/>
    <mergeCell ref="A29:M29"/>
    <mergeCell ref="C43:L43"/>
    <mergeCell ref="A5:A8"/>
    <mergeCell ref="A44:A55"/>
    <mergeCell ref="H5:H8"/>
    <mergeCell ref="I5:I8"/>
    <mergeCell ref="B44:M55"/>
  </mergeCell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G17" sqref="G17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86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0.5</v>
      </c>
      <c r="D3" s="9">
        <v>10</v>
      </c>
      <c r="E3" s="10">
        <f t="shared" ref="E3:E12" si="0">C3+D3</f>
        <v>10.5</v>
      </c>
      <c r="F3" s="10" t="s">
        <v>14</v>
      </c>
      <c r="G3" s="10">
        <f>2+14.5+12+6+0+0+0+1+10.5</f>
        <v>46</v>
      </c>
      <c r="H3" s="10">
        <v>294</v>
      </c>
      <c r="I3" s="10">
        <f>H3-G3</f>
        <v>248</v>
      </c>
      <c r="J3" s="11"/>
      <c r="K3" s="10"/>
      <c r="L3" s="10"/>
      <c r="M3" s="10">
        <f>I3/21</f>
        <v>11.8095238095238</v>
      </c>
    </row>
    <row r="4" s="1" customFormat="1" ht="38" customHeight="1" spans="1:13">
      <c r="A4" s="12">
        <v>2</v>
      </c>
      <c r="B4" s="8" t="s">
        <v>15</v>
      </c>
      <c r="C4" s="9">
        <v>0</v>
      </c>
      <c r="D4" s="9"/>
      <c r="E4" s="10">
        <f t="shared" si="0"/>
        <v>0</v>
      </c>
      <c r="F4" s="10" t="s">
        <v>14</v>
      </c>
      <c r="G4" s="10">
        <f>14+2+14+12+6+0+0+0+0</f>
        <v>48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16</v>
      </c>
      <c r="C5" s="10">
        <v>0</v>
      </c>
      <c r="D5" s="10">
        <v>0</v>
      </c>
      <c r="E5" s="10">
        <f t="shared" si="0"/>
        <v>0</v>
      </c>
      <c r="F5" s="10" t="s">
        <v>14</v>
      </c>
      <c r="G5" s="10">
        <f>0+0+0+0+0+0+0+0+0</f>
        <v>0</v>
      </c>
      <c r="H5" s="10">
        <v>4346</v>
      </c>
      <c r="I5" s="10">
        <f>H5-G5-G7-G6</f>
        <v>3577</v>
      </c>
      <c r="J5" s="14"/>
      <c r="K5" s="10"/>
      <c r="L5" s="10"/>
      <c r="M5" s="10"/>
    </row>
    <row r="6" s="1" customFormat="1" ht="38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3">
      <c r="A7" s="15"/>
      <c r="B7" s="8" t="s">
        <v>18</v>
      </c>
      <c r="C7" s="10">
        <v>115</v>
      </c>
      <c r="D7" s="10">
        <v>104</v>
      </c>
      <c r="E7" s="10">
        <f t="shared" si="0"/>
        <v>219</v>
      </c>
      <c r="F7" s="10" t="s">
        <v>14</v>
      </c>
      <c r="G7" s="10">
        <f>206+172+152+0+0+0+0+20+219</f>
        <v>769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</f>
        <v>0</v>
      </c>
      <c r="H8" s="16"/>
      <c r="I8" s="16"/>
      <c r="J8" s="11"/>
      <c r="K8" s="10"/>
      <c r="L8" s="10"/>
      <c r="M8" s="10"/>
    </row>
    <row r="9" s="1" customFormat="1" ht="25" customHeight="1" spans="1:13">
      <c r="A9" s="12">
        <v>4</v>
      </c>
      <c r="B9" s="17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0+0+39.77+63.15+0+0+0+0+0</f>
        <v>102.92</v>
      </c>
      <c r="H9" s="13">
        <v>5.42</v>
      </c>
      <c r="I9" s="13">
        <f>H9-K10</f>
        <v>4.526235</v>
      </c>
      <c r="J9" s="18" t="s">
        <v>21</v>
      </c>
      <c r="K9" s="13">
        <v>0</v>
      </c>
      <c r="L9" s="13">
        <v>0</v>
      </c>
      <c r="M9" s="19"/>
    </row>
    <row r="10" s="1" customFormat="1" ht="25" customHeight="1" spans="1:13">
      <c r="A10" s="7">
        <v>5</v>
      </c>
      <c r="B10" s="8" t="s">
        <v>22</v>
      </c>
      <c r="C10" s="10">
        <v>9.4365</v>
      </c>
      <c r="D10" s="10">
        <v>4.9545</v>
      </c>
      <c r="E10" s="10">
        <f t="shared" si="0"/>
        <v>14.391</v>
      </c>
      <c r="F10" s="10" t="s">
        <v>14</v>
      </c>
      <c r="G10" s="10">
        <f>5.265+7.938+15.8625+3.8745+0+0+0+4.698+14.391</f>
        <v>52.029</v>
      </c>
      <c r="H10" s="10"/>
      <c r="I10" s="10">
        <f>G10/(G3*0.1865)</f>
        <v>6.06469285464506</v>
      </c>
      <c r="J10" s="18" t="s">
        <v>23</v>
      </c>
      <c r="K10" s="20">
        <f>0+0+0.338045+0.55572+0+0+0+0+0</f>
        <v>0.893765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15.548</v>
      </c>
      <c r="D11" s="10">
        <v>0</v>
      </c>
      <c r="E11" s="10">
        <f t="shared" si="0"/>
        <v>15.548</v>
      </c>
      <c r="F11" s="10" t="s">
        <v>14</v>
      </c>
      <c r="G11" s="10">
        <f>8.832+2.8336+13.1376+8.9976+0+0+0+10.9664+15.548</f>
        <v>60.3152</v>
      </c>
      <c r="H11" s="10"/>
      <c r="I11" s="10">
        <f>G11/(G3*0.1865)</f>
        <v>7.03056300268097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174</v>
      </c>
      <c r="D12" s="10">
        <v>175</v>
      </c>
      <c r="E12" s="10">
        <f t="shared" si="0"/>
        <v>349</v>
      </c>
      <c r="F12" s="10"/>
      <c r="G12" s="10">
        <f>256+501+386+182+0+0+0+16+349</f>
        <v>1690</v>
      </c>
      <c r="H12" s="10">
        <f>G12*1.05</f>
        <v>1774.5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82</v>
      </c>
      <c r="D13" s="10">
        <v>194</v>
      </c>
      <c r="E13" s="10">
        <f t="shared" ref="E13:E21" si="1">D13+C13</f>
        <v>276</v>
      </c>
      <c r="F13" s="10" t="s">
        <v>27</v>
      </c>
      <c r="G13" s="10">
        <f>142+478+310+96+0+0+0+135+276</f>
        <v>1437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412.22</v>
      </c>
      <c r="D14" s="10">
        <v>244.32</v>
      </c>
      <c r="E14" s="10">
        <f t="shared" si="1"/>
        <v>656.54</v>
      </c>
      <c r="F14" s="10" t="s">
        <v>27</v>
      </c>
      <c r="G14" s="10">
        <f>852.63+765.27+628.63+67.84+0+0+0+622.22+656.54</f>
        <v>3593.13</v>
      </c>
      <c r="H14" s="10"/>
      <c r="I14" s="10"/>
      <c r="J14" s="18" t="s">
        <v>29</v>
      </c>
      <c r="K14" s="10">
        <v>3.04</v>
      </c>
      <c r="L14" s="10">
        <v>2.79</v>
      </c>
      <c r="M14" s="10"/>
    </row>
    <row r="15" s="1" customFormat="1" ht="25" customHeight="1" spans="1:13">
      <c r="A15" s="7">
        <v>10</v>
      </c>
      <c r="B15" s="8" t="s">
        <v>32</v>
      </c>
      <c r="C15" s="10">
        <v>3</v>
      </c>
      <c r="D15" s="10">
        <v>15</v>
      </c>
      <c r="E15" s="10">
        <f t="shared" si="1"/>
        <v>18</v>
      </c>
      <c r="F15" s="10" t="s">
        <v>14</v>
      </c>
      <c r="G15" s="10">
        <f>6+42+24+0+0+0+0+24+18</f>
        <v>114</v>
      </c>
      <c r="H15" s="10"/>
      <c r="I15" s="10">
        <f>G15/(G3*0.1865)</f>
        <v>13.2882620352022</v>
      </c>
      <c r="J15" s="18" t="s">
        <v>31</v>
      </c>
      <c r="K15" s="20">
        <f>2.4676132+2.4190333+2.1010637+0.22048+0+0+0+1.9197875+1.9348016</f>
        <v>11.0627793</v>
      </c>
      <c r="L15" s="10"/>
      <c r="M15" s="10">
        <f>(C14*K14+L14*D14)/1000</f>
        <v>1.9348016</v>
      </c>
    </row>
    <row r="16" s="1" customFormat="1" ht="25" customHeight="1" spans="1:13">
      <c r="A16" s="7">
        <v>11</v>
      </c>
      <c r="B16" s="8" t="s">
        <v>33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0.1+0+0+0+0+0+0+0+0</f>
        <v>0.1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34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0+2+0+2+0+0+0+0+2</f>
        <v>6</v>
      </c>
      <c r="H17" s="22"/>
      <c r="I17" s="22">
        <f>G17/(G3*0.1865)</f>
        <v>0.699382212379065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35</v>
      </c>
      <c r="C18" s="10">
        <v>1.5</v>
      </c>
      <c r="D18" s="7">
        <v>0</v>
      </c>
      <c r="E18" s="10">
        <f t="shared" si="1"/>
        <v>1.5</v>
      </c>
      <c r="F18" s="10" t="s">
        <v>14</v>
      </c>
      <c r="G18" s="10">
        <f>0+1.5+0+1.5+0+0+0+0+1.5</f>
        <v>4.5</v>
      </c>
      <c r="H18" s="22"/>
      <c r="I18" s="22">
        <f>G18/(G3*0.1865)</f>
        <v>0.524536659284299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36</v>
      </c>
      <c r="C19" s="10">
        <v>5</v>
      </c>
      <c r="D19" s="7">
        <v>0</v>
      </c>
      <c r="E19" s="10">
        <f t="shared" si="1"/>
        <v>5</v>
      </c>
      <c r="F19" s="10" t="s">
        <v>37</v>
      </c>
      <c r="G19" s="10">
        <f>12+0+9+0+0+0+0+10+5</f>
        <v>36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39</v>
      </c>
      <c r="C20" s="7">
        <v>647</v>
      </c>
      <c r="D20" s="7">
        <v>720</v>
      </c>
      <c r="E20" s="10">
        <f t="shared" si="1"/>
        <v>1367</v>
      </c>
      <c r="F20" s="10" t="s">
        <v>27</v>
      </c>
      <c r="G20" s="10">
        <f>1304+1347+838+28+0+0+0+605+1367</f>
        <v>5489</v>
      </c>
      <c r="H20" s="23"/>
      <c r="I20" s="10">
        <f>E20/M20</f>
        <v>56.9583333333333</v>
      </c>
      <c r="J20" s="18" t="s">
        <v>87</v>
      </c>
      <c r="K20" s="10">
        <f>23.5+24+13.5+0+0+0+0+9+24</f>
        <v>94</v>
      </c>
      <c r="L20" s="10">
        <f>G20/K20</f>
        <v>58.3936170212766</v>
      </c>
      <c r="M20" s="10">
        <v>24</v>
      </c>
    </row>
    <row r="21" s="1" customFormat="1" ht="25" customHeight="1" spans="1:13">
      <c r="A21" s="12">
        <v>16</v>
      </c>
      <c r="B21" s="8" t="s">
        <v>41</v>
      </c>
      <c r="C21" s="7">
        <v>758</v>
      </c>
      <c r="D21" s="7">
        <v>848</v>
      </c>
      <c r="E21" s="10">
        <f t="shared" si="1"/>
        <v>1606</v>
      </c>
      <c r="F21" s="10" t="s">
        <v>27</v>
      </c>
      <c r="G21" s="10">
        <f>1466+1706+934+1+0+0+0+774+1606</f>
        <v>6487</v>
      </c>
      <c r="H21" s="22"/>
      <c r="I21" s="10">
        <f>E21/M20</f>
        <v>66.9166666666667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42</v>
      </c>
      <c r="C22" s="12">
        <v>24.34</v>
      </c>
      <c r="D22" s="12">
        <v>29.7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44</v>
      </c>
      <c r="C23" s="40"/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3">
      <c r="A24" s="7">
        <v>19</v>
      </c>
      <c r="B24" s="31" t="s">
        <v>46</v>
      </c>
      <c r="C24" s="27" t="s">
        <v>88</v>
      </c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3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89</v>
      </c>
    </row>
    <row r="28" s="1" customFormat="1" ht="30" customHeight="1" spans="1:13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54</v>
      </c>
      <c r="C30" s="10">
        <v>0</v>
      </c>
      <c r="D30" s="10">
        <v>0</v>
      </c>
      <c r="E30" s="10">
        <f t="shared" si="2"/>
        <v>0</v>
      </c>
      <c r="F30" s="10" t="s">
        <v>27</v>
      </c>
      <c r="G30" s="10">
        <f>16.54+16.48+16.51+8.25+0+0+0+0+0</f>
        <v>57.78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55</v>
      </c>
      <c r="C31" s="10">
        <v>16</v>
      </c>
      <c r="D31" s="10">
        <v>9</v>
      </c>
      <c r="E31" s="10">
        <f t="shared" si="2"/>
        <v>25</v>
      </c>
      <c r="F31" s="10" t="s">
        <v>27</v>
      </c>
      <c r="G31" s="10">
        <f>27+20+43+14+0+0+0+76+25</f>
        <v>205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0+10.3545+7.7625+8.154+0+0+0+0+0</f>
        <v>26.271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2</v>
      </c>
      <c r="D34" s="10">
        <v>0</v>
      </c>
      <c r="E34" s="10">
        <f t="shared" si="2"/>
        <v>2</v>
      </c>
      <c r="F34" s="10" t="s">
        <v>27</v>
      </c>
      <c r="G34" s="10">
        <f>0+6+0+0+0+0+0+19+2</f>
        <v>27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311</v>
      </c>
      <c r="D35" s="10">
        <v>316</v>
      </c>
      <c r="E35" s="10">
        <f t="shared" si="2"/>
        <v>627</v>
      </c>
      <c r="F35" s="10" t="s">
        <v>27</v>
      </c>
      <c r="G35" s="10">
        <f>599+599+554+284+0+0+0+589+627</f>
        <v>3252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</f>
        <v>0</v>
      </c>
      <c r="H36" s="22"/>
      <c r="I36" s="7">
        <v>360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</f>
        <v>0</v>
      </c>
      <c r="H37" s="22"/>
      <c r="I37" s="7">
        <v>105.1006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0</v>
      </c>
      <c r="D38" s="7">
        <v>0</v>
      </c>
      <c r="E38" s="10">
        <f>D38+C38</f>
        <v>0</v>
      </c>
      <c r="F38" s="10" t="s">
        <v>37</v>
      </c>
      <c r="G38" s="10">
        <f>2+3+3+2+0+0+0+0+0</f>
        <v>10</v>
      </c>
      <c r="H38" s="22"/>
      <c r="I38" s="10">
        <v>10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G16" sqref="G16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90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7</v>
      </c>
      <c r="D3" s="9">
        <v>6</v>
      </c>
      <c r="E3" s="10">
        <f t="shared" ref="E3:E12" si="0">C3+D3</f>
        <v>13</v>
      </c>
      <c r="F3" s="10" t="s">
        <v>14</v>
      </c>
      <c r="G3" s="10">
        <f>2+14.5+12+6+0+0+0+1+10.5+13</f>
        <v>59</v>
      </c>
      <c r="H3" s="10">
        <v>294</v>
      </c>
      <c r="I3" s="10">
        <f>H3-G3</f>
        <v>235</v>
      </c>
      <c r="J3" s="11"/>
      <c r="K3" s="10"/>
      <c r="L3" s="10"/>
      <c r="M3" s="10">
        <f>I3/20</f>
        <v>11.75</v>
      </c>
    </row>
    <row r="4" s="1" customFormat="1" ht="38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14+2+14+12+6+0+0+0+0+12</f>
        <v>60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16</v>
      </c>
      <c r="C5" s="10">
        <v>16</v>
      </c>
      <c r="D5" s="10">
        <v>26</v>
      </c>
      <c r="E5" s="10">
        <f t="shared" si="0"/>
        <v>42</v>
      </c>
      <c r="F5" s="10" t="s">
        <v>14</v>
      </c>
      <c r="G5" s="10">
        <f>0+0+0+0+0+0+0+0+0+42</f>
        <v>42</v>
      </c>
      <c r="H5" s="10">
        <v>4346</v>
      </c>
      <c r="I5" s="10">
        <f>H5-G5-G7-G6</f>
        <v>3455</v>
      </c>
      <c r="J5" s="14"/>
      <c r="K5" s="10"/>
      <c r="L5" s="10"/>
      <c r="M5" s="10"/>
    </row>
    <row r="6" s="1" customFormat="1" ht="38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3">
      <c r="A7" s="15"/>
      <c r="B7" s="8" t="s">
        <v>18</v>
      </c>
      <c r="C7" s="10">
        <v>80</v>
      </c>
      <c r="D7" s="10">
        <v>0</v>
      </c>
      <c r="E7" s="10">
        <f t="shared" si="0"/>
        <v>80</v>
      </c>
      <c r="F7" s="10" t="s">
        <v>14</v>
      </c>
      <c r="G7" s="10">
        <f>206+172+152+0+0+0+0+20+219+80</f>
        <v>849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</f>
        <v>0</v>
      </c>
      <c r="H8" s="16"/>
      <c r="I8" s="16"/>
      <c r="J8" s="11"/>
      <c r="K8" s="10"/>
      <c r="L8" s="10"/>
      <c r="M8" s="10"/>
    </row>
    <row r="9" s="1" customFormat="1" ht="25" customHeight="1" spans="1:13">
      <c r="A9" s="12">
        <v>4</v>
      </c>
      <c r="B9" s="17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0+0+39.77+63.15+0+0+0+0+0+0</f>
        <v>102.92</v>
      </c>
      <c r="H9" s="13">
        <v>5.42</v>
      </c>
      <c r="I9" s="13">
        <f>H9-K10</f>
        <v>4.526235</v>
      </c>
      <c r="J9" s="18" t="s">
        <v>21</v>
      </c>
      <c r="K9" s="13">
        <v>0</v>
      </c>
      <c r="L9" s="13">
        <v>0</v>
      </c>
      <c r="M9" s="19"/>
    </row>
    <row r="10" s="1" customFormat="1" ht="25" customHeight="1" spans="1:13">
      <c r="A10" s="7">
        <v>5</v>
      </c>
      <c r="B10" s="8" t="s">
        <v>22</v>
      </c>
      <c r="C10" s="10">
        <v>7.0875</v>
      </c>
      <c r="D10" s="10">
        <v>0</v>
      </c>
      <c r="E10" s="10">
        <f t="shared" si="0"/>
        <v>7.0875</v>
      </c>
      <c r="F10" s="10" t="s">
        <v>14</v>
      </c>
      <c r="G10" s="10">
        <f>5.265+7.938+15.8625+3.8745+0+0+0+4.698+14.391+7.0875</f>
        <v>59.1165</v>
      </c>
      <c r="H10" s="10"/>
      <c r="I10" s="10">
        <f>G10/(G3*0.1865)</f>
        <v>5.37251783523424</v>
      </c>
      <c r="J10" s="18" t="s">
        <v>23</v>
      </c>
      <c r="K10" s="20">
        <f>0+0+0.338045+0.55572+0+0+0+0+0+0</f>
        <v>0.893765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10.1384</v>
      </c>
      <c r="D11" s="10">
        <v>0</v>
      </c>
      <c r="E11" s="10">
        <f t="shared" si="0"/>
        <v>10.1384</v>
      </c>
      <c r="F11" s="10" t="s">
        <v>14</v>
      </c>
      <c r="G11" s="10">
        <f>8.832+2.8336+13.1376+8.9976+0+0+0+10.9664+15.548+10.1384</f>
        <v>70.4536</v>
      </c>
      <c r="H11" s="10"/>
      <c r="I11" s="10">
        <f>G11/(G3*0.1865)</f>
        <v>6.40283546144409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250</v>
      </c>
      <c r="D12" s="10">
        <v>76</v>
      </c>
      <c r="E12" s="10">
        <f t="shared" si="0"/>
        <v>326</v>
      </c>
      <c r="F12" s="10"/>
      <c r="G12" s="10">
        <f>256+501+386+182+0+0+0+16+349+326</f>
        <v>2016</v>
      </c>
      <c r="H12" s="10">
        <f>G12*1.05</f>
        <v>2116.8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214</v>
      </c>
      <c r="D13" s="10">
        <v>74</v>
      </c>
      <c r="E13" s="10">
        <f t="shared" ref="E13:E21" si="1">D13+C13</f>
        <v>288</v>
      </c>
      <c r="F13" s="10" t="s">
        <v>27</v>
      </c>
      <c r="G13" s="10">
        <f>142+478+310+96+0+0+0+135+276+288</f>
        <v>1725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147.12</v>
      </c>
      <c r="D14" s="10">
        <v>390.37</v>
      </c>
      <c r="E14" s="10">
        <f t="shared" si="1"/>
        <v>537.49</v>
      </c>
      <c r="F14" s="10" t="s">
        <v>27</v>
      </c>
      <c r="G14" s="10">
        <f>852.63+765.27+628.63+67.84+0+0+0+622.22+656.54+537.49</f>
        <v>4130.62</v>
      </c>
      <c r="H14" s="10"/>
      <c r="I14" s="10"/>
      <c r="J14" s="18" t="s">
        <v>29</v>
      </c>
      <c r="K14" s="10">
        <v>3.04</v>
      </c>
      <c r="L14" s="10">
        <v>2.99</v>
      </c>
      <c r="M14" s="10"/>
    </row>
    <row r="15" s="1" customFormat="1" ht="25" customHeight="1" spans="1:13">
      <c r="A15" s="7">
        <v>10</v>
      </c>
      <c r="B15" s="8" t="s">
        <v>32</v>
      </c>
      <c r="C15" s="10">
        <v>15</v>
      </c>
      <c r="D15" s="10">
        <v>9</v>
      </c>
      <c r="E15" s="10">
        <f t="shared" si="1"/>
        <v>24</v>
      </c>
      <c r="F15" s="10" t="s">
        <v>14</v>
      </c>
      <c r="G15" s="10">
        <f>6+42+24+0+0+0+0+24+18+24</f>
        <v>138</v>
      </c>
      <c r="H15" s="10"/>
      <c r="I15" s="10">
        <f>G15/(G3*0.1865)</f>
        <v>12.541464079611</v>
      </c>
      <c r="J15" s="18" t="s">
        <v>31</v>
      </c>
      <c r="K15" s="20">
        <f>2.4676132+2.4190333+2.1010637+0.22048+0+0+0+1.9197875+1.9348016+1.6144511</f>
        <v>12.6772304</v>
      </c>
      <c r="L15" s="10"/>
      <c r="M15" s="10">
        <f>(C14*K14+L14*D14)/1000</f>
        <v>1.6144511</v>
      </c>
    </row>
    <row r="16" s="1" customFormat="1" ht="25" customHeight="1" spans="1:13">
      <c r="A16" s="7">
        <v>11</v>
      </c>
      <c r="B16" s="8" t="s">
        <v>33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0.1+0+0+0+0+0+0+0+0+0</f>
        <v>0.1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34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0+2+0+2+0+0+0+0+2+0</f>
        <v>6</v>
      </c>
      <c r="H17" s="22"/>
      <c r="I17" s="22">
        <f>G17/(G3*0.1865)</f>
        <v>0.54528104693961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35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0+1.5+0+1.5+0+0+0+0+1.5+0</f>
        <v>4.5</v>
      </c>
      <c r="H18" s="22"/>
      <c r="I18" s="22">
        <f>G18/(G3*0.1865)</f>
        <v>0.408960785204708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36</v>
      </c>
      <c r="C19" s="10">
        <v>0</v>
      </c>
      <c r="D19" s="7">
        <v>3</v>
      </c>
      <c r="E19" s="10">
        <f t="shared" si="1"/>
        <v>3</v>
      </c>
      <c r="F19" s="10" t="s">
        <v>37</v>
      </c>
      <c r="G19" s="10">
        <f>12+0+9+0+0+0+0+10+5+3</f>
        <v>39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39</v>
      </c>
      <c r="C20" s="7">
        <v>692</v>
      </c>
      <c r="D20" s="7">
        <v>239</v>
      </c>
      <c r="E20" s="10">
        <f t="shared" si="1"/>
        <v>931</v>
      </c>
      <c r="F20" s="10" t="s">
        <v>27</v>
      </c>
      <c r="G20" s="10">
        <f>1304+1347+838+28+0+0+0+605+1367+931</f>
        <v>6420</v>
      </c>
      <c r="H20" s="23"/>
      <c r="I20" s="10">
        <f>E20/M20</f>
        <v>58.1875</v>
      </c>
      <c r="J20" s="18" t="s">
        <v>87</v>
      </c>
      <c r="K20" s="10">
        <f>23.5+24+13.5+0+0+0+0+9+24+16</f>
        <v>110</v>
      </c>
      <c r="L20" s="10">
        <f>G20/K20</f>
        <v>58.3636363636364</v>
      </c>
      <c r="M20" s="10">
        <v>16</v>
      </c>
    </row>
    <row r="21" s="1" customFormat="1" ht="25" customHeight="1" spans="1:13">
      <c r="A21" s="12">
        <v>16</v>
      </c>
      <c r="B21" s="8" t="s">
        <v>41</v>
      </c>
      <c r="C21" s="7">
        <v>891</v>
      </c>
      <c r="D21" s="7">
        <v>230</v>
      </c>
      <c r="E21" s="10">
        <f t="shared" si="1"/>
        <v>1121</v>
      </c>
      <c r="F21" s="10" t="s">
        <v>27</v>
      </c>
      <c r="G21" s="10">
        <f>1466+1706+934+1+0+0+0+774+1606+1121</f>
        <v>7608</v>
      </c>
      <c r="H21" s="22"/>
      <c r="I21" s="10">
        <f>E21/M20</f>
        <v>70.0625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42</v>
      </c>
      <c r="C22" s="12">
        <v>31.21</v>
      </c>
      <c r="D22" s="12">
        <v>23.94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44</v>
      </c>
      <c r="C23" s="40"/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3">
      <c r="A24" s="7">
        <v>19</v>
      </c>
      <c r="B24" s="31" t="s">
        <v>46</v>
      </c>
      <c r="C24" s="27" t="s">
        <v>91</v>
      </c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3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92</v>
      </c>
    </row>
    <row r="28" s="1" customFormat="1" ht="30" customHeight="1" spans="1:13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54</v>
      </c>
      <c r="C30" s="10">
        <v>0</v>
      </c>
      <c r="D30" s="10">
        <v>0</v>
      </c>
      <c r="E30" s="10">
        <f t="shared" si="2"/>
        <v>0</v>
      </c>
      <c r="F30" s="10" t="s">
        <v>27</v>
      </c>
      <c r="G30" s="10">
        <f>16.54+16.48+16.51+8.25+0+0+0+0+0+0</f>
        <v>57.78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55</v>
      </c>
      <c r="C31" s="10">
        <v>8</v>
      </c>
      <c r="D31" s="10">
        <v>4</v>
      </c>
      <c r="E31" s="10">
        <f t="shared" si="2"/>
        <v>12</v>
      </c>
      <c r="F31" s="10" t="s">
        <v>27</v>
      </c>
      <c r="G31" s="10">
        <f>27+20+43+14+0+0+0+76+25+12</f>
        <v>217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0+10.3545+7.7625+8.154+0+0+0+0+0+0</f>
        <v>26.271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0</v>
      </c>
      <c r="D34" s="10">
        <v>51</v>
      </c>
      <c r="E34" s="10">
        <f t="shared" si="2"/>
        <v>51</v>
      </c>
      <c r="F34" s="10" t="s">
        <v>27</v>
      </c>
      <c r="G34" s="10">
        <f>0+6+0+0+0+0+0+19+2+51</f>
        <v>78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321</v>
      </c>
      <c r="D35" s="10">
        <v>323</v>
      </c>
      <c r="E35" s="10">
        <f t="shared" si="2"/>
        <v>644</v>
      </c>
      <c r="F35" s="10" t="s">
        <v>27</v>
      </c>
      <c r="G35" s="10">
        <f>599+599+554+284+0+0+0+589+627+644</f>
        <v>3896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0+0+0+0+0+0+0+0+0+0</f>
        <v>0</v>
      </c>
      <c r="H36" s="22"/>
      <c r="I36" s="7">
        <v>615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0+0+0+0+0+0+0+0+0+0</f>
        <v>0</v>
      </c>
      <c r="H37" s="22"/>
      <c r="I37" s="7">
        <v>92.0716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0</v>
      </c>
      <c r="D38" s="7">
        <v>0</v>
      </c>
      <c r="E38" s="10">
        <f>D38+C38</f>
        <v>0</v>
      </c>
      <c r="F38" s="10" t="s">
        <v>37</v>
      </c>
      <c r="G38" s="10">
        <f>2+3+3+2+0+0+0+0+0+0</f>
        <v>10</v>
      </c>
      <c r="H38" s="22"/>
      <c r="I38" s="10">
        <v>10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G16" sqref="G16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93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4.5</v>
      </c>
      <c r="D3" s="9">
        <v>5</v>
      </c>
      <c r="E3" s="10">
        <f t="shared" ref="E3:E12" si="0">C3+D3</f>
        <v>9.5</v>
      </c>
      <c r="F3" s="10" t="s">
        <v>14</v>
      </c>
      <c r="G3" s="10">
        <f>2+14.5+12+6+0+0+0+1+10.5+13+9.5</f>
        <v>68.5</v>
      </c>
      <c r="H3" s="10">
        <v>294</v>
      </c>
      <c r="I3" s="10">
        <f>H3-G3</f>
        <v>225.5</v>
      </c>
      <c r="J3" s="11"/>
      <c r="K3" s="10"/>
      <c r="L3" s="10"/>
      <c r="M3" s="10">
        <f>I3/19</f>
        <v>11.8684210526316</v>
      </c>
    </row>
    <row r="4" s="1" customFormat="1" ht="38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14+2+14+12+6+0+0+0+0+12+12</f>
        <v>72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16</v>
      </c>
      <c r="C5" s="10">
        <v>84</v>
      </c>
      <c r="D5" s="10">
        <v>101</v>
      </c>
      <c r="E5" s="10">
        <f t="shared" si="0"/>
        <v>185</v>
      </c>
      <c r="F5" s="10" t="s">
        <v>14</v>
      </c>
      <c r="G5" s="10">
        <f>0+0+0+0+0+0+0+0+0+42+185</f>
        <v>227</v>
      </c>
      <c r="H5" s="10">
        <v>4346</v>
      </c>
      <c r="I5" s="10">
        <f>H5-G5-G7-G6</f>
        <v>3263</v>
      </c>
      <c r="J5" s="14"/>
      <c r="K5" s="10"/>
      <c r="L5" s="10"/>
      <c r="M5" s="10"/>
    </row>
    <row r="6" s="1" customFormat="1" ht="38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3">
      <c r="A7" s="15"/>
      <c r="B7" s="8" t="s">
        <v>18</v>
      </c>
      <c r="C7" s="10">
        <v>7</v>
      </c>
      <c r="D7" s="10">
        <v>0</v>
      </c>
      <c r="E7" s="10">
        <f t="shared" si="0"/>
        <v>7</v>
      </c>
      <c r="F7" s="10" t="s">
        <v>14</v>
      </c>
      <c r="G7" s="10">
        <f>206+172+152+0+0+0+0+20+219+80+7</f>
        <v>856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19</v>
      </c>
      <c r="C8" s="10">
        <v>1</v>
      </c>
      <c r="D8" s="10">
        <v>0</v>
      </c>
      <c r="E8" s="10">
        <f t="shared" si="0"/>
        <v>1</v>
      </c>
      <c r="F8" s="10" t="s">
        <v>14</v>
      </c>
      <c r="G8" s="10">
        <f>0+0+0+0+0+0+0+0+0+0+1</f>
        <v>1</v>
      </c>
      <c r="H8" s="16"/>
      <c r="I8" s="16"/>
      <c r="J8" s="11"/>
      <c r="K8" s="10"/>
      <c r="L8" s="10"/>
      <c r="M8" s="10"/>
    </row>
    <row r="9" s="1" customFormat="1" ht="25" customHeight="1" spans="1:13">
      <c r="A9" s="12">
        <v>4</v>
      </c>
      <c r="B9" s="17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0+0+39.77+63.15+0+0+0+0+0+0+0</f>
        <v>102.92</v>
      </c>
      <c r="H9" s="13">
        <v>5.42</v>
      </c>
      <c r="I9" s="13">
        <f>H9-K10</f>
        <v>4.526235</v>
      </c>
      <c r="J9" s="18" t="s">
        <v>21</v>
      </c>
      <c r="K9" s="13">
        <v>0</v>
      </c>
      <c r="L9" s="13">
        <v>0</v>
      </c>
      <c r="M9" s="19"/>
    </row>
    <row r="10" s="1" customFormat="1" ht="25" customHeight="1" spans="1:13">
      <c r="A10" s="7">
        <v>5</v>
      </c>
      <c r="B10" s="8" t="s">
        <v>22</v>
      </c>
      <c r="C10" s="10">
        <v>8.019</v>
      </c>
      <c r="D10" s="10">
        <v>0</v>
      </c>
      <c r="E10" s="10">
        <f t="shared" si="0"/>
        <v>8.019</v>
      </c>
      <c r="F10" s="10" t="s">
        <v>14</v>
      </c>
      <c r="G10" s="10">
        <f>5.265+7.938+15.8625+3.8745+0+0+0+4.698+14.391+7.0875+8.019</f>
        <v>67.1355</v>
      </c>
      <c r="H10" s="10"/>
      <c r="I10" s="10">
        <f>G10/(G3*0.1865)</f>
        <v>5.25512220895873</v>
      </c>
      <c r="J10" s="18" t="s">
        <v>23</v>
      </c>
      <c r="K10" s="20">
        <f>0+0+0.338045+0.55572+0+0+0+0+0+0+0</f>
        <v>0.893765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8.4456</v>
      </c>
      <c r="D11" s="10">
        <v>0</v>
      </c>
      <c r="E11" s="10">
        <f t="shared" si="0"/>
        <v>8.4456</v>
      </c>
      <c r="F11" s="10" t="s">
        <v>14</v>
      </c>
      <c r="G11" s="10">
        <f>8.832+2.8336+13.1376+8.9976+0+0+0+10.9664+15.548+10.1384+8.4456</f>
        <v>78.8992</v>
      </c>
      <c r="H11" s="10"/>
      <c r="I11" s="10">
        <f>G11/(G3*0.1865)</f>
        <v>6.17594176239213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161</v>
      </c>
      <c r="D12" s="10">
        <v>227</v>
      </c>
      <c r="E12" s="10">
        <f t="shared" si="0"/>
        <v>388</v>
      </c>
      <c r="F12" s="10"/>
      <c r="G12" s="10">
        <f>256+501+386+182+0+0+0+16+349+326+388</f>
        <v>2404</v>
      </c>
      <c r="H12" s="10">
        <f>G12*1.05</f>
        <v>2524.2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173</v>
      </c>
      <c r="D13" s="10">
        <v>190</v>
      </c>
      <c r="E13" s="10">
        <f t="shared" ref="E13:E21" si="1">D13+C13</f>
        <v>363</v>
      </c>
      <c r="F13" s="10" t="s">
        <v>27</v>
      </c>
      <c r="G13" s="10">
        <f>142+478+310+96+0+0+0+135+276+288+363</f>
        <v>2088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240.25</v>
      </c>
      <c r="D14" s="10">
        <v>432.87</v>
      </c>
      <c r="E14" s="10">
        <f t="shared" si="1"/>
        <v>673.12</v>
      </c>
      <c r="F14" s="10" t="s">
        <v>27</v>
      </c>
      <c r="G14" s="10">
        <f>852.63+765.27+628.63+67.84+0+0+0+622.22+656.54+537.49+673.12</f>
        <v>4803.74</v>
      </c>
      <c r="H14" s="10"/>
      <c r="I14" s="10"/>
      <c r="J14" s="18" t="s">
        <v>29</v>
      </c>
      <c r="K14" s="10">
        <v>2.8</v>
      </c>
      <c r="L14" s="10">
        <v>2.59</v>
      </c>
      <c r="M14" s="10"/>
    </row>
    <row r="15" s="1" customFormat="1" ht="25" customHeight="1" spans="1:13">
      <c r="A15" s="7">
        <v>10</v>
      </c>
      <c r="B15" s="8" t="s">
        <v>32</v>
      </c>
      <c r="C15" s="10">
        <v>15</v>
      </c>
      <c r="D15" s="10">
        <v>9</v>
      </c>
      <c r="E15" s="10">
        <f t="shared" si="1"/>
        <v>24</v>
      </c>
      <c r="F15" s="10" t="s">
        <v>14</v>
      </c>
      <c r="G15" s="10">
        <f>6+42+24+0+0+0+0+24+18+24+24</f>
        <v>162</v>
      </c>
      <c r="H15" s="10"/>
      <c r="I15" s="10">
        <f>G15/(G3*0.1865)</f>
        <v>12.6807694565664</v>
      </c>
      <c r="J15" s="18" t="s">
        <v>31</v>
      </c>
      <c r="K15" s="20">
        <f>2.4676132+2.4190333+2.1010637+0.22048+0+0+0+1.9197875+1.9348016+1.6144511+1.7938333</f>
        <v>14.4710637</v>
      </c>
      <c r="L15" s="10"/>
      <c r="M15" s="10">
        <f>(C14*K14+L14*D14)/1000</f>
        <v>1.7938333</v>
      </c>
    </row>
    <row r="16" s="1" customFormat="1" ht="25" customHeight="1" spans="1:13">
      <c r="A16" s="7">
        <v>11</v>
      </c>
      <c r="B16" s="8" t="s">
        <v>33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0.1+0+0+0+0+0+0+0+0+0+0</f>
        <v>0.1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34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0+2+0+2+0+0+0+0+2+0+0</f>
        <v>6</v>
      </c>
      <c r="H17" s="22"/>
      <c r="I17" s="22">
        <f>G17/(G3*0.1865)</f>
        <v>0.469658128020978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35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0+1.5+0+1.5+0+0+0+0+1.5+0+0</f>
        <v>4.5</v>
      </c>
      <c r="H18" s="22"/>
      <c r="I18" s="22">
        <f>G18/(G3*0.1865)</f>
        <v>0.352243596015734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36</v>
      </c>
      <c r="C19" s="10">
        <v>5</v>
      </c>
      <c r="D19" s="7">
        <v>0</v>
      </c>
      <c r="E19" s="10">
        <f t="shared" si="1"/>
        <v>5</v>
      </c>
      <c r="F19" s="10" t="s">
        <v>37</v>
      </c>
      <c r="G19" s="10">
        <f>12+0+9+0+0+0+0+10+5+3+5</f>
        <v>44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39</v>
      </c>
      <c r="C20" s="7">
        <v>501</v>
      </c>
      <c r="D20" s="7">
        <v>536</v>
      </c>
      <c r="E20" s="10">
        <f t="shared" si="1"/>
        <v>1037</v>
      </c>
      <c r="F20" s="10" t="s">
        <v>27</v>
      </c>
      <c r="G20" s="10">
        <f>1304+1347+838+28+0+0+0+605+1367+931+1037</f>
        <v>7457</v>
      </c>
      <c r="H20" s="23"/>
      <c r="I20" s="10">
        <f>E20/M20</f>
        <v>51.85</v>
      </c>
      <c r="J20" s="18" t="s">
        <v>87</v>
      </c>
      <c r="K20" s="10">
        <f>23.5+24+13.5+0+0+0+0+9+24+16+20</f>
        <v>130</v>
      </c>
      <c r="L20" s="10">
        <f>G20/K20</f>
        <v>57.3615384615385</v>
      </c>
      <c r="M20" s="10">
        <v>20</v>
      </c>
    </row>
    <row r="21" s="1" customFormat="1" ht="25" customHeight="1" spans="1:13">
      <c r="A21" s="12">
        <v>16</v>
      </c>
      <c r="B21" s="8" t="s">
        <v>41</v>
      </c>
      <c r="C21" s="7">
        <v>606</v>
      </c>
      <c r="D21" s="7">
        <v>721</v>
      </c>
      <c r="E21" s="10">
        <f t="shared" si="1"/>
        <v>1327</v>
      </c>
      <c r="F21" s="10" t="s">
        <v>27</v>
      </c>
      <c r="G21" s="10">
        <f>1466+1706+934+1+0+0+0+774+1606+1121+1327</f>
        <v>8935</v>
      </c>
      <c r="H21" s="22"/>
      <c r="I21" s="10">
        <f>E21/M20</f>
        <v>66.35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42</v>
      </c>
      <c r="C22" s="12">
        <v>24.24</v>
      </c>
      <c r="D22" s="12">
        <v>31.31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44</v>
      </c>
      <c r="C23" s="40"/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3">
      <c r="A24" s="7">
        <v>19</v>
      </c>
      <c r="B24" s="31" t="s">
        <v>46</v>
      </c>
      <c r="C24" s="27"/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3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94</v>
      </c>
    </row>
    <row r="28" s="1" customFormat="1" ht="30" customHeight="1" spans="1:13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54</v>
      </c>
      <c r="C30" s="10">
        <v>0</v>
      </c>
      <c r="D30" s="10">
        <v>8.28</v>
      </c>
      <c r="E30" s="10">
        <f t="shared" si="2"/>
        <v>8.28</v>
      </c>
      <c r="F30" s="10" t="s">
        <v>27</v>
      </c>
      <c r="G30" s="10">
        <f>16.54+16.48+16.51+8.25+0+0+0+0+0+0+8.28</f>
        <v>66.06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55</v>
      </c>
      <c r="C31" s="10">
        <v>20</v>
      </c>
      <c r="D31" s="10">
        <v>8</v>
      </c>
      <c r="E31" s="10">
        <f t="shared" si="2"/>
        <v>28</v>
      </c>
      <c r="F31" s="10" t="s">
        <v>27</v>
      </c>
      <c r="G31" s="10">
        <f>27+20+43+14+0+0+0+76+25+12+28</f>
        <v>245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0+10.3545+7.7625+8.154+0+0+0+0+0+0+0</f>
        <v>26.271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0</v>
      </c>
      <c r="D34" s="10">
        <v>0</v>
      </c>
      <c r="E34" s="10">
        <f t="shared" si="2"/>
        <v>0</v>
      </c>
      <c r="F34" s="10" t="s">
        <v>27</v>
      </c>
      <c r="G34" s="10">
        <f>0+6+0+0+0+0+0+19+2+51+0</f>
        <v>78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332</v>
      </c>
      <c r="D35" s="10">
        <v>319</v>
      </c>
      <c r="E35" s="10">
        <f t="shared" si="2"/>
        <v>651</v>
      </c>
      <c r="F35" s="10" t="s">
        <v>27</v>
      </c>
      <c r="G35" s="10">
        <f>599+599+554+284+0+0+0+589+627+644+651</f>
        <v>4547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0+0+0+0+0+0+0+0+0+0+0</f>
        <v>0</v>
      </c>
      <c r="H36" s="22"/>
      <c r="I36" s="7">
        <v>457.5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0+0+0+0+0+0+0+0+0+0+0</f>
        <v>0</v>
      </c>
      <c r="H37" s="22"/>
      <c r="I37" s="7">
        <v>92.9402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0</v>
      </c>
      <c r="D38" s="7">
        <v>0</v>
      </c>
      <c r="E38" s="10">
        <f>D38+C38</f>
        <v>0</v>
      </c>
      <c r="F38" s="10" t="s">
        <v>37</v>
      </c>
      <c r="G38" s="10">
        <f>2+3+3+2+0+0+0+0+0+0+0</f>
        <v>10</v>
      </c>
      <c r="H38" s="22"/>
      <c r="I38" s="10">
        <v>9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G17" sqref="G17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95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4</v>
      </c>
      <c r="D3" s="9">
        <v>7.5</v>
      </c>
      <c r="E3" s="10">
        <f t="shared" ref="E3:E12" si="0">C3+D3</f>
        <v>11.5</v>
      </c>
      <c r="F3" s="10" t="s">
        <v>14</v>
      </c>
      <c r="G3" s="10">
        <f>2+14.5+12+6+0+0+0+1+10.5+13+9.5+11.5</f>
        <v>80</v>
      </c>
      <c r="H3" s="10">
        <v>294</v>
      </c>
      <c r="I3" s="10">
        <f>H3-G3</f>
        <v>214</v>
      </c>
      <c r="J3" s="11"/>
      <c r="K3" s="10"/>
      <c r="L3" s="10"/>
      <c r="M3" s="10">
        <f>I3/18</f>
        <v>11.8888888888889</v>
      </c>
    </row>
    <row r="4" s="1" customFormat="1" ht="38" customHeight="1" spans="1:13">
      <c r="A4" s="12">
        <v>2</v>
      </c>
      <c r="B4" s="8" t="s">
        <v>15</v>
      </c>
      <c r="C4" s="9">
        <v>10</v>
      </c>
      <c r="D4" s="9"/>
      <c r="E4" s="10">
        <f t="shared" si="0"/>
        <v>10</v>
      </c>
      <c r="F4" s="10" t="s">
        <v>14</v>
      </c>
      <c r="G4" s="10">
        <f>14+2+14+12+6+0+0+0+0+12+12+10</f>
        <v>82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16</v>
      </c>
      <c r="C5" s="10">
        <v>80</v>
      </c>
      <c r="D5" s="10">
        <v>101</v>
      </c>
      <c r="E5" s="10">
        <f t="shared" si="0"/>
        <v>181</v>
      </c>
      <c r="F5" s="10" t="s">
        <v>14</v>
      </c>
      <c r="G5" s="10">
        <f>0+0+0+0+0+0+0+0+0+42+185+181</f>
        <v>408</v>
      </c>
      <c r="H5" s="10">
        <v>4346</v>
      </c>
      <c r="I5" s="10">
        <f>H5-G5-G7-G6</f>
        <v>3081</v>
      </c>
      <c r="J5" s="14"/>
      <c r="K5" s="10"/>
      <c r="L5" s="10"/>
      <c r="M5" s="10"/>
    </row>
    <row r="6" s="1" customFormat="1" ht="38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3">
      <c r="A7" s="15"/>
      <c r="B7" s="8" t="s">
        <v>18</v>
      </c>
      <c r="C7" s="10">
        <v>0</v>
      </c>
      <c r="D7" s="10">
        <v>1</v>
      </c>
      <c r="E7" s="10">
        <f t="shared" si="0"/>
        <v>1</v>
      </c>
      <c r="F7" s="10" t="s">
        <v>14</v>
      </c>
      <c r="G7" s="10">
        <f>206+172+152+0+0+0+0+20+219+80+7+1</f>
        <v>857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0+0+0+0+0+0+0+0+0+0+1+0</f>
        <v>1</v>
      </c>
      <c r="H8" s="16"/>
      <c r="I8" s="16"/>
      <c r="J8" s="11"/>
      <c r="K8" s="10"/>
      <c r="L8" s="10"/>
      <c r="M8" s="10"/>
    </row>
    <row r="9" s="1" customFormat="1" ht="25" customHeight="1" spans="1:13">
      <c r="A9" s="12">
        <v>4</v>
      </c>
      <c r="B9" s="17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0+0+39.77+63.15+0+0+0+0+0+0+0+0</f>
        <v>102.92</v>
      </c>
      <c r="H9" s="13">
        <v>5.42</v>
      </c>
      <c r="I9" s="13">
        <f>H9-K10</f>
        <v>4.526235</v>
      </c>
      <c r="J9" s="18" t="s">
        <v>21</v>
      </c>
      <c r="K9" s="13">
        <v>1</v>
      </c>
      <c r="L9" s="13">
        <v>0</v>
      </c>
      <c r="M9" s="19"/>
    </row>
    <row r="10" s="1" customFormat="1" ht="25" customHeight="1" spans="1:13">
      <c r="A10" s="7">
        <v>5</v>
      </c>
      <c r="B10" s="8" t="s">
        <v>22</v>
      </c>
      <c r="C10" s="10">
        <v>6.777</v>
      </c>
      <c r="D10" s="10">
        <v>0</v>
      </c>
      <c r="E10" s="10">
        <f t="shared" si="0"/>
        <v>6.777</v>
      </c>
      <c r="F10" s="10" t="s">
        <v>14</v>
      </c>
      <c r="G10" s="10">
        <f>5.265+7.938+15.8625+3.8745+0+0+0+4.698+14.391+7.0875+8.019+6.777</f>
        <v>73.9125</v>
      </c>
      <c r="H10" s="10"/>
      <c r="I10" s="10">
        <f>G10/(G3*0.1865)</f>
        <v>4.95392091152815</v>
      </c>
      <c r="J10" s="18" t="s">
        <v>23</v>
      </c>
      <c r="K10" s="20">
        <f>0+0+0.338045+0.55572+0+0+0+0+0+0+0+0</f>
        <v>0.893765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13.5792</v>
      </c>
      <c r="D11" s="10">
        <v>0</v>
      </c>
      <c r="E11" s="10">
        <f t="shared" si="0"/>
        <v>13.5792</v>
      </c>
      <c r="F11" s="10" t="s">
        <v>14</v>
      </c>
      <c r="G11" s="10">
        <f>8.832+2.8336+13.1376+8.9976+0+0+0+10.9664+15.548+10.1384+8.4456+13.5792</f>
        <v>92.4784</v>
      </c>
      <c r="H11" s="10"/>
      <c r="I11" s="10">
        <f>G11/(G3*0.1865)</f>
        <v>6.19828418230563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225</v>
      </c>
      <c r="D12" s="10">
        <v>231</v>
      </c>
      <c r="E12" s="10">
        <f t="shared" si="0"/>
        <v>456</v>
      </c>
      <c r="F12" s="10"/>
      <c r="G12" s="10">
        <f>256+501+386+182+0+0+0+16+349+326+388+456</f>
        <v>2860</v>
      </c>
      <c r="H12" s="10">
        <f>G12*1.05</f>
        <v>3003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144</v>
      </c>
      <c r="D13" s="10">
        <v>197</v>
      </c>
      <c r="E13" s="10">
        <f t="shared" ref="E13:E21" si="1">D13+C13</f>
        <v>341</v>
      </c>
      <c r="F13" s="10" t="s">
        <v>27</v>
      </c>
      <c r="G13" s="10">
        <f>142+478+310+96+0+0+0+135+276+288+363+341</f>
        <v>2429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408.25</v>
      </c>
      <c r="D14" s="10">
        <v>458.85</v>
      </c>
      <c r="E14" s="10">
        <f t="shared" si="1"/>
        <v>867.1</v>
      </c>
      <c r="F14" s="10" t="s">
        <v>27</v>
      </c>
      <c r="G14" s="10">
        <f>852.63+765.27+628.63+67.84+0+0+0+622.22+656.54+537.49+673.12+867.1</f>
        <v>5670.84</v>
      </c>
      <c r="H14" s="10"/>
      <c r="I14" s="10"/>
      <c r="J14" s="18" t="s">
        <v>29</v>
      </c>
      <c r="K14" s="10">
        <v>2.98</v>
      </c>
      <c r="L14" s="10">
        <v>2.94</v>
      </c>
      <c r="M14" s="10"/>
    </row>
    <row r="15" s="1" customFormat="1" ht="25" customHeight="1" spans="1:13">
      <c r="A15" s="7">
        <v>10</v>
      </c>
      <c r="B15" s="8" t="s">
        <v>32</v>
      </c>
      <c r="C15" s="10">
        <v>15</v>
      </c>
      <c r="D15" s="10">
        <v>15</v>
      </c>
      <c r="E15" s="10">
        <f t="shared" si="1"/>
        <v>30</v>
      </c>
      <c r="F15" s="10" t="s">
        <v>14</v>
      </c>
      <c r="G15" s="10">
        <f>6+42+24+0+0+0+0+24+18+24+24+30</f>
        <v>192</v>
      </c>
      <c r="H15" s="10"/>
      <c r="I15" s="10">
        <f>G15/(G3*0.1865)</f>
        <v>12.8686327077748</v>
      </c>
      <c r="J15" s="18" t="s">
        <v>31</v>
      </c>
      <c r="K15" s="20">
        <f>2.4676132+2.4190333+2.1010637+0.22048+0+0+0+1.9197875+1.9348016+1.6144511+1.7938333+2.565604</f>
        <v>17.0366677</v>
      </c>
      <c r="L15" s="10"/>
      <c r="M15" s="10">
        <f>(C14*K14+L14*D14)/1000</f>
        <v>2.565604</v>
      </c>
    </row>
    <row r="16" s="1" customFormat="1" ht="25" customHeight="1" spans="1:13">
      <c r="A16" s="7">
        <v>11</v>
      </c>
      <c r="B16" s="8" t="s">
        <v>33</v>
      </c>
      <c r="C16" s="7">
        <f>0.175/2</f>
        <v>0.0875</v>
      </c>
      <c r="D16" s="7">
        <v>0</v>
      </c>
      <c r="E16" s="10">
        <f t="shared" si="1"/>
        <v>0.0875</v>
      </c>
      <c r="F16" s="10" t="s">
        <v>14</v>
      </c>
      <c r="G16" s="10">
        <f>0.1+0+0+0+0+0+0+0+0+0+0+0.0875</f>
        <v>0.1875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34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0+2+0+2+0+0+0+0+2+0+0+2</f>
        <v>8</v>
      </c>
      <c r="H17" s="22"/>
      <c r="I17" s="22">
        <f>G17/(G3*0.1865)</f>
        <v>0.536193029490617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35</v>
      </c>
      <c r="C18" s="10">
        <v>1.5</v>
      </c>
      <c r="D18" s="7">
        <v>0</v>
      </c>
      <c r="E18" s="10">
        <f t="shared" si="1"/>
        <v>1.5</v>
      </c>
      <c r="F18" s="10" t="s">
        <v>14</v>
      </c>
      <c r="G18" s="10">
        <f>0+1.5+0+1.5+0+0+0+0+1.5+0+0+1.5</f>
        <v>6</v>
      </c>
      <c r="H18" s="22"/>
      <c r="I18" s="22">
        <f>G18/(G3*0.1865)</f>
        <v>0.402144772117962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36</v>
      </c>
      <c r="C19" s="10">
        <v>1</v>
      </c>
      <c r="D19" s="7">
        <v>4</v>
      </c>
      <c r="E19" s="10">
        <f t="shared" si="1"/>
        <v>5</v>
      </c>
      <c r="F19" s="10" t="s">
        <v>37</v>
      </c>
      <c r="G19" s="10">
        <f>12+0+9+0+0+0+0+10+5+3+5+5</f>
        <v>49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39</v>
      </c>
      <c r="C20" s="7">
        <v>544</v>
      </c>
      <c r="D20" s="7">
        <v>536</v>
      </c>
      <c r="E20" s="10">
        <f t="shared" si="1"/>
        <v>1080</v>
      </c>
      <c r="F20" s="10" t="s">
        <v>27</v>
      </c>
      <c r="G20" s="10">
        <f>1304+1347+838+28+0+0+0+605+1367+931+1037+1080</f>
        <v>8537</v>
      </c>
      <c r="H20" s="23"/>
      <c r="I20" s="10">
        <f>E20/M20</f>
        <v>45</v>
      </c>
      <c r="J20" s="18" t="s">
        <v>87</v>
      </c>
      <c r="K20" s="10">
        <f>23.5+24+13.5+0+0+0+0+9+24+16+20+24</f>
        <v>154</v>
      </c>
      <c r="L20" s="10">
        <f>G20/K20</f>
        <v>55.4350649350649</v>
      </c>
      <c r="M20" s="10">
        <v>24</v>
      </c>
    </row>
    <row r="21" s="1" customFormat="1" ht="25" customHeight="1" spans="1:13">
      <c r="A21" s="12">
        <v>16</v>
      </c>
      <c r="B21" s="8" t="s">
        <v>41</v>
      </c>
      <c r="C21" s="7">
        <v>712</v>
      </c>
      <c r="D21" s="7">
        <v>719</v>
      </c>
      <c r="E21" s="10">
        <f t="shared" si="1"/>
        <v>1431</v>
      </c>
      <c r="F21" s="10" t="s">
        <v>27</v>
      </c>
      <c r="G21" s="10">
        <f>1466+1706+934+1+0+0+0+774+1606+1121+1327+1431</f>
        <v>10366</v>
      </c>
      <c r="H21" s="22"/>
      <c r="I21" s="10">
        <f>E21/M20</f>
        <v>59.625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42</v>
      </c>
      <c r="C22" s="12">
        <v>32.32</v>
      </c>
      <c r="D22" s="12">
        <v>32.63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44</v>
      </c>
      <c r="C23" s="40"/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3">
      <c r="A24" s="7">
        <v>19</v>
      </c>
      <c r="B24" s="31" t="s">
        <v>46</v>
      </c>
      <c r="C24" s="27"/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3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96</v>
      </c>
    </row>
    <row r="28" s="1" customFormat="1" ht="30" customHeight="1" spans="1:13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54</v>
      </c>
      <c r="C30" s="10">
        <v>8.32</v>
      </c>
      <c r="D30" s="10">
        <v>6.29</v>
      </c>
      <c r="E30" s="10">
        <f t="shared" si="2"/>
        <v>14.61</v>
      </c>
      <c r="F30" s="10" t="s">
        <v>27</v>
      </c>
      <c r="G30" s="10">
        <f>16.54+16.48+16.51+8.25+0+0+0+0+0+0+8.28+14.61</f>
        <v>80.67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55</v>
      </c>
      <c r="C31" s="10">
        <v>14</v>
      </c>
      <c r="D31" s="10">
        <v>0</v>
      </c>
      <c r="E31" s="10">
        <f t="shared" si="2"/>
        <v>14</v>
      </c>
      <c r="F31" s="10" t="s">
        <v>27</v>
      </c>
      <c r="G31" s="10">
        <f>27+20+43+14+0+0+0+76+25+12+28+14</f>
        <v>259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0+10.3545+7.7625+8.154+0+0+0+0+0+0+0+0</f>
        <v>26.271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0</v>
      </c>
      <c r="D34" s="10">
        <v>0</v>
      </c>
      <c r="E34" s="10">
        <f t="shared" si="2"/>
        <v>0</v>
      </c>
      <c r="F34" s="10" t="s">
        <v>27</v>
      </c>
      <c r="G34" s="10">
        <f>0+6+0+0+0+0+0+19+2+51+0+0</f>
        <v>78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311</v>
      </c>
      <c r="D35" s="10">
        <v>327</v>
      </c>
      <c r="E35" s="10">
        <f t="shared" si="2"/>
        <v>638</v>
      </c>
      <c r="F35" s="10" t="s">
        <v>27</v>
      </c>
      <c r="G35" s="10">
        <f>599+599+554+284+0+0+0+589+627+644+651+638</f>
        <v>5185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0+0+0+0+0+0+0+0+0+0+0+0</f>
        <v>0</v>
      </c>
      <c r="H36" s="22"/>
      <c r="I36" s="7">
        <v>457.5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0+0+0+0+0+0+0+0+0+0+0+0</f>
        <v>0</v>
      </c>
      <c r="H37" s="22"/>
      <c r="I37" s="7">
        <v>92.9402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3</v>
      </c>
      <c r="D38" s="7">
        <v>0</v>
      </c>
      <c r="E38" s="10">
        <f>D38+C38</f>
        <v>3</v>
      </c>
      <c r="F38" s="10" t="s">
        <v>37</v>
      </c>
      <c r="G38" s="10">
        <f>2+3+3+2+0+0+0+0+0+0+0+3</f>
        <v>13</v>
      </c>
      <c r="H38" s="22"/>
      <c r="I38" s="10">
        <v>12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G17" sqref="G17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97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7.5</v>
      </c>
      <c r="D3" s="9">
        <v>6.5</v>
      </c>
      <c r="E3" s="10">
        <f t="shared" ref="E3:E12" si="0">C3+D3</f>
        <v>14</v>
      </c>
      <c r="F3" s="10" t="s">
        <v>14</v>
      </c>
      <c r="G3" s="10">
        <f>2+14.5+12+6+0+0+0+1+10.5+13+9.5+11.5+14</f>
        <v>94</v>
      </c>
      <c r="H3" s="10">
        <v>294</v>
      </c>
      <c r="I3" s="10">
        <f>H3-G3</f>
        <v>200</v>
      </c>
      <c r="J3" s="11"/>
      <c r="K3" s="10"/>
      <c r="L3" s="10"/>
      <c r="M3" s="10">
        <f>I3/17</f>
        <v>11.7647058823529</v>
      </c>
    </row>
    <row r="4" s="1" customFormat="1" ht="38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14+2+14+12+6+0+0+0+0+12+12+10+12</f>
        <v>94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16</v>
      </c>
      <c r="C5" s="10">
        <v>90</v>
      </c>
      <c r="D5" s="10">
        <v>92</v>
      </c>
      <c r="E5" s="10">
        <f t="shared" si="0"/>
        <v>182</v>
      </c>
      <c r="F5" s="10" t="s">
        <v>14</v>
      </c>
      <c r="G5" s="10">
        <f>0+0+0+0+0+0+0+0+0+42+185+181+182</f>
        <v>590</v>
      </c>
      <c r="H5" s="10">
        <v>4346</v>
      </c>
      <c r="I5" s="10">
        <f>H5-G5-G7-G6</f>
        <v>2897</v>
      </c>
      <c r="J5" s="14"/>
      <c r="K5" s="10"/>
      <c r="L5" s="10"/>
      <c r="M5" s="10"/>
    </row>
    <row r="6" s="1" customFormat="1" ht="38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3">
      <c r="A7" s="15"/>
      <c r="B7" s="8" t="s">
        <v>18</v>
      </c>
      <c r="C7" s="10">
        <v>2</v>
      </c>
      <c r="D7" s="10">
        <v>0</v>
      </c>
      <c r="E7" s="10">
        <f t="shared" si="0"/>
        <v>2</v>
      </c>
      <c r="F7" s="10" t="s">
        <v>14</v>
      </c>
      <c r="G7" s="10">
        <f>206+172+152+0+0+0+0+20+219+80+7+1+2</f>
        <v>859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0+0+0+0+0+0+0+0+0+0+1+0+0</f>
        <v>1</v>
      </c>
      <c r="H8" s="16"/>
      <c r="I8" s="16"/>
      <c r="J8" s="11"/>
      <c r="K8" s="10"/>
      <c r="L8" s="10"/>
      <c r="M8" s="10"/>
    </row>
    <row r="9" s="1" customFormat="1" ht="25" customHeight="1" spans="1:13">
      <c r="A9" s="12">
        <v>4</v>
      </c>
      <c r="B9" s="17" t="s">
        <v>20</v>
      </c>
      <c r="C9" s="13">
        <v>31.72</v>
      </c>
      <c r="D9" s="13"/>
      <c r="E9" s="10">
        <f t="shared" si="0"/>
        <v>31.72</v>
      </c>
      <c r="F9" s="13" t="s">
        <v>14</v>
      </c>
      <c r="G9" s="10">
        <f>0+0+39.77+63.15+0+0+0+0+0+0+0+0+31.72</f>
        <v>134.64</v>
      </c>
      <c r="H9" s="13">
        <v>5.42</v>
      </c>
      <c r="I9" s="13">
        <f>H9-K10</f>
        <v>4.247099</v>
      </c>
      <c r="J9" s="18" t="s">
        <v>21</v>
      </c>
      <c r="K9" s="13">
        <v>2</v>
      </c>
      <c r="L9" s="13">
        <v>0.88</v>
      </c>
      <c r="M9" s="19"/>
    </row>
    <row r="10" s="1" customFormat="1" ht="25" customHeight="1" spans="1:13">
      <c r="A10" s="7">
        <v>5</v>
      </c>
      <c r="B10" s="8" t="s">
        <v>22</v>
      </c>
      <c r="C10" s="10">
        <v>10.233</v>
      </c>
      <c r="D10" s="10">
        <v>3.3615</v>
      </c>
      <c r="E10" s="10">
        <f t="shared" si="0"/>
        <v>13.5945</v>
      </c>
      <c r="F10" s="10" t="s">
        <v>14</v>
      </c>
      <c r="G10" s="10">
        <f>5.265+7.938+15.8625+3.8745+0+0+0+4.698+14.391+7.0875+8.019+6.777+13.5945</f>
        <v>87.507</v>
      </c>
      <c r="H10" s="10"/>
      <c r="I10" s="10">
        <f>G10/(G3*0.1865)</f>
        <v>4.99155781187611</v>
      </c>
      <c r="J10" s="18" t="s">
        <v>23</v>
      </c>
      <c r="K10" s="20">
        <f>0+0+0.338045+0.55572+0+0+0+0+0+0+0+0+0.279136</f>
        <v>1.172901</v>
      </c>
      <c r="L10" s="10"/>
      <c r="M10" s="10">
        <f>C9*L9/100</f>
        <v>0.279136</v>
      </c>
    </row>
    <row r="11" s="1" customFormat="1" ht="25" customHeight="1" spans="1:13">
      <c r="A11" s="7">
        <v>6</v>
      </c>
      <c r="B11" s="8" t="s">
        <v>24</v>
      </c>
      <c r="C11" s="10">
        <v>21.4176</v>
      </c>
      <c r="D11" s="10">
        <v>0</v>
      </c>
      <c r="E11" s="10">
        <f t="shared" si="0"/>
        <v>21.4176</v>
      </c>
      <c r="F11" s="10" t="s">
        <v>14</v>
      </c>
      <c r="G11" s="10">
        <f>8.832+2.8336+13.1376+8.9976+0+0+0+10.9664+15.548+10.1384+8.4456+13.5792+21.4176</f>
        <v>113.896</v>
      </c>
      <c r="H11" s="10"/>
      <c r="I11" s="10">
        <f>G11/(G3*0.1865)</f>
        <v>6.49683417945354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250</v>
      </c>
      <c r="D12" s="10">
        <v>245</v>
      </c>
      <c r="E12" s="10">
        <f t="shared" si="0"/>
        <v>495</v>
      </c>
      <c r="F12" s="10"/>
      <c r="G12" s="10">
        <f>256+501+386+182+0+0+0+16+349+326+388+456+495</f>
        <v>3355</v>
      </c>
      <c r="H12" s="10">
        <f>G12*1.05</f>
        <v>3522.75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200</v>
      </c>
      <c r="D13" s="10">
        <v>146</v>
      </c>
      <c r="E13" s="10">
        <f t="shared" ref="E13:E21" si="1">D13+C13</f>
        <v>346</v>
      </c>
      <c r="F13" s="10" t="s">
        <v>27</v>
      </c>
      <c r="G13" s="10">
        <f>142+478+310+96+0+0+0+135+276+288+363+341+346</f>
        <v>2775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493.78</v>
      </c>
      <c r="D14" s="10">
        <v>440.6</v>
      </c>
      <c r="E14" s="10">
        <f t="shared" si="1"/>
        <v>934.38</v>
      </c>
      <c r="F14" s="10" t="s">
        <v>27</v>
      </c>
      <c r="G14" s="10">
        <f>852.63+765.27+628.63+67.84+0+0+0+622.22+656.54+537.49+673.12+867.1+934.38</f>
        <v>6605.22</v>
      </c>
      <c r="H14" s="10"/>
      <c r="I14" s="10"/>
      <c r="J14" s="18" t="s">
        <v>29</v>
      </c>
      <c r="K14" s="10">
        <v>3.05</v>
      </c>
      <c r="L14" s="10">
        <v>3.09</v>
      </c>
      <c r="M14" s="10"/>
    </row>
    <row r="15" s="1" customFormat="1" ht="25" customHeight="1" spans="1:13">
      <c r="A15" s="7">
        <v>10</v>
      </c>
      <c r="B15" s="8" t="s">
        <v>32</v>
      </c>
      <c r="C15" s="10">
        <v>15</v>
      </c>
      <c r="D15" s="10">
        <v>12</v>
      </c>
      <c r="E15" s="10">
        <f t="shared" si="1"/>
        <v>27</v>
      </c>
      <c r="F15" s="10" t="s">
        <v>14</v>
      </c>
      <c r="G15" s="10">
        <f>6+42+24+0+0+0+0+24+18+24+24+30+27</f>
        <v>219</v>
      </c>
      <c r="H15" s="10"/>
      <c r="I15" s="10">
        <f>G15/(G3*0.1865)</f>
        <v>12.4921567508984</v>
      </c>
      <c r="J15" s="18" t="s">
        <v>31</v>
      </c>
      <c r="K15" s="20">
        <f>2.4676132+2.4190333+2.1010637+0.22048+0+0+0+1.9197875+1.9348016+1.6144511+1.7938333+2.565604+2.867483</f>
        <v>19.9041507</v>
      </c>
      <c r="L15" s="10"/>
      <c r="M15" s="10">
        <f>(C14*K14+L14*D14)/1000</f>
        <v>2.867483</v>
      </c>
    </row>
    <row r="16" s="1" customFormat="1" ht="25" customHeight="1" spans="1:13">
      <c r="A16" s="7">
        <v>11</v>
      </c>
      <c r="B16" s="8" t="s">
        <v>33</v>
      </c>
      <c r="C16" s="7">
        <f>0.075/2</f>
        <v>0.0375</v>
      </c>
      <c r="D16" s="7">
        <v>0</v>
      </c>
      <c r="E16" s="10">
        <f t="shared" si="1"/>
        <v>0.0375</v>
      </c>
      <c r="F16" s="10" t="s">
        <v>14</v>
      </c>
      <c r="G16" s="10">
        <f>0.1+0+0+0+0+0+0+0+0+0+0+0.0875+0.0375</f>
        <v>0.225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34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0+2+0+2+0+0+0+0+2+0+0+2+2</f>
        <v>10</v>
      </c>
      <c r="H17" s="22"/>
      <c r="I17" s="22">
        <f>G17/(G3*0.1865)</f>
        <v>0.570418116479379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35</v>
      </c>
      <c r="C18" s="10">
        <v>1.5</v>
      </c>
      <c r="D18" s="7">
        <v>0</v>
      </c>
      <c r="E18" s="10">
        <f t="shared" si="1"/>
        <v>1.5</v>
      </c>
      <c r="F18" s="10" t="s">
        <v>14</v>
      </c>
      <c r="G18" s="10">
        <f>0+1.5+0+1.5+0+0+0+0+1.5+0+0+1.5+1.5</f>
        <v>7.5</v>
      </c>
      <c r="H18" s="22"/>
      <c r="I18" s="22">
        <f>G18/(G3*0.1865)</f>
        <v>0.427813587359535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36</v>
      </c>
      <c r="C19" s="10">
        <v>3</v>
      </c>
      <c r="D19" s="7">
        <v>3</v>
      </c>
      <c r="E19" s="10">
        <f t="shared" si="1"/>
        <v>6</v>
      </c>
      <c r="F19" s="10" t="s">
        <v>37</v>
      </c>
      <c r="G19" s="10">
        <f>12+0+9+0+0+0+0+10+5+3+5+5+6</f>
        <v>55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39</v>
      </c>
      <c r="C20" s="7">
        <v>538</v>
      </c>
      <c r="D20" s="7">
        <v>556</v>
      </c>
      <c r="E20" s="10">
        <f t="shared" si="1"/>
        <v>1094</v>
      </c>
      <c r="F20" s="10" t="s">
        <v>27</v>
      </c>
      <c r="G20" s="10">
        <f>1304+1347+838+28+0+0+0+605+1367+931+1037+1080+1094</f>
        <v>9631</v>
      </c>
      <c r="H20" s="23"/>
      <c r="I20" s="10">
        <f>E20/M20</f>
        <v>45.5833333333333</v>
      </c>
      <c r="J20" s="18" t="s">
        <v>87</v>
      </c>
      <c r="K20" s="10">
        <f>23.5+24+13.5+0+0+0+0+9+24+16+20+24+24</f>
        <v>178</v>
      </c>
      <c r="L20" s="10">
        <f>G20/K20</f>
        <v>54.1067415730337</v>
      </c>
      <c r="M20" s="10">
        <v>24</v>
      </c>
    </row>
    <row r="21" s="1" customFormat="1" ht="25" customHeight="1" spans="1:13">
      <c r="A21" s="12">
        <v>16</v>
      </c>
      <c r="B21" s="8" t="s">
        <v>41</v>
      </c>
      <c r="C21" s="7">
        <v>726</v>
      </c>
      <c r="D21" s="7">
        <v>731</v>
      </c>
      <c r="E21" s="10">
        <f t="shared" si="1"/>
        <v>1457</v>
      </c>
      <c r="F21" s="10" t="s">
        <v>27</v>
      </c>
      <c r="G21" s="10">
        <f>1466+1706+934+1+0+0+0+774+1606+1121+1327+1431+1457</f>
        <v>11823</v>
      </c>
      <c r="H21" s="22"/>
      <c r="I21" s="10">
        <f>E21/M20</f>
        <v>60.7083333333333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42</v>
      </c>
      <c r="C22" s="12">
        <v>31.82</v>
      </c>
      <c r="D22" s="12">
        <v>34.34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44</v>
      </c>
      <c r="C23" s="40"/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3">
      <c r="A24" s="7">
        <v>19</v>
      </c>
      <c r="B24" s="31" t="s">
        <v>46</v>
      </c>
      <c r="C24" s="27"/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3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98</v>
      </c>
    </row>
    <row r="28" s="1" customFormat="1" ht="30" customHeight="1" spans="1:13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54</v>
      </c>
      <c r="C30" s="10">
        <v>0</v>
      </c>
      <c r="D30" s="10">
        <v>0</v>
      </c>
      <c r="E30" s="10">
        <f t="shared" si="2"/>
        <v>0</v>
      </c>
      <c r="F30" s="10" t="s">
        <v>27</v>
      </c>
      <c r="G30" s="10">
        <f>16.54+16.48+16.51+8.25+0+0+0+0+0+0+8.28+14.61+0</f>
        <v>80.67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55</v>
      </c>
      <c r="C31" s="10">
        <v>15</v>
      </c>
      <c r="D31" s="10">
        <v>8</v>
      </c>
      <c r="E31" s="10">
        <f t="shared" si="2"/>
        <v>23</v>
      </c>
      <c r="F31" s="10" t="s">
        <v>27</v>
      </c>
      <c r="G31" s="10">
        <f>27+20+43+14+0+0+0+76+25+12+28+14+23</f>
        <v>282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11.8125</v>
      </c>
      <c r="D32" s="10">
        <v>0</v>
      </c>
      <c r="E32" s="10">
        <f t="shared" si="2"/>
        <v>11.8125</v>
      </c>
      <c r="F32" s="10" t="s">
        <v>14</v>
      </c>
      <c r="G32" s="10">
        <f>0+10.3545+7.7625+8.154+0+0+0+0+0+0+0+0+11.8125</f>
        <v>38.0835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8</v>
      </c>
      <c r="D34" s="10">
        <v>0</v>
      </c>
      <c r="E34" s="10">
        <f t="shared" si="2"/>
        <v>8</v>
      </c>
      <c r="F34" s="10" t="s">
        <v>27</v>
      </c>
      <c r="G34" s="10">
        <f>0+6+0+0+0+0+0+19+2+51+0+0+8</f>
        <v>86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350</v>
      </c>
      <c r="D35" s="10">
        <v>331</v>
      </c>
      <c r="E35" s="10">
        <f t="shared" si="2"/>
        <v>681</v>
      </c>
      <c r="F35" s="10" t="s">
        <v>27</v>
      </c>
      <c r="G35" s="10">
        <f>599+599+554+284+0+0+0+589+627+644+651+638+681</f>
        <v>5866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0+0+0+0+0+0+0+0+0+0+0+0+0</f>
        <v>0</v>
      </c>
      <c r="H36" s="22"/>
      <c r="I36" s="7">
        <v>615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0+0+0+0+0+0+0+0+0+0+0+0+0</f>
        <v>0</v>
      </c>
      <c r="H37" s="22"/>
      <c r="I37" s="7">
        <v>91.203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0</v>
      </c>
      <c r="D38" s="7">
        <v>0</v>
      </c>
      <c r="E38" s="10">
        <f>D38+C38</f>
        <v>0</v>
      </c>
      <c r="F38" s="10" t="s">
        <v>37</v>
      </c>
      <c r="G38" s="10">
        <f>2+3+3+2+0+0+0+0+0+0+0+3+0</f>
        <v>13</v>
      </c>
      <c r="H38" s="22"/>
      <c r="I38" s="10">
        <v>3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G17" sqref="G17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99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3.5</v>
      </c>
      <c r="D3" s="9">
        <v>2</v>
      </c>
      <c r="E3" s="10">
        <f t="shared" ref="E3:E12" si="0">C3+D3</f>
        <v>5.5</v>
      </c>
      <c r="F3" s="10" t="s">
        <v>14</v>
      </c>
      <c r="G3" s="10">
        <f>2+14.5+12+6+0+0+0+1+10.5+13+9.5+11.5+14+5.5</f>
        <v>99.5</v>
      </c>
      <c r="H3" s="10">
        <v>294</v>
      </c>
      <c r="I3" s="10">
        <f>H3-G3</f>
        <v>194.5</v>
      </c>
      <c r="J3" s="11"/>
      <c r="K3" s="10"/>
      <c r="L3" s="10"/>
      <c r="M3" s="10">
        <f>I3/16</f>
        <v>12.15625</v>
      </c>
    </row>
    <row r="4" s="1" customFormat="1" ht="38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14+2+14+12+6+0+0+0+0+12+12+10+12+14</f>
        <v>108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16</v>
      </c>
      <c r="C5" s="10">
        <v>29</v>
      </c>
      <c r="D5" s="10">
        <v>79</v>
      </c>
      <c r="E5" s="10">
        <f t="shared" si="0"/>
        <v>108</v>
      </c>
      <c r="F5" s="10" t="s">
        <v>14</v>
      </c>
      <c r="G5" s="10">
        <f>0+0+0+0+0+0+0+0+0+42+185+181+182+108</f>
        <v>698</v>
      </c>
      <c r="H5" s="10">
        <v>4346</v>
      </c>
      <c r="I5" s="10">
        <f>H5-G5-G7-G6</f>
        <v>2789</v>
      </c>
      <c r="J5" s="14"/>
      <c r="K5" s="10"/>
      <c r="L5" s="10"/>
      <c r="M5" s="10"/>
    </row>
    <row r="6" s="1" customFormat="1" ht="38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206+172+152+0+0+0+0+20+219+80+7+1+2+0</f>
        <v>859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0+0+0+0+0+0+0+0+0+0+1+0+0+0</f>
        <v>1</v>
      </c>
      <c r="H8" s="16"/>
      <c r="I8" s="16"/>
      <c r="J8" s="11"/>
      <c r="K8" s="10"/>
      <c r="L8" s="10"/>
      <c r="M8" s="10"/>
    </row>
    <row r="9" s="1" customFormat="1" ht="25" customHeight="1" spans="1:13">
      <c r="A9" s="12">
        <v>4</v>
      </c>
      <c r="B9" s="17" t="s">
        <v>20</v>
      </c>
      <c r="C9" s="13">
        <v>30.91</v>
      </c>
      <c r="D9" s="13"/>
      <c r="E9" s="10">
        <f t="shared" si="0"/>
        <v>30.91</v>
      </c>
      <c r="F9" s="13" t="s">
        <v>14</v>
      </c>
      <c r="G9" s="10">
        <f>0+0+39.77+63.15+0+0+0+0+0+0+0+0+31.72+30.91</f>
        <v>165.55</v>
      </c>
      <c r="H9" s="13">
        <v>5.42</v>
      </c>
      <c r="I9" s="13">
        <f>H9-K10</f>
        <v>3.981273</v>
      </c>
      <c r="J9" s="18" t="s">
        <v>21</v>
      </c>
      <c r="K9" s="13">
        <v>4</v>
      </c>
      <c r="L9" s="13">
        <v>0.86</v>
      </c>
      <c r="M9" s="19"/>
    </row>
    <row r="10" s="1" customFormat="1" ht="25" customHeight="1" spans="1:13">
      <c r="A10" s="7">
        <v>5</v>
      </c>
      <c r="B10" s="8" t="s">
        <v>22</v>
      </c>
      <c r="C10" s="10">
        <v>8.7075</v>
      </c>
      <c r="D10" s="10">
        <v>0</v>
      </c>
      <c r="E10" s="10">
        <f t="shared" si="0"/>
        <v>8.7075</v>
      </c>
      <c r="F10" s="10" t="s">
        <v>14</v>
      </c>
      <c r="G10" s="10">
        <f>5.265+7.938+15.8625+3.8745+0+0+0+4.698+14.391+7.0875+8.019+6.777+13.5945+8.7075</f>
        <v>96.2145</v>
      </c>
      <c r="H10" s="10"/>
      <c r="I10" s="10">
        <f>G10/(G3*0.1865)</f>
        <v>5.1848788176809</v>
      </c>
      <c r="J10" s="18" t="s">
        <v>23</v>
      </c>
      <c r="K10" s="20">
        <f>0+0+0.338045+0.55572+0+0+0+0+0+0+0+0+0.279136+0.265826</f>
        <v>1.438727</v>
      </c>
      <c r="L10" s="10"/>
      <c r="M10" s="10">
        <f>C9*L9/100</f>
        <v>0.265826</v>
      </c>
    </row>
    <row r="11" s="1" customFormat="1" ht="25" customHeight="1" spans="1:13">
      <c r="A11" s="7">
        <v>6</v>
      </c>
      <c r="B11" s="8" t="s">
        <v>24</v>
      </c>
      <c r="C11" s="10">
        <v>10.488</v>
      </c>
      <c r="D11" s="10">
        <v>0</v>
      </c>
      <c r="E11" s="10">
        <f t="shared" si="0"/>
        <v>10.488</v>
      </c>
      <c r="F11" s="10" t="s">
        <v>14</v>
      </c>
      <c r="G11" s="10">
        <f>8.832+2.8336+13.1376+8.9976+0+0+0+10.9664+15.548+10.1384+8.4456+13.5792+21.4176+10.488</f>
        <v>124.384</v>
      </c>
      <c r="H11" s="10"/>
      <c r="I11" s="10">
        <f>G11/(G3*0.1865)</f>
        <v>6.70289786735285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255</v>
      </c>
      <c r="D12" s="10">
        <v>69</v>
      </c>
      <c r="E12" s="10">
        <f t="shared" si="0"/>
        <v>324</v>
      </c>
      <c r="F12" s="10"/>
      <c r="G12" s="10">
        <f>256+501+386+182+0+0+0+16+349+326+388+456+495+324</f>
        <v>3679</v>
      </c>
      <c r="H12" s="10">
        <f>G12*1.05</f>
        <v>3862.95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186</v>
      </c>
      <c r="D13" s="10">
        <v>6</v>
      </c>
      <c r="E13" s="10">
        <f t="shared" ref="E13:E21" si="1">D13+C13</f>
        <v>192</v>
      </c>
      <c r="F13" s="10" t="s">
        <v>27</v>
      </c>
      <c r="G13" s="10">
        <f>142+478+310+96+0+0+0+135+276+288+363+341+346+192</f>
        <v>2967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441.35</v>
      </c>
      <c r="D14" s="10">
        <v>461.68</v>
      </c>
      <c r="E14" s="10">
        <f t="shared" si="1"/>
        <v>903.03</v>
      </c>
      <c r="F14" s="10" t="s">
        <v>27</v>
      </c>
      <c r="G14" s="10">
        <f>852.63+765.27+628.63+67.84+0+0+0+622.22+656.54+537.49+673.12+867.1+934.38+903.03</f>
        <v>7508.25</v>
      </c>
      <c r="H14" s="10"/>
      <c r="I14" s="10"/>
      <c r="J14" s="18" t="s">
        <v>29</v>
      </c>
      <c r="K14" s="10">
        <v>2.79</v>
      </c>
      <c r="L14" s="10">
        <v>3.34</v>
      </c>
      <c r="M14" s="10"/>
    </row>
    <row r="15" s="1" customFormat="1" ht="25" customHeight="1" spans="1:13">
      <c r="A15" s="7">
        <v>10</v>
      </c>
      <c r="B15" s="8" t="s">
        <v>32</v>
      </c>
      <c r="C15" s="10">
        <v>12</v>
      </c>
      <c r="D15" s="10">
        <v>3</v>
      </c>
      <c r="E15" s="10">
        <f t="shared" si="1"/>
        <v>15</v>
      </c>
      <c r="F15" s="10" t="s">
        <v>14</v>
      </c>
      <c r="G15" s="10">
        <f>6+42+24+0+0+0+0+24+18+24+24+30+27+15</f>
        <v>234</v>
      </c>
      <c r="H15" s="10"/>
      <c r="I15" s="10">
        <f>G15/(G3*0.1865)</f>
        <v>12.6099667236989</v>
      </c>
      <c r="J15" s="18" t="s">
        <v>31</v>
      </c>
      <c r="K15" s="20">
        <f>2.4676132+2.4190333+2.1010637+0.22048+0+0+0+1.9197875+1.9348016+1.6144511+1.7938333+2.565604+2.867483+2.7733777</f>
        <v>22.6775284</v>
      </c>
      <c r="L15" s="10"/>
      <c r="M15" s="10">
        <f>(C14*K14+L14*D14)/1000</f>
        <v>2.7733777</v>
      </c>
    </row>
    <row r="16" s="1" customFormat="1" ht="25" customHeight="1" spans="1:13">
      <c r="A16" s="7">
        <v>11</v>
      </c>
      <c r="B16" s="8" t="s">
        <v>33</v>
      </c>
      <c r="C16" s="7">
        <f>0.225/2</f>
        <v>0.1125</v>
      </c>
      <c r="D16" s="7">
        <v>0</v>
      </c>
      <c r="E16" s="10">
        <f t="shared" si="1"/>
        <v>0.1125</v>
      </c>
      <c r="F16" s="10" t="s">
        <v>14</v>
      </c>
      <c r="G16" s="10">
        <f>0.1+0+0+0+0+0+0+0+0+0+0+0.0875+0.0375+0.1125</f>
        <v>0.3375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34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0+2+0+2+0+0+0+0+2+0+0+2+2+0</f>
        <v>10</v>
      </c>
      <c r="H17" s="22"/>
      <c r="I17" s="22">
        <f>G17/(G3*0.1865)</f>
        <v>0.53888746682474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35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0+1.5+0+1.5+0+0+0+0+1.5+0+0+1.5+1.5+0</f>
        <v>7.5</v>
      </c>
      <c r="H18" s="22"/>
      <c r="I18" s="22">
        <f>G18/(G3*0.1865)</f>
        <v>0.404165600118555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36</v>
      </c>
      <c r="C19" s="10">
        <v>7</v>
      </c>
      <c r="D19" s="7">
        <v>3</v>
      </c>
      <c r="E19" s="10">
        <f t="shared" si="1"/>
        <v>10</v>
      </c>
      <c r="F19" s="10" t="s">
        <v>37</v>
      </c>
      <c r="G19" s="10">
        <f>12+0+9+0+0+0+0+10+5+3+5+5+6+10</f>
        <v>65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39</v>
      </c>
      <c r="C20" s="7">
        <v>267</v>
      </c>
      <c r="D20" s="7">
        <v>574</v>
      </c>
      <c r="E20" s="10">
        <f t="shared" si="1"/>
        <v>841</v>
      </c>
      <c r="F20" s="10" t="s">
        <v>27</v>
      </c>
      <c r="G20" s="10">
        <f>1304+1347+838+28+0+0+0+605+1367+931+1037+1080+1094+841</f>
        <v>10472</v>
      </c>
      <c r="H20" s="23"/>
      <c r="I20" s="10">
        <f>E20/M20</f>
        <v>54.258064516129</v>
      </c>
      <c r="J20" s="18" t="s">
        <v>87</v>
      </c>
      <c r="K20" s="10">
        <f>23.5+24+13.5+0+0+0+0+9+24+16+20+24+24+15.5</f>
        <v>193.5</v>
      </c>
      <c r="L20" s="10">
        <f>G20/K20</f>
        <v>54.1188630490956</v>
      </c>
      <c r="M20" s="10">
        <v>15.5</v>
      </c>
    </row>
    <row r="21" s="1" customFormat="1" ht="25" customHeight="1" spans="1:13">
      <c r="A21" s="12">
        <v>16</v>
      </c>
      <c r="B21" s="8" t="s">
        <v>41</v>
      </c>
      <c r="C21" s="7">
        <v>394</v>
      </c>
      <c r="D21" s="7">
        <v>594</v>
      </c>
      <c r="E21" s="10">
        <f t="shared" si="1"/>
        <v>988</v>
      </c>
      <c r="F21" s="10" t="s">
        <v>27</v>
      </c>
      <c r="G21" s="10">
        <f>1466+1706+934+1+0+0+0+774+1606+1121+1327+1431+1457+988</f>
        <v>12811</v>
      </c>
      <c r="H21" s="22"/>
      <c r="I21" s="10">
        <f>E21/M20</f>
        <v>63.741935483871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42</v>
      </c>
      <c r="C22" s="12">
        <v>34.57</v>
      </c>
      <c r="D22" s="12">
        <v>33.7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44</v>
      </c>
      <c r="C23" s="40"/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3">
      <c r="A24" s="7">
        <v>19</v>
      </c>
      <c r="B24" s="31" t="s">
        <v>46</v>
      </c>
      <c r="C24" s="27"/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3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100</v>
      </c>
    </row>
    <row r="28" s="1" customFormat="1" ht="30" customHeight="1" spans="1:13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54</v>
      </c>
      <c r="C30" s="10">
        <v>8.78</v>
      </c>
      <c r="D30" s="10">
        <v>8.34</v>
      </c>
      <c r="E30" s="10">
        <f t="shared" si="2"/>
        <v>17.12</v>
      </c>
      <c r="F30" s="10" t="s">
        <v>27</v>
      </c>
      <c r="G30" s="10">
        <f>16.54+16.48+16.51+8.25+0+0+0+0+0+0+8.28+14.61+0+17.12</f>
        <v>97.79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55</v>
      </c>
      <c r="C31" s="10">
        <v>15</v>
      </c>
      <c r="D31" s="10">
        <v>9</v>
      </c>
      <c r="E31" s="10">
        <f t="shared" si="2"/>
        <v>24</v>
      </c>
      <c r="F31" s="10" t="s">
        <v>27</v>
      </c>
      <c r="G31" s="10">
        <f>27+20+43+14+0+0+0+76+25+12+28+14+23+24</f>
        <v>306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0+10.3545+7.7625+8.154+0+0+0+0+0+0+0+0+11.8125+0</f>
        <v>38.0835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101</v>
      </c>
      <c r="D34" s="10">
        <v>178</v>
      </c>
      <c r="E34" s="10">
        <f t="shared" si="2"/>
        <v>279</v>
      </c>
      <c r="F34" s="10" t="s">
        <v>27</v>
      </c>
      <c r="G34" s="10">
        <f>0+6+0+0+0+0+0+19+2+51+0+0+8+279</f>
        <v>365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267</v>
      </c>
      <c r="D35" s="10">
        <v>286</v>
      </c>
      <c r="E35" s="10">
        <f t="shared" si="2"/>
        <v>553</v>
      </c>
      <c r="F35" s="10" t="s">
        <v>27</v>
      </c>
      <c r="G35" s="10">
        <f>599+599+554+284+0+0+0+589+627+644+651+638+681+553</f>
        <v>6419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0+0+0+0+0+0+0+0+0+0+0+0+0+0</f>
        <v>0</v>
      </c>
      <c r="H36" s="22"/>
      <c r="I36" s="7">
        <v>720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0+0+0+0+0+0+0+0+0+0+0+0+0+0</f>
        <v>0</v>
      </c>
      <c r="H37" s="22"/>
      <c r="I37" s="7">
        <v>96.4146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2</v>
      </c>
      <c r="D38" s="7">
        <v>2</v>
      </c>
      <c r="E38" s="10">
        <f>D38+C38</f>
        <v>4</v>
      </c>
      <c r="F38" s="10" t="s">
        <v>37</v>
      </c>
      <c r="G38" s="10">
        <f>2+3+3+2+0+0+0+0+0+0+0+3+0+4</f>
        <v>17</v>
      </c>
      <c r="H38" s="22"/>
      <c r="I38" s="10">
        <v>7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G17" sqref="G17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101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4.5</v>
      </c>
      <c r="D3" s="9">
        <v>8</v>
      </c>
      <c r="E3" s="10">
        <f t="shared" ref="E3:E12" si="0">C3+D3</f>
        <v>12.5</v>
      </c>
      <c r="F3" s="10" t="s">
        <v>14</v>
      </c>
      <c r="G3" s="10">
        <f>2+14.5+12+6+0+0+0+1+10.5+13+9.5+11.5+14+5.5+12.5</f>
        <v>112</v>
      </c>
      <c r="H3" s="10">
        <v>294</v>
      </c>
      <c r="I3" s="10">
        <f>H3-G3</f>
        <v>182</v>
      </c>
      <c r="J3" s="11"/>
      <c r="K3" s="10"/>
      <c r="L3" s="10"/>
      <c r="M3" s="10">
        <f>I3/15</f>
        <v>12.1333333333333</v>
      </c>
    </row>
    <row r="4" s="1" customFormat="1" ht="38" customHeight="1" spans="1:13">
      <c r="A4" s="12">
        <v>2</v>
      </c>
      <c r="B4" s="8" t="s">
        <v>15</v>
      </c>
      <c r="C4" s="9">
        <v>4</v>
      </c>
      <c r="D4" s="9"/>
      <c r="E4" s="10">
        <f t="shared" si="0"/>
        <v>4</v>
      </c>
      <c r="F4" s="10" t="s">
        <v>14</v>
      </c>
      <c r="G4" s="10">
        <f>14+2+14+12+6+0+0+0+0+12+12+10+12+14+4</f>
        <v>112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16</v>
      </c>
      <c r="C5" s="10">
        <v>85</v>
      </c>
      <c r="D5" s="10">
        <v>73</v>
      </c>
      <c r="E5" s="10">
        <f t="shared" si="0"/>
        <v>158</v>
      </c>
      <c r="F5" s="10" t="s">
        <v>14</v>
      </c>
      <c r="G5" s="10">
        <f>0+0+0+0+0+0+0+0+0+42+185+181+182+108+158</f>
        <v>856</v>
      </c>
      <c r="H5" s="10">
        <v>4346</v>
      </c>
      <c r="I5" s="10">
        <f>H5-G5-G7-G6</f>
        <v>2631</v>
      </c>
      <c r="J5" s="14"/>
      <c r="K5" s="10"/>
      <c r="L5" s="10"/>
      <c r="M5" s="10"/>
    </row>
    <row r="6" s="1" customFormat="1" ht="38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206+172+152+0+0+0+0+20+219+80+7+1+2+0+0</f>
        <v>859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0+0+0+0+0+0+0+0+0+0+1+0+0+0+0</f>
        <v>1</v>
      </c>
      <c r="H8" s="16"/>
      <c r="I8" s="16"/>
      <c r="J8" s="11"/>
      <c r="K8" s="10"/>
      <c r="L8" s="10"/>
      <c r="M8" s="10"/>
    </row>
    <row r="9" s="1" customFormat="1" ht="25" customHeight="1" spans="1:13">
      <c r="A9" s="12">
        <v>4</v>
      </c>
      <c r="B9" s="17" t="s">
        <v>20</v>
      </c>
      <c r="C9" s="13">
        <v>61.21</v>
      </c>
      <c r="D9" s="13"/>
      <c r="E9" s="10">
        <f t="shared" si="0"/>
        <v>61.21</v>
      </c>
      <c r="F9" s="13" t="s">
        <v>14</v>
      </c>
      <c r="G9" s="10">
        <f>0+0+39.77+63.15+0+0+0+0+0+0+0+0+31.72+30.91+61.21</f>
        <v>226.76</v>
      </c>
      <c r="H9" s="13">
        <v>5.42</v>
      </c>
      <c r="I9" s="13">
        <f>H9-K10</f>
        <v>3.503835</v>
      </c>
      <c r="J9" s="18" t="s">
        <v>21</v>
      </c>
      <c r="K9" s="13">
        <v>3</v>
      </c>
      <c r="L9" s="13">
        <v>0.78</v>
      </c>
      <c r="M9" s="19"/>
    </row>
    <row r="10" s="1" customFormat="1" ht="25" customHeight="1" spans="1:13">
      <c r="A10" s="7">
        <v>5</v>
      </c>
      <c r="B10" s="8" t="s">
        <v>22</v>
      </c>
      <c r="C10" s="10">
        <v>8.0325</v>
      </c>
      <c r="D10" s="10">
        <v>0</v>
      </c>
      <c r="E10" s="10">
        <f t="shared" si="0"/>
        <v>8.0325</v>
      </c>
      <c r="F10" s="10" t="s">
        <v>14</v>
      </c>
      <c r="G10" s="10">
        <f>5.265+7.938+15.8625+3.8745+0+0+0+4.698+14.391+7.0875+8.019+6.777+13.5945+8.7075+8.0325</f>
        <v>104.247</v>
      </c>
      <c r="H10" s="10"/>
      <c r="I10" s="10">
        <f>G10/(G3*0.1865)</f>
        <v>4.99076024511681</v>
      </c>
      <c r="J10" s="18" t="s">
        <v>23</v>
      </c>
      <c r="K10" s="20">
        <f>0+0+0.338045+0.55572+0+0+0+0+0+0+0+0+0.279136+0.265826+0.477438</f>
        <v>1.916165</v>
      </c>
      <c r="L10" s="10"/>
      <c r="M10" s="10">
        <f>C9*L9/100</f>
        <v>0.477438</v>
      </c>
    </row>
    <row r="11" s="1" customFormat="1" ht="25" customHeight="1" spans="1:13">
      <c r="A11" s="7">
        <v>6</v>
      </c>
      <c r="B11" s="8" t="s">
        <v>24</v>
      </c>
      <c r="C11" s="10">
        <v>11.7576</v>
      </c>
      <c r="D11" s="10">
        <v>0</v>
      </c>
      <c r="E11" s="10">
        <f t="shared" si="0"/>
        <v>11.7576</v>
      </c>
      <c r="F11" s="10" t="s">
        <v>14</v>
      </c>
      <c r="G11" s="10">
        <f>8.832+2.8336+13.1376+8.9976+0+0+0+10.9664+15.548+10.1384+8.4456+13.5792+21.4176+10.488+11.7576</f>
        <v>136.1416</v>
      </c>
      <c r="H11" s="10"/>
      <c r="I11" s="10">
        <f>G11/(G3*0.1865)</f>
        <v>6.51769436997319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260</v>
      </c>
      <c r="D12" s="10">
        <v>243</v>
      </c>
      <c r="E12" s="10">
        <f t="shared" si="0"/>
        <v>503</v>
      </c>
      <c r="F12" s="10"/>
      <c r="G12" s="10">
        <f>256+501+386+182+0+0+0+16+349+326+388+456+495+324+503</f>
        <v>4182</v>
      </c>
      <c r="H12" s="10">
        <f>G12*1.05</f>
        <v>4391.1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237</v>
      </c>
      <c r="D13" s="10">
        <v>247</v>
      </c>
      <c r="E13" s="10">
        <f t="shared" ref="E13:E21" si="1">D13+C13</f>
        <v>484</v>
      </c>
      <c r="F13" s="10" t="s">
        <v>27</v>
      </c>
      <c r="G13" s="10">
        <f>142+478+310+96+0+0+0+135+276+288+363+341+346+192+484</f>
        <v>3451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496.53</v>
      </c>
      <c r="D14" s="10">
        <v>490.59</v>
      </c>
      <c r="E14" s="10">
        <f t="shared" si="1"/>
        <v>987.12</v>
      </c>
      <c r="F14" s="10" t="s">
        <v>27</v>
      </c>
      <c r="G14" s="10">
        <f>852.63+765.27+628.63+67.84+0+0+0+622.22+656.54+537.49+673.12+867.1+934.38+903.03+987.12</f>
        <v>8495.37</v>
      </c>
      <c r="H14" s="10"/>
      <c r="I14" s="10"/>
      <c r="J14" s="18" t="s">
        <v>29</v>
      </c>
      <c r="K14" s="10">
        <v>3.38</v>
      </c>
      <c r="L14" s="10">
        <v>3.34</v>
      </c>
      <c r="M14" s="10"/>
    </row>
    <row r="15" s="1" customFormat="1" ht="25" customHeight="1" spans="1:13">
      <c r="A15" s="7">
        <v>10</v>
      </c>
      <c r="B15" s="8" t="s">
        <v>32</v>
      </c>
      <c r="C15" s="10">
        <v>15</v>
      </c>
      <c r="D15" s="10">
        <v>18</v>
      </c>
      <c r="E15" s="10">
        <f t="shared" si="1"/>
        <v>33</v>
      </c>
      <c r="F15" s="10" t="s">
        <v>14</v>
      </c>
      <c r="G15" s="10">
        <f>6+42+24+0+0+0+0+24+18+24+24+30+27+15+33</f>
        <v>267</v>
      </c>
      <c r="H15" s="10"/>
      <c r="I15" s="10">
        <f>G15/(G3*0.1865)</f>
        <v>12.7824588280352</v>
      </c>
      <c r="J15" s="18" t="s">
        <v>31</v>
      </c>
      <c r="K15" s="20">
        <f>2.4676132+2.4190333+2.1010637+0.22048+0+0+0+1.9197875+1.9348016+1.6144511+1.7938333+2.565604+2.867483+2.7733777+3.316842</f>
        <v>25.9943704</v>
      </c>
      <c r="L15" s="10"/>
      <c r="M15" s="10">
        <f>(C14*K14+L14*D14)/1000</f>
        <v>3.316842</v>
      </c>
    </row>
    <row r="16" s="1" customFormat="1" ht="25" customHeight="1" spans="1:13">
      <c r="A16" s="7">
        <v>11</v>
      </c>
      <c r="B16" s="8" t="s">
        <v>33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0.1+0+0+0+0+0+0+0+0+0+0+0.0875+0.0375+0.1125+0</f>
        <v>0.3375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34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0+2+0+2+0+0+0+0+2+0+0+2+2+0+2</f>
        <v>12</v>
      </c>
      <c r="H17" s="22"/>
      <c r="I17" s="22">
        <f>G17/(G3*0.1865)</f>
        <v>0.574492531597089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35</v>
      </c>
      <c r="C18" s="10">
        <v>1.5</v>
      </c>
      <c r="D18" s="7">
        <v>0</v>
      </c>
      <c r="E18" s="10">
        <f t="shared" si="1"/>
        <v>1.5</v>
      </c>
      <c r="F18" s="10" t="s">
        <v>14</v>
      </c>
      <c r="G18" s="10">
        <f>0+1.5+0+1.5+0+0+0+0+1.5+0+0+1.5+1.5+0+1.5</f>
        <v>9</v>
      </c>
      <c r="H18" s="22"/>
      <c r="I18" s="22">
        <f>G18/(G3*0.1865)</f>
        <v>0.430869398697817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36</v>
      </c>
      <c r="C19" s="10">
        <v>0</v>
      </c>
      <c r="D19" s="7">
        <v>4</v>
      </c>
      <c r="E19" s="10">
        <f t="shared" si="1"/>
        <v>4</v>
      </c>
      <c r="F19" s="10" t="s">
        <v>37</v>
      </c>
      <c r="G19" s="10">
        <f>12+0+9+0+0+0+0+10+5+3+5+5+6+10+4</f>
        <v>69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39</v>
      </c>
      <c r="C20" s="7">
        <v>646</v>
      </c>
      <c r="D20" s="7">
        <v>564</v>
      </c>
      <c r="E20" s="10">
        <f t="shared" si="1"/>
        <v>1210</v>
      </c>
      <c r="F20" s="10" t="s">
        <v>27</v>
      </c>
      <c r="G20" s="10">
        <f>1304+1347+838+28+0+0+0+605+1367+931+1037+1080+1094+841+1210</f>
        <v>11682</v>
      </c>
      <c r="H20" s="23"/>
      <c r="I20" s="10">
        <f>E20/M20</f>
        <v>50.4166666666667</v>
      </c>
      <c r="J20" s="18" t="s">
        <v>87</v>
      </c>
      <c r="K20" s="10">
        <f>23.5+24+13.5+0+0+0+0+9+24+16+20+24+24+15.5+24</f>
        <v>217.5</v>
      </c>
      <c r="L20" s="10">
        <f>G20/K20</f>
        <v>53.7103448275862</v>
      </c>
      <c r="M20" s="10">
        <v>24</v>
      </c>
    </row>
    <row r="21" s="1" customFormat="1" ht="25" customHeight="1" spans="1:13">
      <c r="A21" s="12">
        <v>16</v>
      </c>
      <c r="B21" s="8" t="s">
        <v>41</v>
      </c>
      <c r="C21" s="7">
        <v>822</v>
      </c>
      <c r="D21" s="7">
        <v>710</v>
      </c>
      <c r="E21" s="10">
        <f t="shared" si="1"/>
        <v>1532</v>
      </c>
      <c r="F21" s="10" t="s">
        <v>27</v>
      </c>
      <c r="G21" s="10">
        <f>1466+1706+934+1+0+0+0+774+1606+1121+1327+1431+1457+988+1532</f>
        <v>14343</v>
      </c>
      <c r="H21" s="22"/>
      <c r="I21" s="10">
        <f>E21/M20</f>
        <v>63.8333333333333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42</v>
      </c>
      <c r="C22" s="12">
        <v>32.22</v>
      </c>
      <c r="D22" s="12">
        <v>22.02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44</v>
      </c>
      <c r="C23" s="40"/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3">
      <c r="A24" s="7">
        <v>19</v>
      </c>
      <c r="B24" s="31" t="s">
        <v>46</v>
      </c>
      <c r="C24" s="27" t="s">
        <v>102</v>
      </c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3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103</v>
      </c>
    </row>
    <row r="28" s="1" customFormat="1" ht="30" customHeight="1" spans="1:13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54</v>
      </c>
      <c r="C30" s="10">
        <v>8.31</v>
      </c>
      <c r="D30" s="10">
        <v>8.41</v>
      </c>
      <c r="E30" s="10">
        <f t="shared" si="2"/>
        <v>16.72</v>
      </c>
      <c r="F30" s="10" t="s">
        <v>27</v>
      </c>
      <c r="G30" s="10">
        <f>16.54+16.48+16.51+8.25+0+0+0+0+0+0+8.28+14.61+0+17.12+16.72</f>
        <v>114.51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55</v>
      </c>
      <c r="C31" s="10">
        <v>14</v>
      </c>
      <c r="D31" s="10">
        <v>9</v>
      </c>
      <c r="E31" s="10">
        <f t="shared" si="2"/>
        <v>23</v>
      </c>
      <c r="F31" s="10" t="s">
        <v>27</v>
      </c>
      <c r="G31" s="10">
        <f>27+20+43+14+0+0+0+76+25+12+28+14+23+24+23</f>
        <v>329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7.344</v>
      </c>
      <c r="D32" s="10">
        <v>0</v>
      </c>
      <c r="E32" s="10">
        <f t="shared" si="2"/>
        <v>7.344</v>
      </c>
      <c r="F32" s="10" t="s">
        <v>14</v>
      </c>
      <c r="G32" s="10">
        <f>0+10.3545+7.7625+8.154+0+0+0+0+0+0+0+0+11.8125+0+7.344</f>
        <v>45.4275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169</v>
      </c>
      <c r="D34" s="10">
        <v>210</v>
      </c>
      <c r="E34" s="10">
        <f t="shared" si="2"/>
        <v>379</v>
      </c>
      <c r="F34" s="10" t="s">
        <v>27</v>
      </c>
      <c r="G34" s="10">
        <f>0+6+0+0+0+0+0+19+2+51+0+0+8+279+379</f>
        <v>744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274</v>
      </c>
      <c r="D35" s="10">
        <v>295</v>
      </c>
      <c r="E35" s="10">
        <f t="shared" si="2"/>
        <v>569</v>
      </c>
      <c r="F35" s="10" t="s">
        <v>27</v>
      </c>
      <c r="G35" s="10">
        <f>599+599+554+284+0+0+0+589+627+644+651+638+681+553+569</f>
        <v>6988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0+0+0+0+0+0+0+0+0+0+0+0+0+0+0</f>
        <v>0</v>
      </c>
      <c r="H36" s="22"/>
      <c r="I36" s="7">
        <v>652.5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0+0+0+0+0+0+0+0+0+0+0+0+0+0+0</f>
        <v>0</v>
      </c>
      <c r="H37" s="22"/>
      <c r="I37" s="7">
        <v>110.3122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2</v>
      </c>
      <c r="D38" s="7">
        <v>2</v>
      </c>
      <c r="E38" s="10">
        <f>D38+C38</f>
        <v>4</v>
      </c>
      <c r="F38" s="10" t="s">
        <v>37</v>
      </c>
      <c r="G38" s="10">
        <f>2+3+3+2+0+0+0+0+0+0+0+3+0+4+4</f>
        <v>21</v>
      </c>
      <c r="H38" s="22"/>
      <c r="I38" s="10">
        <v>9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G17" sqref="G17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104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6.5</v>
      </c>
      <c r="D3" s="9">
        <v>7.5</v>
      </c>
      <c r="E3" s="10">
        <f t="shared" ref="E3:E12" si="0">C3+D3</f>
        <v>14</v>
      </c>
      <c r="F3" s="10" t="s">
        <v>14</v>
      </c>
      <c r="G3" s="10">
        <f>2+14.5+12+6+0+0+0+1+10.5+13+9.5+11.5+14+5.5+12.5+14</f>
        <v>126</v>
      </c>
      <c r="H3" s="10">
        <v>294</v>
      </c>
      <c r="I3" s="10">
        <f>H3-G3</f>
        <v>168</v>
      </c>
      <c r="J3" s="11"/>
      <c r="K3" s="10"/>
      <c r="L3" s="10"/>
      <c r="M3" s="10">
        <f>I3/14</f>
        <v>12</v>
      </c>
    </row>
    <row r="4" s="1" customFormat="1" ht="38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14+2+14+12+6+0+0+0+0+12+12+10+12+14+4+14</f>
        <v>126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16</v>
      </c>
      <c r="C5" s="10">
        <v>92</v>
      </c>
      <c r="D5" s="10">
        <v>86</v>
      </c>
      <c r="E5" s="10">
        <f t="shared" si="0"/>
        <v>178</v>
      </c>
      <c r="F5" s="10" t="s">
        <v>14</v>
      </c>
      <c r="G5" s="10">
        <f>0+0+0+0+0+0+0+0+0+42+185+181+182+108+158+178</f>
        <v>1034</v>
      </c>
      <c r="H5" s="10">
        <v>4346</v>
      </c>
      <c r="I5" s="10">
        <f>H5-G5-G7-G6</f>
        <v>2453</v>
      </c>
      <c r="J5" s="14"/>
      <c r="K5" s="10"/>
      <c r="L5" s="10"/>
      <c r="M5" s="10"/>
    </row>
    <row r="6" s="1" customFormat="1" ht="38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206+172+152+0+0+0+0+20+219+80+7+1+2+0+0+0</f>
        <v>859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19</v>
      </c>
      <c r="C8" s="10">
        <v>1</v>
      </c>
      <c r="D8" s="10">
        <v>0</v>
      </c>
      <c r="E8" s="10">
        <f t="shared" si="0"/>
        <v>1</v>
      </c>
      <c r="F8" s="10" t="s">
        <v>14</v>
      </c>
      <c r="G8" s="10">
        <f>0+0+0+0+0+0+0+0+0+0+1+0+0+0+0+1</f>
        <v>2</v>
      </c>
      <c r="H8" s="16"/>
      <c r="I8" s="16"/>
      <c r="J8" s="11"/>
      <c r="K8" s="10"/>
      <c r="L8" s="10"/>
      <c r="M8" s="10"/>
    </row>
    <row r="9" s="1" customFormat="1" ht="25" customHeight="1" spans="1:13">
      <c r="A9" s="12">
        <v>4</v>
      </c>
      <c r="B9" s="17" t="s">
        <v>20</v>
      </c>
      <c r="C9" s="13">
        <v>61.53</v>
      </c>
      <c r="D9" s="13"/>
      <c r="E9" s="10">
        <f t="shared" si="0"/>
        <v>61.53</v>
      </c>
      <c r="F9" s="13" t="s">
        <v>14</v>
      </c>
      <c r="G9" s="10">
        <f>0+0+39.77+63.15+0+0+0+0+0+0+0+0+31.72+30.91+61.21+61.53</f>
        <v>288.29</v>
      </c>
      <c r="H9" s="13">
        <v>5.42</v>
      </c>
      <c r="I9" s="13">
        <f>H9-K10</f>
        <v>3.017748</v>
      </c>
      <c r="J9" s="18" t="s">
        <v>21</v>
      </c>
      <c r="K9" s="13">
        <v>1</v>
      </c>
      <c r="L9" s="13">
        <v>0.79</v>
      </c>
      <c r="M9" s="19"/>
    </row>
    <row r="10" s="1" customFormat="1" ht="25" customHeight="1" spans="1:13">
      <c r="A10" s="7">
        <v>5</v>
      </c>
      <c r="B10" s="8" t="s">
        <v>22</v>
      </c>
      <c r="C10" s="10">
        <v>11.637</v>
      </c>
      <c r="D10" s="10">
        <v>4.185</v>
      </c>
      <c r="E10" s="10">
        <f t="shared" si="0"/>
        <v>15.822</v>
      </c>
      <c r="F10" s="10" t="s">
        <v>14</v>
      </c>
      <c r="G10" s="10">
        <f>5.265+7.938+15.8625+3.8745+0+0+0+4.698+14.391+7.0875+8.019+6.777+13.5945+8.7075+8.0325+15.822</f>
        <v>120.069</v>
      </c>
      <c r="H10" s="10"/>
      <c r="I10" s="10">
        <f>G10/(G3*0.1865)</f>
        <v>5.10953657602451</v>
      </c>
      <c r="J10" s="18" t="s">
        <v>23</v>
      </c>
      <c r="K10" s="20">
        <f>0+0+0.338045+0.55572+0+0+0+0+0+0+0+0+0.279136+0.265826+0.477438+0.486087</f>
        <v>2.402252</v>
      </c>
      <c r="L10" s="10"/>
      <c r="M10" s="10">
        <f>C9*L9/100</f>
        <v>0.486087</v>
      </c>
    </row>
    <row r="11" s="1" customFormat="1" ht="25" customHeight="1" spans="1:13">
      <c r="A11" s="7">
        <v>6</v>
      </c>
      <c r="B11" s="8" t="s">
        <v>24</v>
      </c>
      <c r="C11" s="10">
        <v>13.6712</v>
      </c>
      <c r="D11" s="10">
        <v>0</v>
      </c>
      <c r="E11" s="10">
        <f t="shared" si="0"/>
        <v>13.6712</v>
      </c>
      <c r="F11" s="10" t="s">
        <v>14</v>
      </c>
      <c r="G11" s="10">
        <f>8.832+2.8336+13.1376+8.9976+0+0+0+10.9664+15.548+10.1384+8.4456+13.5792+21.4176+10.488+11.7576+13.6712</f>
        <v>149.8128</v>
      </c>
      <c r="H11" s="10"/>
      <c r="I11" s="10">
        <f>G11/(G3*0.1865)</f>
        <v>6.37528405464062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253</v>
      </c>
      <c r="D12" s="10">
        <v>229</v>
      </c>
      <c r="E12" s="10">
        <f t="shared" si="0"/>
        <v>482</v>
      </c>
      <c r="F12" s="10"/>
      <c r="G12" s="10">
        <f>256+501+386+182+0+0+0+16+349+326+388+456+495+324+503+482</f>
        <v>4664</v>
      </c>
      <c r="H12" s="10">
        <f>G12*1.05</f>
        <v>4897.2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203</v>
      </c>
      <c r="D13" s="10">
        <v>219</v>
      </c>
      <c r="E13" s="10">
        <f t="shared" ref="E13:E21" si="1">D13+C13</f>
        <v>422</v>
      </c>
      <c r="F13" s="10" t="s">
        <v>27</v>
      </c>
      <c r="G13" s="10">
        <f>142+478+310+96+0+0+0+135+276+288+363+341+346+192+484+422</f>
        <v>3873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455.57</v>
      </c>
      <c r="D14" s="10">
        <v>491.31</v>
      </c>
      <c r="E14" s="10">
        <f t="shared" si="1"/>
        <v>946.88</v>
      </c>
      <c r="F14" s="10" t="s">
        <v>27</v>
      </c>
      <c r="G14" s="10">
        <f>852.63+765.27+628.63+67.84+0+0+0+622.22+656.54+537.49+673.12+867.1+934.38+903.03+987.12+946.88</f>
        <v>9442.25</v>
      </c>
      <c r="H14" s="10"/>
      <c r="I14" s="10"/>
      <c r="J14" s="18" t="s">
        <v>29</v>
      </c>
      <c r="K14" s="10">
        <v>3.37</v>
      </c>
      <c r="L14" s="10">
        <v>3.32</v>
      </c>
      <c r="M14" s="10"/>
    </row>
    <row r="15" s="1" customFormat="1" ht="25" customHeight="1" spans="1:13">
      <c r="A15" s="7">
        <v>10</v>
      </c>
      <c r="B15" s="8" t="s">
        <v>32</v>
      </c>
      <c r="C15" s="10">
        <v>18</v>
      </c>
      <c r="D15" s="10">
        <v>18</v>
      </c>
      <c r="E15" s="10">
        <f t="shared" si="1"/>
        <v>36</v>
      </c>
      <c r="F15" s="10" t="s">
        <v>14</v>
      </c>
      <c r="G15" s="10">
        <f>6+42+24+0+0+0+0+24+18+24+24+30+27+15+33+36</f>
        <v>303</v>
      </c>
      <c r="H15" s="10"/>
      <c r="I15" s="10">
        <f>G15/(G3*0.1865)</f>
        <v>12.8941657091791</v>
      </c>
      <c r="J15" s="18" t="s">
        <v>31</v>
      </c>
      <c r="K15" s="20">
        <f>2.4676132+2.4190333+2.1010637+0.22048+0+0+0+1.9197875+1.9348016+1.6144511+1.7938333+2.565604+2.867483+2.7733777+3.316842+3.1664201</f>
        <v>29.1607905</v>
      </c>
      <c r="L15" s="10"/>
      <c r="M15" s="10">
        <f>(C14*K14+L14*D14)/1000</f>
        <v>3.1664201</v>
      </c>
    </row>
    <row r="16" s="1" customFormat="1" ht="25" customHeight="1" spans="1:13">
      <c r="A16" s="7">
        <v>11</v>
      </c>
      <c r="B16" s="8" t="s">
        <v>33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0.1+0+0+0+0+0+0+0+0+0+0+0.0875+0.0375+0.1125+0+0</f>
        <v>0.3375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34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0+2+0+2+0+0+0+0+2+0+0+2+2+0+2+0</f>
        <v>12</v>
      </c>
      <c r="H17" s="22"/>
      <c r="I17" s="22">
        <f>G17/(G3*0.1865)</f>
        <v>0.510660028086302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35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0+1.5+0+1.5+0+0+0+0+1.5+0+0+1.5+1.5+0+1.5+0</f>
        <v>9</v>
      </c>
      <c r="H18" s="22"/>
      <c r="I18" s="22">
        <f>G18/(G3*0.1865)</f>
        <v>0.382995021064726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36</v>
      </c>
      <c r="C19" s="10">
        <v>5</v>
      </c>
      <c r="D19" s="7">
        <v>4</v>
      </c>
      <c r="E19" s="10">
        <f t="shared" si="1"/>
        <v>9</v>
      </c>
      <c r="F19" s="10" t="s">
        <v>37</v>
      </c>
      <c r="G19" s="10">
        <f>12+0+9+0+0+0+0+10+5+3+5+5+6+10+4+9</f>
        <v>78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39</v>
      </c>
      <c r="C20" s="7">
        <v>581</v>
      </c>
      <c r="D20" s="7">
        <v>574</v>
      </c>
      <c r="E20" s="10">
        <f t="shared" si="1"/>
        <v>1155</v>
      </c>
      <c r="F20" s="10" t="s">
        <v>27</v>
      </c>
      <c r="G20" s="10">
        <f>1304+1347+838+28+0+0+0+605+1367+931+1037+1080+1094+841+1210+1155</f>
        <v>12837</v>
      </c>
      <c r="H20" s="23"/>
      <c r="I20" s="10">
        <f>E20/M20</f>
        <v>48.125</v>
      </c>
      <c r="J20" s="18" t="s">
        <v>87</v>
      </c>
      <c r="K20" s="10">
        <f>23.5+24+13.5+0+0+0+0+9+24+16+20+24+24+15.5+24+24</f>
        <v>241.5</v>
      </c>
      <c r="L20" s="10">
        <f>G20/K20</f>
        <v>53.1552795031056</v>
      </c>
      <c r="M20" s="10">
        <v>24</v>
      </c>
    </row>
    <row r="21" s="1" customFormat="1" ht="25" customHeight="1" spans="1:13">
      <c r="A21" s="12">
        <v>16</v>
      </c>
      <c r="B21" s="8" t="s">
        <v>41</v>
      </c>
      <c r="C21" s="7">
        <v>764</v>
      </c>
      <c r="D21" s="7">
        <v>698</v>
      </c>
      <c r="E21" s="10">
        <f t="shared" si="1"/>
        <v>1462</v>
      </c>
      <c r="F21" s="10" t="s">
        <v>27</v>
      </c>
      <c r="G21" s="10">
        <f>1466+1706+934+1+0+0+0+774+1606+1121+1327+1431+1457+988+1532+1462</f>
        <v>15805</v>
      </c>
      <c r="H21" s="22"/>
      <c r="I21" s="10">
        <f>E21/M20</f>
        <v>60.9166666666667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42</v>
      </c>
      <c r="C22" s="12">
        <v>26.67</v>
      </c>
      <c r="D22" s="12">
        <v>25.05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44</v>
      </c>
      <c r="C23" s="40"/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3">
      <c r="A24" s="7">
        <v>19</v>
      </c>
      <c r="B24" s="31" t="s">
        <v>46</v>
      </c>
      <c r="C24" s="27" t="s">
        <v>105</v>
      </c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3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106</v>
      </c>
    </row>
    <row r="28" s="1" customFormat="1" ht="30" customHeight="1" spans="1:13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54</v>
      </c>
      <c r="C30" s="10">
        <v>8.3</v>
      </c>
      <c r="D30" s="10">
        <v>8.7</v>
      </c>
      <c r="E30" s="10">
        <f t="shared" si="2"/>
        <v>17</v>
      </c>
      <c r="F30" s="10" t="s">
        <v>27</v>
      </c>
      <c r="G30" s="10">
        <f>16.54+16.48+16.51+8.25+0+0+0+0+0+0+8.28+14.61+0+17.12+16.72+17</f>
        <v>131.51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55</v>
      </c>
      <c r="C31" s="10">
        <v>21</v>
      </c>
      <c r="D31" s="10">
        <v>5</v>
      </c>
      <c r="E31" s="10">
        <f t="shared" si="2"/>
        <v>26</v>
      </c>
      <c r="F31" s="10" t="s">
        <v>27</v>
      </c>
      <c r="G31" s="10">
        <f>27+20+43+14+0+0+0+76+25+12+28+14+23+24+23+26</f>
        <v>355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8.1945</v>
      </c>
      <c r="D32" s="10">
        <v>0</v>
      </c>
      <c r="E32" s="10">
        <f t="shared" si="2"/>
        <v>8.1945</v>
      </c>
      <c r="F32" s="10" t="s">
        <v>14</v>
      </c>
      <c r="G32" s="10">
        <f>0+10.3545+7.7625+8.154+0+0+0+0+0+0+0+0+11.8125+0+7.344+8.1945</f>
        <v>53.622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199</v>
      </c>
      <c r="D34" s="10">
        <v>166</v>
      </c>
      <c r="E34" s="10">
        <f t="shared" si="2"/>
        <v>365</v>
      </c>
      <c r="F34" s="10" t="s">
        <v>27</v>
      </c>
      <c r="G34" s="10">
        <f>0+6+0+0+0+0+0+19+2+51+0+0+8+279+379+365</f>
        <v>1109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288</v>
      </c>
      <c r="D35" s="10">
        <v>269</v>
      </c>
      <c r="E35" s="10">
        <f t="shared" si="2"/>
        <v>557</v>
      </c>
      <c r="F35" s="10" t="s">
        <v>27</v>
      </c>
      <c r="G35" s="10">
        <f>599+599+554+284+0+0+0+589+627+644+651+638+681+553+569+557</f>
        <v>7545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0+0+0+0+0+0+0+0+0+0+0+0+0+0+0+0</f>
        <v>0</v>
      </c>
      <c r="H36" s="22"/>
      <c r="I36" s="7">
        <v>592.5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0+0+0+0+0+0+0+0+0+0+0+0+0+0+0+0</f>
        <v>0</v>
      </c>
      <c r="H37" s="22"/>
      <c r="I37" s="7">
        <v>117.261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0</v>
      </c>
      <c r="D38" s="7">
        <v>3</v>
      </c>
      <c r="E38" s="10">
        <f>D38+C38</f>
        <v>3</v>
      </c>
      <c r="F38" s="10" t="s">
        <v>37</v>
      </c>
      <c r="G38" s="10">
        <f>2+3+3+2+0+0+0+0+0+0+0+3+0+4+4+3</f>
        <v>24</v>
      </c>
      <c r="H38" s="22"/>
      <c r="I38" s="10">
        <v>12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G17" sqref="G17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107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7</v>
      </c>
      <c r="D3" s="9">
        <v>8.5</v>
      </c>
      <c r="E3" s="10">
        <f t="shared" ref="E3:E12" si="0">C3+D3</f>
        <v>15.5</v>
      </c>
      <c r="F3" s="10" t="s">
        <v>14</v>
      </c>
      <c r="G3" s="10">
        <f>2+14.5+12+6+0+0+0+1+10.5+13+9.5+11.5+14+5.5+12.5+14+15.5</f>
        <v>141.5</v>
      </c>
      <c r="H3" s="10">
        <v>294</v>
      </c>
      <c r="I3" s="10">
        <f>H3-G3</f>
        <v>152.5</v>
      </c>
      <c r="J3" s="11"/>
      <c r="K3" s="10"/>
      <c r="L3" s="10"/>
      <c r="M3" s="10">
        <f>I3/13</f>
        <v>11.7307692307692</v>
      </c>
    </row>
    <row r="4" s="1" customFormat="1" ht="38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14+2+14+12+6+0+0+0+0+12+12+10+12+14+4+14+14</f>
        <v>140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16</v>
      </c>
      <c r="C5" s="10">
        <v>91</v>
      </c>
      <c r="D5" s="10">
        <v>83</v>
      </c>
      <c r="E5" s="10">
        <f t="shared" si="0"/>
        <v>174</v>
      </c>
      <c r="F5" s="10" t="s">
        <v>14</v>
      </c>
      <c r="G5" s="10">
        <f>0+0+0+0+0+0+0+0+0+42+185+181+182+108+158+178+174</f>
        <v>1208</v>
      </c>
      <c r="H5" s="10">
        <v>4346</v>
      </c>
      <c r="I5" s="10">
        <f>H5-G5-G7-G6</f>
        <v>2279</v>
      </c>
      <c r="J5" s="14"/>
      <c r="K5" s="10"/>
      <c r="L5" s="10"/>
      <c r="M5" s="10"/>
    </row>
    <row r="6" s="1" customFormat="1" ht="38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206+172+152+0+0+0+0+20+219+80+7+1+2+0+0+0+0</f>
        <v>859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0+0+0+0+0+0+0+0+0+0+1+0+0+0+0+1+0</f>
        <v>2</v>
      </c>
      <c r="H8" s="16"/>
      <c r="I8" s="16"/>
      <c r="J8" s="11"/>
      <c r="K8" s="10"/>
      <c r="L8" s="10"/>
      <c r="M8" s="10"/>
    </row>
    <row r="9" s="1" customFormat="1" ht="25" customHeight="1" spans="1:13">
      <c r="A9" s="12">
        <v>4</v>
      </c>
      <c r="B9" s="17" t="s">
        <v>20</v>
      </c>
      <c r="C9" s="13">
        <v>30.69</v>
      </c>
      <c r="D9" s="13"/>
      <c r="E9" s="10">
        <f t="shared" si="0"/>
        <v>30.69</v>
      </c>
      <c r="F9" s="13" t="s">
        <v>14</v>
      </c>
      <c r="G9" s="10">
        <f>0+0+39.77+63.15+0+0+0+0+0+0+0+0+31.72+30.91+61.21+61.53+30.69</f>
        <v>318.98</v>
      </c>
      <c r="H9" s="13">
        <v>5.42</v>
      </c>
      <c r="I9" s="13">
        <f>H9-K10</f>
        <v>2.781435</v>
      </c>
      <c r="J9" s="18" t="s">
        <v>21</v>
      </c>
      <c r="K9" s="13">
        <v>0</v>
      </c>
      <c r="L9" s="13">
        <v>0.77</v>
      </c>
      <c r="M9" s="19"/>
    </row>
    <row r="10" s="1" customFormat="1" ht="25" customHeight="1" spans="1:13">
      <c r="A10" s="7">
        <v>5</v>
      </c>
      <c r="B10" s="8" t="s">
        <v>22</v>
      </c>
      <c r="C10" s="10">
        <v>8.4375</v>
      </c>
      <c r="D10" s="10">
        <v>0</v>
      </c>
      <c r="E10" s="10">
        <f t="shared" si="0"/>
        <v>8.4375</v>
      </c>
      <c r="F10" s="10" t="s">
        <v>14</v>
      </c>
      <c r="G10" s="10">
        <f>5.265+7.938+15.8625+3.8745+0+0+0+4.698+14.391+7.0875+8.019+6.777+13.5945+8.7075+8.0325+15.822+8.4375</f>
        <v>128.5065</v>
      </c>
      <c r="H10" s="10"/>
      <c r="I10" s="10">
        <f>G10/(G3*0.1865)</f>
        <v>4.86956109853257</v>
      </c>
      <c r="J10" s="18" t="s">
        <v>23</v>
      </c>
      <c r="K10" s="20">
        <f>0+0+0.338045+0.55572+0+0+0+0+0+0+0+0+0.279136+0.265826+0.477438+0.486087+0.236313</f>
        <v>2.638565</v>
      </c>
      <c r="L10" s="10"/>
      <c r="M10" s="10">
        <f>C9*L9/100</f>
        <v>0.236313</v>
      </c>
    </row>
    <row r="11" s="1" customFormat="1" ht="25" customHeight="1" spans="1:13">
      <c r="A11" s="7">
        <v>6</v>
      </c>
      <c r="B11" s="8" t="s">
        <v>24</v>
      </c>
      <c r="C11" s="10">
        <v>15.7872</v>
      </c>
      <c r="D11" s="10">
        <v>0</v>
      </c>
      <c r="E11" s="10">
        <f t="shared" si="0"/>
        <v>15.7872</v>
      </c>
      <c r="F11" s="10" t="s">
        <v>14</v>
      </c>
      <c r="G11" s="10">
        <f>8.832+2.8336+13.1376+8.9976+0+0+0+10.9664+15.548+10.1384+8.4456+13.5792+21.4176+10.488+11.7576+13.6712+15.7872</f>
        <v>165.6</v>
      </c>
      <c r="H11" s="10"/>
      <c r="I11" s="10">
        <f>G11/(G3*0.1865)</f>
        <v>6.2751636525545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254</v>
      </c>
      <c r="D12" s="10">
        <v>247</v>
      </c>
      <c r="E12" s="10">
        <f t="shared" si="0"/>
        <v>501</v>
      </c>
      <c r="F12" s="10"/>
      <c r="G12" s="10">
        <f>256+501+386+182+0+0+0+16+349+326+388+456+495+324+503+482+501</f>
        <v>5165</v>
      </c>
      <c r="H12" s="10">
        <f>G12*1.05</f>
        <v>5423.25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243</v>
      </c>
      <c r="D13" s="10">
        <v>237</v>
      </c>
      <c r="E13" s="10">
        <f t="shared" ref="E13:E21" si="1">D13+C13</f>
        <v>480</v>
      </c>
      <c r="F13" s="10" t="s">
        <v>27</v>
      </c>
      <c r="G13" s="10">
        <f>142+478+310+96+0+0+0+135+276+288+363+341+346+192+484+422+480</f>
        <v>4353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477.72</v>
      </c>
      <c r="D14" s="10">
        <v>505.75</v>
      </c>
      <c r="E14" s="10">
        <f t="shared" si="1"/>
        <v>983.47</v>
      </c>
      <c r="F14" s="10" t="s">
        <v>27</v>
      </c>
      <c r="G14" s="10">
        <f>852.63+765.27+628.63+67.84+0+0+0+622.22+656.54+537.49+673.12+867.1+934.38+903.03+987.12+946.88+983.47</f>
        <v>10425.72</v>
      </c>
      <c r="H14" s="10"/>
      <c r="I14" s="10"/>
      <c r="J14" s="18" t="s">
        <v>29</v>
      </c>
      <c r="K14" s="10">
        <v>3.64</v>
      </c>
      <c r="L14" s="10">
        <v>3.69</v>
      </c>
      <c r="M14" s="10"/>
    </row>
    <row r="15" s="1" customFormat="1" ht="25" customHeight="1" spans="1:13">
      <c r="A15" s="7">
        <v>10</v>
      </c>
      <c r="B15" s="8" t="s">
        <v>32</v>
      </c>
      <c r="C15" s="10">
        <v>18</v>
      </c>
      <c r="D15" s="10">
        <v>21</v>
      </c>
      <c r="E15" s="10">
        <f t="shared" si="1"/>
        <v>39</v>
      </c>
      <c r="F15" s="10" t="s">
        <v>14</v>
      </c>
      <c r="G15" s="10">
        <f>6+42+24+0+0+0+0+24+18+24+24+30+27+15+33+36+39</f>
        <v>342</v>
      </c>
      <c r="H15" s="10"/>
      <c r="I15" s="10">
        <f>G15/(G3*0.1865)</f>
        <v>12.9595771085365</v>
      </c>
      <c r="J15" s="18" t="s">
        <v>31</v>
      </c>
      <c r="K15" s="20">
        <f>2.4676132+2.4190333+2.1010637+0.22048+0+0+0+1.9197875+1.9348016+1.6144511+1.7938333+2.565604+2.867483+2.7733777+3.316842+3.1664201+3.6051183</f>
        <v>32.7659088</v>
      </c>
      <c r="L15" s="10"/>
      <c r="M15" s="10">
        <f>(C14*K14+L14*D14)/1000</f>
        <v>3.6051183</v>
      </c>
    </row>
    <row r="16" s="1" customFormat="1" ht="25" customHeight="1" spans="1:13">
      <c r="A16" s="7">
        <v>11</v>
      </c>
      <c r="B16" s="8" t="s">
        <v>33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0.1+0+0+0+0+0+0+0+0+0+0+0.0875+0.0375+0.1125+0+0+0</f>
        <v>0.3375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34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0+2+0+2+0+0+0+0+2+0+0+2+2+0+2+0+2</f>
        <v>14</v>
      </c>
      <c r="H17" s="22"/>
      <c r="I17" s="22">
        <f>G17/(G3*0.1865)</f>
        <v>0.530509004443013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35</v>
      </c>
      <c r="C18" s="10">
        <v>1.5</v>
      </c>
      <c r="D18" s="7">
        <v>0</v>
      </c>
      <c r="E18" s="10">
        <f t="shared" si="1"/>
        <v>1.5</v>
      </c>
      <c r="F18" s="10" t="s">
        <v>14</v>
      </c>
      <c r="G18" s="10">
        <f>0+1.5+0+1.5+0+0+0+0+1.5+0+0+1.5+1.5+0+1.5+0+1.5</f>
        <v>10.5</v>
      </c>
      <c r="H18" s="22"/>
      <c r="I18" s="22">
        <f>G18/(G3*0.1865)</f>
        <v>0.39788175333226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36</v>
      </c>
      <c r="C19" s="10">
        <v>1</v>
      </c>
      <c r="D19" s="7">
        <v>2</v>
      </c>
      <c r="E19" s="10">
        <f t="shared" si="1"/>
        <v>3</v>
      </c>
      <c r="F19" s="10" t="s">
        <v>37</v>
      </c>
      <c r="G19" s="10">
        <f>12+0+9+0+0+0+0+10+5+3+5+5+6+10+4+9+3</f>
        <v>81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39</v>
      </c>
      <c r="C20" s="7">
        <v>584</v>
      </c>
      <c r="D20" s="7">
        <v>559</v>
      </c>
      <c r="E20" s="10">
        <f t="shared" si="1"/>
        <v>1143</v>
      </c>
      <c r="F20" s="10" t="s">
        <v>27</v>
      </c>
      <c r="G20" s="10">
        <f>1304+1347+838+28+0+0+0+605+1367+931+1037+1080+1094+841+1210+1155+1143</f>
        <v>13980</v>
      </c>
      <c r="H20" s="23"/>
      <c r="I20" s="10">
        <f>E20/M20</f>
        <v>47.625</v>
      </c>
      <c r="J20" s="18" t="s">
        <v>87</v>
      </c>
      <c r="K20" s="10">
        <f>23.5+24+13.5+0+0+0+0+9+24+16+20+24+24+15.5+24+24+24</f>
        <v>265.5</v>
      </c>
      <c r="L20" s="10">
        <f>G20/K20</f>
        <v>52.6553672316384</v>
      </c>
      <c r="M20" s="10">
        <v>24</v>
      </c>
    </row>
    <row r="21" s="1" customFormat="1" ht="25" customHeight="1" spans="1:13">
      <c r="A21" s="12">
        <v>16</v>
      </c>
      <c r="B21" s="8" t="s">
        <v>41</v>
      </c>
      <c r="C21" s="7">
        <v>758</v>
      </c>
      <c r="D21" s="7">
        <v>731</v>
      </c>
      <c r="E21" s="10">
        <f t="shared" si="1"/>
        <v>1489</v>
      </c>
      <c r="F21" s="10" t="s">
        <v>27</v>
      </c>
      <c r="G21" s="10">
        <f>1466+1706+934+1+0+0+0+774+1606+1121+1327+1431+1457+988+1532+1462+1489</f>
        <v>17294</v>
      </c>
      <c r="H21" s="22"/>
      <c r="I21" s="10">
        <f>E21/M20</f>
        <v>62.0416666666667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42</v>
      </c>
      <c r="C22" s="12">
        <v>26.26</v>
      </c>
      <c r="D22" s="12">
        <v>26.16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44</v>
      </c>
      <c r="C23" s="40"/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3">
      <c r="A24" s="7">
        <v>19</v>
      </c>
      <c r="B24" s="31" t="s">
        <v>46</v>
      </c>
      <c r="C24" s="27" t="s">
        <v>108</v>
      </c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3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109</v>
      </c>
    </row>
    <row r="28" s="1" customFormat="1" ht="30" customHeight="1" spans="1:13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54</v>
      </c>
      <c r="C30" s="10">
        <v>8.45</v>
      </c>
      <c r="D30" s="10">
        <v>0</v>
      </c>
      <c r="E30" s="10">
        <f t="shared" si="2"/>
        <v>8.45</v>
      </c>
      <c r="F30" s="10" t="s">
        <v>27</v>
      </c>
      <c r="G30" s="10">
        <f>16.54+16.48+16.51+8.25+0+0+0+0+0+0+8.28+14.61+0+17.12+16.72+17+8.45</f>
        <v>139.96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55</v>
      </c>
      <c r="C31" s="10">
        <v>20</v>
      </c>
      <c r="D31" s="10">
        <v>0</v>
      </c>
      <c r="E31" s="10">
        <f t="shared" si="2"/>
        <v>20</v>
      </c>
      <c r="F31" s="10" t="s">
        <v>27</v>
      </c>
      <c r="G31" s="10">
        <f>27+20+43+14+0+0+0+76+25+12+28+14+23+24+23+26+20</f>
        <v>375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8.559</v>
      </c>
      <c r="D32" s="10">
        <v>0</v>
      </c>
      <c r="E32" s="10">
        <f t="shared" si="2"/>
        <v>8.559</v>
      </c>
      <c r="F32" s="10" t="s">
        <v>14</v>
      </c>
      <c r="G32" s="10">
        <f>0+10.3545+7.7625+8.154+0+0+0+0+0+0+0+0+11.8125+0+7.344+8.1945+8.559</f>
        <v>62.181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165</v>
      </c>
      <c r="D34" s="10">
        <v>73</v>
      </c>
      <c r="E34" s="10">
        <f t="shared" si="2"/>
        <v>238</v>
      </c>
      <c r="F34" s="10" t="s">
        <v>27</v>
      </c>
      <c r="G34" s="10">
        <f>0+6+0+0+0+0+0+19+2+51+0+0+8+279+379+365+238</f>
        <v>1347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341</v>
      </c>
      <c r="D35" s="10">
        <v>470</v>
      </c>
      <c r="E35" s="10">
        <f t="shared" si="2"/>
        <v>811</v>
      </c>
      <c r="F35" s="10" t="s">
        <v>27</v>
      </c>
      <c r="G35" s="10">
        <f>599+599+554+284+0+0+0+589+627+644+651+638+681+553+569+557+811</f>
        <v>8356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0+0+0+0+0+0+0+0+0+0+0+0+0+0+0+0+0</f>
        <v>0</v>
      </c>
      <c r="H36" s="22"/>
      <c r="I36" s="7">
        <v>52.5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0+0+0+0+0+0+0+0+0+0+0+0+0+0+0+0+0</f>
        <v>0</v>
      </c>
      <c r="H37" s="22"/>
      <c r="I37" s="7">
        <v>103.3634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0</v>
      </c>
      <c r="D38" s="7">
        <v>0</v>
      </c>
      <c r="E38" s="10">
        <f>D38+C38</f>
        <v>0</v>
      </c>
      <c r="F38" s="10" t="s">
        <v>37</v>
      </c>
      <c r="G38" s="10">
        <f>2+3+3+2+0+0+0+0+0+0+0+3+0+4+4+3+0</f>
        <v>24</v>
      </c>
      <c r="H38" s="22"/>
      <c r="I38" s="10">
        <v>2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zoomScale="85" zoomScaleNormal="85" workbookViewId="0">
      <selection activeCell="O15" sqref="O15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5">
      <c r="A1" s="5" t="s">
        <v>110</v>
      </c>
    </row>
    <row r="2" s="1" customFormat="1" ht="30" customHeight="1" spans="1:15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5">
      <c r="A3" s="7">
        <v>1</v>
      </c>
      <c r="B3" s="8" t="s">
        <v>13</v>
      </c>
      <c r="C3" s="9">
        <v>6.5</v>
      </c>
      <c r="D3" s="9">
        <v>9</v>
      </c>
      <c r="E3" s="10">
        <f t="shared" ref="E3:E12" si="0">C3+D3</f>
        <v>15.5</v>
      </c>
      <c r="F3" s="10" t="s">
        <v>14</v>
      </c>
      <c r="G3" s="10">
        <f>2+14.5+12+6+0+0+0+1+10.5+13+9.5+11.5+14+5.5+12.5+14+15.5+15.5</f>
        <v>157</v>
      </c>
      <c r="H3" s="10">
        <v>294</v>
      </c>
      <c r="I3" s="10">
        <f>H3-G3</f>
        <v>137</v>
      </c>
      <c r="J3" s="11"/>
      <c r="K3" s="10"/>
      <c r="L3" s="10"/>
      <c r="M3" s="10">
        <f>I3/12</f>
        <v>11.4166666666667</v>
      </c>
    </row>
    <row r="4" s="1" customFormat="1" ht="38" customHeight="1" spans="1:15">
      <c r="A4" s="12">
        <v>2</v>
      </c>
      <c r="B4" s="8" t="s">
        <v>15</v>
      </c>
      <c r="C4" s="9">
        <v>18</v>
      </c>
      <c r="D4" s="9"/>
      <c r="E4" s="10">
        <f t="shared" si="0"/>
        <v>18</v>
      </c>
      <c r="F4" s="10" t="s">
        <v>14</v>
      </c>
      <c r="G4" s="10">
        <f>14+2+14+12+6+0+0+0+0+12+12+10+12+14+4+14+14+18</f>
        <v>158</v>
      </c>
      <c r="H4" s="13"/>
      <c r="I4" s="13"/>
      <c r="J4" s="11"/>
      <c r="K4" s="10"/>
      <c r="L4" s="10"/>
      <c r="M4" s="10"/>
    </row>
    <row r="5" s="1" customFormat="1" ht="38" customHeight="1" spans="1:15">
      <c r="A5" s="12">
        <v>3</v>
      </c>
      <c r="B5" s="8" t="s">
        <v>16</v>
      </c>
      <c r="C5" s="10">
        <v>79</v>
      </c>
      <c r="D5" s="10">
        <v>111</v>
      </c>
      <c r="E5" s="10">
        <f t="shared" si="0"/>
        <v>190</v>
      </c>
      <c r="F5" s="10" t="s">
        <v>14</v>
      </c>
      <c r="G5" s="10">
        <f>0+0+0+0+0+0+0+0+0+42+185+181+182+108+158+178+174+190</f>
        <v>1398</v>
      </c>
      <c r="H5" s="10">
        <v>4346</v>
      </c>
      <c r="I5" s="10">
        <f>H5-G5-G7-G6</f>
        <v>2077</v>
      </c>
      <c r="J5" s="14"/>
      <c r="K5" s="10"/>
      <c r="L5" s="10"/>
      <c r="M5" s="10"/>
    </row>
    <row r="6" s="1" customFormat="1" ht="38" customHeight="1" spans="1:15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5">
      <c r="A7" s="15"/>
      <c r="B7" s="8" t="s">
        <v>18</v>
      </c>
      <c r="C7" s="10">
        <v>11</v>
      </c>
      <c r="D7" s="10">
        <v>1</v>
      </c>
      <c r="E7" s="10">
        <f t="shared" si="0"/>
        <v>12</v>
      </c>
      <c r="F7" s="10" t="s">
        <v>14</v>
      </c>
      <c r="G7" s="10">
        <f>206+172+152+0+0+0+0+20+219+80+7+1+2+0+0+0+0+12</f>
        <v>871</v>
      </c>
      <c r="H7" s="15"/>
      <c r="I7" s="15"/>
      <c r="J7" s="11"/>
      <c r="K7" s="10"/>
      <c r="L7" s="10"/>
      <c r="M7" s="10"/>
    </row>
    <row r="8" s="1" customFormat="1" ht="38" customHeight="1" spans="1:15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0+0+0+0+0+0+0+0+0+0+1+0+0+0+0+1+0+0</f>
        <v>2</v>
      </c>
      <c r="H8" s="16"/>
      <c r="I8" s="16"/>
      <c r="J8" s="11"/>
      <c r="K8" s="10"/>
      <c r="L8" s="10"/>
      <c r="M8" s="10"/>
    </row>
    <row r="9" s="1" customFormat="1" ht="25" customHeight="1" spans="1:15">
      <c r="A9" s="12">
        <v>4</v>
      </c>
      <c r="B9" s="17" t="s">
        <v>20</v>
      </c>
      <c r="C9" s="13">
        <v>29.88</v>
      </c>
      <c r="D9" s="13"/>
      <c r="E9" s="10">
        <f t="shared" si="0"/>
        <v>29.88</v>
      </c>
      <c r="F9" s="13" t="s">
        <v>14</v>
      </c>
      <c r="G9" s="10">
        <f>0+0+39.77+63.15+0+0+0+0+0+0+0+0+31.72+30.91+61.21+61.53+30.69+29.88</f>
        <v>348.86</v>
      </c>
      <c r="H9" s="13">
        <v>5.42</v>
      </c>
      <c r="I9" s="13">
        <f>H9-K10</f>
        <v>2.542395</v>
      </c>
      <c r="J9" s="18" t="s">
        <v>21</v>
      </c>
      <c r="K9" s="13">
        <v>0</v>
      </c>
      <c r="L9" s="13">
        <v>0.8</v>
      </c>
      <c r="M9" s="19"/>
    </row>
    <row r="10" s="1" customFormat="1" ht="25" customHeight="1" spans="1:15">
      <c r="A10" s="7">
        <v>5</v>
      </c>
      <c r="B10" s="8" t="s">
        <v>22</v>
      </c>
      <c r="C10" s="10">
        <v>7.0065</v>
      </c>
      <c r="D10" s="10">
        <v>4.0095</v>
      </c>
      <c r="E10" s="10">
        <f t="shared" si="0"/>
        <v>11.016</v>
      </c>
      <c r="F10" s="10" t="s">
        <v>14</v>
      </c>
      <c r="G10" s="10">
        <f>5.265+7.938+15.8625+3.8745+0+0+0+4.698+14.391+7.0875+8.019+6.777+13.5945+8.7075+8.0325+15.822+8.4375+11.016</f>
        <v>139.5225</v>
      </c>
      <c r="H10" s="10"/>
      <c r="I10" s="10">
        <f>G10/(G3*0.1865)</f>
        <v>4.76503133484742</v>
      </c>
      <c r="J10" s="18" t="s">
        <v>23</v>
      </c>
      <c r="K10" s="20">
        <f>0+0+0.338045+0.55572+0+0+0+0+0+0+0+0+0.279136+0.265826+0.477438+0.486087+0.236313+0.23904</f>
        <v>2.877605</v>
      </c>
      <c r="L10" s="10"/>
      <c r="M10" s="10">
        <f>C9*L9/100</f>
        <v>0.23904</v>
      </c>
    </row>
    <row r="11" s="1" customFormat="1" ht="25" customHeight="1" spans="1:15">
      <c r="A11" s="7">
        <v>6</v>
      </c>
      <c r="B11" s="8" t="s">
        <v>24</v>
      </c>
      <c r="C11" s="10">
        <v>18.8232</v>
      </c>
      <c r="D11" s="10">
        <v>0</v>
      </c>
      <c r="E11" s="10">
        <f t="shared" si="0"/>
        <v>18.8232</v>
      </c>
      <c r="F11" s="10" t="s">
        <v>14</v>
      </c>
      <c r="G11" s="10">
        <f>8.832+2.8336+13.1376+8.9976+0+0+0+10.9664+15.548+10.1384+8.4456+13.5792+21.4176+10.488+11.7576+13.6712+15.7872+18.8232</f>
        <v>184.4232</v>
      </c>
      <c r="H11" s="10"/>
      <c r="I11" s="10">
        <f>G11/(G3*0.1865)</f>
        <v>6.29849900104165</v>
      </c>
      <c r="J11" s="11"/>
      <c r="K11" s="10"/>
      <c r="L11" s="10"/>
      <c r="M11" s="21"/>
    </row>
    <row r="12" s="1" customFormat="1" ht="25" customHeight="1" spans="1:15">
      <c r="A12" s="7">
        <v>7</v>
      </c>
      <c r="B12" s="8" t="s">
        <v>25</v>
      </c>
      <c r="C12" s="10">
        <v>223</v>
      </c>
      <c r="D12" s="10">
        <v>281</v>
      </c>
      <c r="E12" s="10">
        <f t="shared" si="0"/>
        <v>504</v>
      </c>
      <c r="F12" s="10"/>
      <c r="G12" s="10">
        <f>256+501+386+182+0+0+0+16+349+326+388+456+495+324+503+482+501+504</f>
        <v>5669</v>
      </c>
      <c r="H12" s="10">
        <f>G12*1.05</f>
        <v>5952.45</v>
      </c>
      <c r="I12" s="10"/>
      <c r="J12" s="11"/>
      <c r="K12" s="10"/>
      <c r="L12" s="10"/>
      <c r="M12" s="21"/>
    </row>
    <row r="13" s="1" customFormat="1" ht="25" customHeight="1" spans="1:15">
      <c r="A13" s="12">
        <v>8</v>
      </c>
      <c r="B13" s="8" t="s">
        <v>26</v>
      </c>
      <c r="C13" s="10">
        <v>201</v>
      </c>
      <c r="D13" s="10">
        <v>240</v>
      </c>
      <c r="E13" s="10">
        <f t="shared" ref="E13:E21" si="1">D13+C13</f>
        <v>441</v>
      </c>
      <c r="F13" s="10" t="s">
        <v>27</v>
      </c>
      <c r="G13" s="10">
        <f>142+478+310+96+0+0+0+135+276+288+363+341+346+192+484+422+480+441</f>
        <v>4794</v>
      </c>
      <c r="H13" s="10"/>
      <c r="I13" s="10"/>
      <c r="J13" s="14"/>
      <c r="K13" s="10"/>
      <c r="L13" s="10"/>
      <c r="M13" s="10"/>
    </row>
    <row r="14" s="1" customFormat="1" ht="25" customHeight="1" spans="1:15">
      <c r="A14" s="7">
        <v>9</v>
      </c>
      <c r="B14" s="8" t="s">
        <v>28</v>
      </c>
      <c r="C14" s="10">
        <v>502.09</v>
      </c>
      <c r="D14" s="10">
        <v>488.75</v>
      </c>
      <c r="E14" s="10">
        <f t="shared" si="1"/>
        <v>990.84</v>
      </c>
      <c r="F14" s="10" t="s">
        <v>27</v>
      </c>
      <c r="G14" s="10">
        <f>852.63+765.27+628.63+67.84+0+0+0+622.22+656.54+537.49+673.12+867.1+934.38+903.03+987.12+946.88+983.47+991.65</f>
        <v>11417.37</v>
      </c>
      <c r="H14" s="10"/>
      <c r="I14" s="10"/>
      <c r="J14" s="18" t="s">
        <v>29</v>
      </c>
      <c r="K14" s="10">
        <v>3.27</v>
      </c>
      <c r="L14" s="10">
        <v>3.25</v>
      </c>
      <c r="M14" s="10"/>
    </row>
    <row r="15" s="1" customFormat="1" ht="25" customHeight="1" spans="1:15">
      <c r="A15" s="7">
        <v>10</v>
      </c>
      <c r="B15" s="8" t="s">
        <v>32</v>
      </c>
      <c r="C15" s="10">
        <v>12</v>
      </c>
      <c r="D15" s="10">
        <v>21</v>
      </c>
      <c r="E15" s="10">
        <f t="shared" si="1"/>
        <v>33</v>
      </c>
      <c r="F15" s="10" t="s">
        <v>14</v>
      </c>
      <c r="G15" s="10">
        <f>6+42+24+0+0+0+0+24+18+24+24+30+27+15+33+36+39+33</f>
        <v>375</v>
      </c>
      <c r="H15" s="10"/>
      <c r="I15" s="10">
        <f>G15/(G3*0.1865)</f>
        <v>12.8071583477058</v>
      </c>
      <c r="J15" s="18" t="s">
        <v>31</v>
      </c>
      <c r="K15" s="20">
        <f>2.4676132+2.4190333+2.1010637+0.22048+0+0+0+1.9197875+1.9348016+1.6144511+1.7938333+2.565604+2.867483+2.7733777+3.316842+3.1664201+3.6051183+3.2329205</f>
        <v>35.9988293</v>
      </c>
      <c r="L15" s="10"/>
      <c r="M15" s="10">
        <f>(C14*K14+L14*D14)/1000</f>
        <v>3.2302718</v>
      </c>
      <c r="O15" s="1">
        <f>(0.9-0.09)*3.27/1000</f>
        <v>0.0026487</v>
      </c>
    </row>
    <row r="16" s="1" customFormat="1" ht="25" customHeight="1" spans="1:15">
      <c r="A16" s="7">
        <v>11</v>
      </c>
      <c r="B16" s="8" t="s">
        <v>33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0.1+0+0+0+0+0+0+0+0+0+0+0.0875+0.0375+0.1125+0+0+0</f>
        <v>0.3375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34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0+2+0+2+0+0+0+0+2+0+0+2+2+0+2+0+2+0</f>
        <v>14</v>
      </c>
      <c r="H17" s="22"/>
      <c r="I17" s="22">
        <f>G17/(G3*0.1865)</f>
        <v>0.478133911647684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35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0+1.5+0+1.5+0+0+0+0+1.5+0+0+1.5+1.5+0+1.5+0+1.5+0</f>
        <v>10.5</v>
      </c>
      <c r="H18" s="22"/>
      <c r="I18" s="22">
        <f>G18/(G3*0.1865)</f>
        <v>0.358600433735763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36</v>
      </c>
      <c r="C19" s="10">
        <v>7</v>
      </c>
      <c r="D19" s="7">
        <v>0</v>
      </c>
      <c r="E19" s="10">
        <f t="shared" si="1"/>
        <v>7</v>
      </c>
      <c r="F19" s="10" t="s">
        <v>37</v>
      </c>
      <c r="G19" s="10">
        <f>12+0+9+0+0+0+0+10+5+3+5+5+6+10+4+9+3+7</f>
        <v>88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39</v>
      </c>
      <c r="C20" s="7">
        <v>601</v>
      </c>
      <c r="D20" s="7">
        <v>668</v>
      </c>
      <c r="E20" s="10">
        <f t="shared" si="1"/>
        <v>1269</v>
      </c>
      <c r="F20" s="10" t="s">
        <v>27</v>
      </c>
      <c r="G20" s="10">
        <f>1304+1347+838+28+0+0+0+605+1367+931+1037+1080+1094+841+1210+1155+1143+1269</f>
        <v>15249</v>
      </c>
      <c r="H20" s="23"/>
      <c r="I20" s="10">
        <f>E20/M20</f>
        <v>52.875</v>
      </c>
      <c r="J20" s="18" t="s">
        <v>87</v>
      </c>
      <c r="K20" s="10">
        <f>23.5+24+13.5+0+0+0+0+9+24+16+20+24+24+15.5+24+24+24+24</f>
        <v>289.5</v>
      </c>
      <c r="L20" s="10">
        <f>G20/K20</f>
        <v>52.6735751295337</v>
      </c>
      <c r="M20" s="10">
        <v>24</v>
      </c>
    </row>
    <row r="21" s="1" customFormat="1" ht="25" customHeight="1" spans="1:13">
      <c r="A21" s="12">
        <v>16</v>
      </c>
      <c r="B21" s="8" t="s">
        <v>41</v>
      </c>
      <c r="C21" s="7">
        <v>751</v>
      </c>
      <c r="D21" s="7">
        <v>859</v>
      </c>
      <c r="E21" s="10">
        <f t="shared" si="1"/>
        <v>1610</v>
      </c>
      <c r="F21" s="10" t="s">
        <v>27</v>
      </c>
      <c r="G21" s="10">
        <f>1466+1706+934+1+0+0+0+774+1606+1121+1327+1431+1457+988+1532+1462+1489+1610</f>
        <v>18904</v>
      </c>
      <c r="H21" s="22"/>
      <c r="I21" s="10">
        <f>E21/M20</f>
        <v>67.0833333333333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42</v>
      </c>
      <c r="C22" s="12">
        <v>27.07</v>
      </c>
      <c r="D22" s="12">
        <v>29.09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44</v>
      </c>
      <c r="C23" s="40"/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3">
      <c r="A24" s="7">
        <v>19</v>
      </c>
      <c r="B24" s="31" t="s">
        <v>46</v>
      </c>
      <c r="C24" s="27" t="s">
        <v>111</v>
      </c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3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112</v>
      </c>
    </row>
    <row r="28" s="1" customFormat="1" ht="30" customHeight="1" spans="1:13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54</v>
      </c>
      <c r="C30" s="10">
        <v>8.39</v>
      </c>
      <c r="D30" s="10">
        <v>0</v>
      </c>
      <c r="E30" s="10">
        <f t="shared" si="2"/>
        <v>8.39</v>
      </c>
      <c r="F30" s="10" t="s">
        <v>27</v>
      </c>
      <c r="G30" s="10">
        <f>16.54+16.48+16.51+8.25+0+0+0+0+0+0+8.28+14.61+0+17.12+16.72+17+8.45+8.39</f>
        <v>148.35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55</v>
      </c>
      <c r="C31" s="10">
        <v>21</v>
      </c>
      <c r="D31" s="10">
        <v>10</v>
      </c>
      <c r="E31" s="10">
        <f t="shared" si="2"/>
        <v>31</v>
      </c>
      <c r="F31" s="10" t="s">
        <v>27</v>
      </c>
      <c r="G31" s="10">
        <f>27+20+43+14+0+0+0+76+25+12+28+14+23+24+23+26+20+31</f>
        <v>406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0+10.3545+7.7625+8.154+0+0+0+0+0+0+0+0+11.8125+0+7.344+8.1945+8.559+0</f>
        <v>62.181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191</v>
      </c>
      <c r="D34" s="10">
        <v>309</v>
      </c>
      <c r="E34" s="10">
        <f t="shared" si="2"/>
        <v>500</v>
      </c>
      <c r="F34" s="10" t="s">
        <v>27</v>
      </c>
      <c r="G34" s="10">
        <f>0+6+0+0+0+0+0+19+2+51+0+0+8+279+379+365+238+500</f>
        <v>1847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536</v>
      </c>
      <c r="D35" s="10">
        <v>419</v>
      </c>
      <c r="E35" s="10">
        <f t="shared" si="2"/>
        <v>955</v>
      </c>
      <c r="F35" s="10" t="s">
        <v>27</v>
      </c>
      <c r="G35" s="10">
        <f>599+599+554+284+0+0+0+589+627+644+651+638+681+553+569+557+811+955</f>
        <v>9311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0+0+0+0+0+0+0+0+0+0+0+0+0+0+0+0+0+0</f>
        <v>0</v>
      </c>
      <c r="H36" s="22"/>
      <c r="I36" s="7">
        <v>37.5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0+0+0+0+0+0+0+0+0+0+0+0+0+0+0+0+0+0</f>
        <v>0</v>
      </c>
      <c r="H37" s="22"/>
      <c r="I37" s="7">
        <v>98.1518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2</v>
      </c>
      <c r="D38" s="7">
        <v>0</v>
      </c>
      <c r="E38" s="10">
        <f>D38+C38</f>
        <v>2</v>
      </c>
      <c r="F38" s="10" t="s">
        <v>37</v>
      </c>
      <c r="G38" s="10">
        <f>2+3+3+2+0+0+0+0+0+0+0+3+0+4+4+3+0+2</f>
        <v>26</v>
      </c>
      <c r="H38" s="22"/>
      <c r="I38" s="10">
        <v>6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G36" sqref="G36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113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8</v>
      </c>
      <c r="D3" s="9">
        <v>6.5</v>
      </c>
      <c r="E3" s="10">
        <f t="shared" ref="E3:E12" si="0">C3+D3</f>
        <v>14.5</v>
      </c>
      <c r="F3" s="10" t="s">
        <v>14</v>
      </c>
      <c r="G3" s="10">
        <f>2+14.5+12+6+0+0+0+1+10.5+13+9.5+11.5+14+5.5+12.5+14+15.5+15.5+14.5</f>
        <v>171.5</v>
      </c>
      <c r="H3" s="10">
        <v>294</v>
      </c>
      <c r="I3" s="10">
        <f>H3-G3</f>
        <v>122.5</v>
      </c>
      <c r="J3" s="11"/>
      <c r="K3" s="10"/>
      <c r="L3" s="10"/>
      <c r="M3" s="10">
        <f>I3/11</f>
        <v>11.1363636363636</v>
      </c>
    </row>
    <row r="4" s="1" customFormat="1" ht="38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14+2+14+12+6+0+0+0+0+12+12+10+12+14+4+14+14+18+12</f>
        <v>170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16</v>
      </c>
      <c r="C5" s="10">
        <v>46</v>
      </c>
      <c r="D5" s="10">
        <v>0</v>
      </c>
      <c r="E5" s="10">
        <f t="shared" si="0"/>
        <v>46</v>
      </c>
      <c r="F5" s="10" t="s">
        <v>14</v>
      </c>
      <c r="G5" s="10">
        <f>0+0+0+0+0+0+0+0+0+42+185+181+182+108+158+178+174+190+46</f>
        <v>1444</v>
      </c>
      <c r="H5" s="10">
        <v>4346</v>
      </c>
      <c r="I5" s="10">
        <f>H5-G5-G7-G6</f>
        <v>2031</v>
      </c>
      <c r="J5" s="14"/>
      <c r="K5" s="10"/>
      <c r="L5" s="10"/>
      <c r="M5" s="10"/>
    </row>
    <row r="6" s="1" customFormat="1" ht="38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206+172+152+0+0+0+0+20+219+80+7+1+2+0+0+0+0+12+0</f>
        <v>871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0+0+0+0+0+0+0+0+0+0+1+0+0+0+0+1+0+0+0</f>
        <v>2</v>
      </c>
      <c r="H8" s="16"/>
      <c r="I8" s="16"/>
      <c r="J8" s="11"/>
      <c r="K8" s="10"/>
      <c r="L8" s="10"/>
      <c r="M8" s="10"/>
    </row>
    <row r="9" s="1" customFormat="1" ht="25" customHeight="1" spans="1:13">
      <c r="A9" s="12">
        <v>4</v>
      </c>
      <c r="B9" s="17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0+0+39.77+63.15+0+0+0+0+0+0+0+0+31.72+30.91+61.21+61.53+30.69+29.88+0</f>
        <v>348.86</v>
      </c>
      <c r="H9" s="13">
        <v>5.42</v>
      </c>
      <c r="I9" s="13">
        <f>H9-K10</f>
        <v>2.542395</v>
      </c>
      <c r="J9" s="18" t="s">
        <v>21</v>
      </c>
      <c r="K9" s="13">
        <v>0</v>
      </c>
      <c r="L9" s="13">
        <v>0</v>
      </c>
      <c r="M9" s="19"/>
    </row>
    <row r="10" s="1" customFormat="1" ht="25" customHeight="1" spans="1:13">
      <c r="A10" s="7">
        <v>5</v>
      </c>
      <c r="B10" s="8" t="s">
        <v>22</v>
      </c>
      <c r="C10" s="10">
        <v>15.5655</v>
      </c>
      <c r="D10" s="10">
        <v>2.7405</v>
      </c>
      <c r="E10" s="10">
        <f t="shared" si="0"/>
        <v>18.306</v>
      </c>
      <c r="F10" s="10" t="s">
        <v>14</v>
      </c>
      <c r="G10" s="10">
        <f>5.265+7.938+15.8625+3.8745+0+0+0+4.698+14.391+7.0875+8.019+6.777+13.5945+8.7075+8.0325+15.822+8.4375+11.016+18.306</f>
        <v>157.8285</v>
      </c>
      <c r="H10" s="10"/>
      <c r="I10" s="10">
        <f>G10/(G3*0.1865)</f>
        <v>4.93449221894809</v>
      </c>
      <c r="J10" s="18" t="s">
        <v>23</v>
      </c>
      <c r="K10" s="20">
        <f>0+0+0.338045+0.55572+0+0+0+0+0+0+0+0+0.279136+0.265826+0.477438+0.486087+0.236313+0.23904+0</f>
        <v>2.877605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16.8912</v>
      </c>
      <c r="D11" s="10">
        <v>0</v>
      </c>
      <c r="E11" s="10">
        <f t="shared" si="0"/>
        <v>16.8912</v>
      </c>
      <c r="F11" s="10" t="s">
        <v>14</v>
      </c>
      <c r="G11" s="10">
        <f>8.832+2.8336+13.1376+8.9976+0+0+0+10.9664+15.548+10.1384+8.4456+13.5792+21.4176+10.488+11.7576+13.6712+15.7872+18.8232+16.8912</f>
        <v>201.3144</v>
      </c>
      <c r="H11" s="10"/>
      <c r="I11" s="10">
        <f>G11/(G3*0.1865)</f>
        <v>6.29407451988838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333</v>
      </c>
      <c r="D12" s="10">
        <v>14</v>
      </c>
      <c r="E12" s="10">
        <f t="shared" si="0"/>
        <v>347</v>
      </c>
      <c r="F12" s="10"/>
      <c r="G12" s="10">
        <f>256+501+386+182+0+0+0+16+349+326+388+456+495+324+503+482+501+504+347</f>
        <v>6016</v>
      </c>
      <c r="H12" s="10">
        <f>G12*1.05</f>
        <v>6316.8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278</v>
      </c>
      <c r="D13" s="10">
        <v>83</v>
      </c>
      <c r="E13" s="10">
        <f t="shared" ref="E13:E21" si="1">D13+C13</f>
        <v>361</v>
      </c>
      <c r="F13" s="10" t="s">
        <v>27</v>
      </c>
      <c r="G13" s="10">
        <f>142+478+310+96+0+0+0+135+276+288+363+341+346+192+484+422+480+441+361</f>
        <v>5155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384.65</v>
      </c>
      <c r="D14" s="10">
        <v>338.22</v>
      </c>
      <c r="E14" s="10">
        <f t="shared" si="1"/>
        <v>722.87</v>
      </c>
      <c r="F14" s="10" t="s">
        <v>27</v>
      </c>
      <c r="G14" s="10">
        <f>852.63+765.27+628.63+67.84+0+0+0+622.22+656.54+537.49+673.12+867.1+934.38+903.03+987.12+946.88+983.47+991.65+722.87</f>
        <v>12140.24</v>
      </c>
      <c r="H14" s="10"/>
      <c r="I14" s="10"/>
      <c r="J14" s="18" t="s">
        <v>29</v>
      </c>
      <c r="K14" s="10">
        <v>3.17</v>
      </c>
      <c r="L14" s="10">
        <v>3.34</v>
      </c>
      <c r="M14" s="10"/>
    </row>
    <row r="15" s="1" customFormat="1" ht="25" customHeight="1" spans="1:13">
      <c r="A15" s="7">
        <v>10</v>
      </c>
      <c r="B15" s="8" t="s">
        <v>32</v>
      </c>
      <c r="C15" s="10">
        <v>21</v>
      </c>
      <c r="D15" s="10">
        <v>6</v>
      </c>
      <c r="E15" s="10">
        <f t="shared" si="1"/>
        <v>27</v>
      </c>
      <c r="F15" s="10" t="s">
        <v>14</v>
      </c>
      <c r="G15" s="10">
        <f>6+42+24+0+0+0+0+24+18+24+24+30+27+15+33+36+39+33+27</f>
        <v>402</v>
      </c>
      <c r="H15" s="10"/>
      <c r="I15" s="10">
        <f>G15/(G3*0.1865)</f>
        <v>12.5684896708588</v>
      </c>
      <c r="J15" s="18" t="s">
        <v>31</v>
      </c>
      <c r="K15" s="20">
        <f>2.4676132+2.4190333+2.1010637+0.22048+0+0+0+1.9197875+1.9348016+1.6144511+1.7938333+2.565604+2.867483+2.7733777+3.316842+3.1664201+3.6051183+3.2329205+2.3489953</f>
        <v>38.3478246</v>
      </c>
      <c r="L15" s="10"/>
      <c r="M15" s="10">
        <f>(C14*K14+L14*D14)/1000</f>
        <v>2.3489953</v>
      </c>
    </row>
    <row r="16" s="1" customFormat="1" ht="25" customHeight="1" spans="1:13">
      <c r="A16" s="7">
        <v>11</v>
      </c>
      <c r="B16" s="8" t="s">
        <v>33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0.1+0+0+0+0+0+0+0+0+0+0+0.0875+0.0375+0.1125+0+0+0+0</f>
        <v>0.3375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34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0+2+0+2+0+0+0+0+2+0+0+2+2+0+2+0+2+0+2</f>
        <v>16</v>
      </c>
      <c r="H17" s="22"/>
      <c r="I17" s="22">
        <f>G17/(G3*0.1865)</f>
        <v>0.500238394860051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35</v>
      </c>
      <c r="C18" s="10">
        <v>1.5</v>
      </c>
      <c r="D18" s="7">
        <v>0</v>
      </c>
      <c r="E18" s="10">
        <f t="shared" si="1"/>
        <v>1.5</v>
      </c>
      <c r="F18" s="10" t="s">
        <v>14</v>
      </c>
      <c r="G18" s="10">
        <f>0+1.5+0+1.5+0+0+0+0+1.5+0+0+1.5+1.5+0+1.5+0+1.5+0+1.5</f>
        <v>12</v>
      </c>
      <c r="H18" s="22"/>
      <c r="I18" s="22">
        <f>G18/(G3*0.1865)</f>
        <v>0.375178796145038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36</v>
      </c>
      <c r="C19" s="10">
        <v>0</v>
      </c>
      <c r="D19" s="7">
        <v>0</v>
      </c>
      <c r="E19" s="10">
        <f t="shared" si="1"/>
        <v>0</v>
      </c>
      <c r="F19" s="10" t="s">
        <v>37</v>
      </c>
      <c r="G19" s="10">
        <f>12+0+9+0+0+0+0+10+5+3+5+5+6+10+4+9+3+7+0</f>
        <v>88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39</v>
      </c>
      <c r="C20" s="7">
        <v>269</v>
      </c>
      <c r="D20" s="7">
        <v>175</v>
      </c>
      <c r="E20" s="10">
        <f t="shared" si="1"/>
        <v>444</v>
      </c>
      <c r="F20" s="10" t="s">
        <v>27</v>
      </c>
      <c r="G20" s="10">
        <f>1304+1347+838+28+0+0+0+605+1367+931+1037+1080+1094+841+1210+1155+1143+1269+444</f>
        <v>15693</v>
      </c>
      <c r="H20" s="23"/>
      <c r="I20" s="10">
        <f>E20/M20</f>
        <v>74</v>
      </c>
      <c r="J20" s="18" t="s">
        <v>87</v>
      </c>
      <c r="K20" s="10">
        <f>23.5+24+13.5+0+0+0+0+9+24+16+20+24+24+15.5+24+24+24+24+6</f>
        <v>295.5</v>
      </c>
      <c r="L20" s="10">
        <f>G20/K20</f>
        <v>53.1065989847716</v>
      </c>
      <c r="M20" s="10">
        <v>6</v>
      </c>
    </row>
    <row r="21" s="1" customFormat="1" ht="25" customHeight="1" spans="1:13">
      <c r="A21" s="12">
        <v>16</v>
      </c>
      <c r="B21" s="8" t="s">
        <v>41</v>
      </c>
      <c r="C21" s="7">
        <v>311</v>
      </c>
      <c r="D21" s="7">
        <v>304</v>
      </c>
      <c r="E21" s="10">
        <f t="shared" si="1"/>
        <v>615</v>
      </c>
      <c r="F21" s="10" t="s">
        <v>27</v>
      </c>
      <c r="G21" s="10">
        <f>1466+1706+934+1+0+0+0+774+1606+1121+1327+1431+1457+988+1532+1462+1489+1610+615</f>
        <v>19519</v>
      </c>
      <c r="H21" s="22"/>
      <c r="I21" s="10">
        <f>E21/M20</f>
        <v>102.5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42</v>
      </c>
      <c r="C22" s="12">
        <v>26.06</v>
      </c>
      <c r="D22" s="12">
        <v>0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44</v>
      </c>
      <c r="C23" s="40"/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3">
      <c r="A24" s="7">
        <v>19</v>
      </c>
      <c r="B24" s="31" t="s">
        <v>46</v>
      </c>
      <c r="C24" s="27" t="s">
        <v>114</v>
      </c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3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115</v>
      </c>
    </row>
    <row r="28" s="1" customFormat="1" ht="30" customHeight="1" spans="1:13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54</v>
      </c>
      <c r="C30" s="10">
        <v>0</v>
      </c>
      <c r="D30" s="10">
        <v>0</v>
      </c>
      <c r="E30" s="10">
        <f t="shared" si="2"/>
        <v>0</v>
      </c>
      <c r="F30" s="10" t="s">
        <v>27</v>
      </c>
      <c r="G30" s="10">
        <f>16.54+16.48+16.51+8.25+0+0+0+0+0+0+8.28+14.61+0+17.12+16.72+17+8.45+8.39+0</f>
        <v>148.35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55</v>
      </c>
      <c r="C31" s="10">
        <v>5</v>
      </c>
      <c r="D31" s="10">
        <v>7</v>
      </c>
      <c r="E31" s="10">
        <f t="shared" si="2"/>
        <v>12</v>
      </c>
      <c r="F31" s="10" t="s">
        <v>27</v>
      </c>
      <c r="G31" s="10">
        <f>27+20+43+14+0+0+0+76+25+12+28+14+23+24+23+26+20+31+12</f>
        <v>418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0+10.3545+7.7625+8.154+0+0+0+0+0+0+0+0+11.8125+0+7.344+8.1945+8.559+0+0</f>
        <v>62.181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308</v>
      </c>
      <c r="D34" s="10">
        <v>322</v>
      </c>
      <c r="E34" s="10">
        <f t="shared" si="2"/>
        <v>630</v>
      </c>
      <c r="F34" s="10" t="s">
        <v>27</v>
      </c>
      <c r="G34" s="10">
        <f>0+6+0+0+0+0+0+19+2+51+0+0+8+279+379+365+238+500+630</f>
        <v>2477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378</v>
      </c>
      <c r="D35" s="10">
        <v>350</v>
      </c>
      <c r="E35" s="10">
        <f t="shared" si="2"/>
        <v>728</v>
      </c>
      <c r="F35" s="10" t="s">
        <v>27</v>
      </c>
      <c r="G35" s="10">
        <f>599+599+554+284+0+0+0+589+627+644+651+638+681+553+569+557+811+955+728</f>
        <v>10039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0+0+0+0+0+0+0+0+0+0+0+0+0+0+0+0+0+0+0</f>
        <v>0</v>
      </c>
      <c r="H36" s="22"/>
      <c r="I36" s="7">
        <v>37.5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0+0+0+0+0+0+0+0+0+0+0+0+0+0+0+0+0+0+0</f>
        <v>0</v>
      </c>
      <c r="H37" s="22"/>
      <c r="I37" s="7">
        <v>98.1518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0</v>
      </c>
      <c r="D38" s="7">
        <v>0</v>
      </c>
      <c r="E38" s="10">
        <f>D38+C38</f>
        <v>0</v>
      </c>
      <c r="F38" s="10" t="s">
        <v>37</v>
      </c>
      <c r="G38" s="10">
        <f>2+3+3+2+0+0+0+0+0+0+0+3+0+4+4+3+0+2+0</f>
        <v>26</v>
      </c>
      <c r="H38" s="22"/>
      <c r="I38" s="10">
        <v>4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G36" sqref="G36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116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0</v>
      </c>
      <c r="D3" s="9">
        <v>4.5</v>
      </c>
      <c r="E3" s="10">
        <f t="shared" ref="E3:E12" si="0">C3+D3</f>
        <v>4.5</v>
      </c>
      <c r="F3" s="10" t="s">
        <v>14</v>
      </c>
      <c r="G3" s="10">
        <f>2+14.5+12+6+0+0+0+1+10.5+13+9.5+11.5+14+5.5+12.5+14+15.5+15.5+14.5+4.5</f>
        <v>176</v>
      </c>
      <c r="H3" s="10">
        <v>294</v>
      </c>
      <c r="I3" s="10">
        <f>H3-G3</f>
        <v>118</v>
      </c>
      <c r="J3" s="11"/>
      <c r="K3" s="10"/>
      <c r="L3" s="10"/>
      <c r="M3" s="10">
        <f>I3/10</f>
        <v>11.8</v>
      </c>
    </row>
    <row r="4" s="1" customFormat="1" ht="38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14+2+14+12+6+0+0+0+0+12+12+10+12+14+4+14+14+18+12+14</f>
        <v>184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16</v>
      </c>
      <c r="C5" s="10">
        <v>91</v>
      </c>
      <c r="D5" s="10">
        <v>107</v>
      </c>
      <c r="E5" s="10">
        <f t="shared" si="0"/>
        <v>198</v>
      </c>
      <c r="F5" s="10" t="s">
        <v>14</v>
      </c>
      <c r="G5" s="10">
        <f>0+0+0+0+0+0+0+0+0+42+185+181+182+108+158+178+174+190+46+198</f>
        <v>1642</v>
      </c>
      <c r="H5" s="10">
        <v>4346</v>
      </c>
      <c r="I5" s="10">
        <f>H5-G5-G7-G6</f>
        <v>1833</v>
      </c>
      <c r="J5" s="14"/>
      <c r="K5" s="10"/>
      <c r="L5" s="10"/>
      <c r="M5" s="10"/>
    </row>
    <row r="6" s="1" customFormat="1" ht="38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206+172+152+0+0+0+0+20+219+80+7+1+2+0+0+0+0+12+0+0</f>
        <v>871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0+0+0+0+0+0+0+0+0+0+1+0+0+0+0+1+0+0+0+0</f>
        <v>2</v>
      </c>
      <c r="H8" s="16"/>
      <c r="I8" s="16"/>
      <c r="J8" s="11"/>
      <c r="K8" s="10"/>
      <c r="L8" s="10"/>
      <c r="M8" s="10"/>
    </row>
    <row r="9" s="1" customFormat="1" ht="25" customHeight="1" spans="1:13">
      <c r="A9" s="12">
        <v>4</v>
      </c>
      <c r="B9" s="17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0+0+39.77+63.15+0+0+0+0+0+0+0+0+31.72+30.91+61.21+61.53+30.69+29.88+0+0</f>
        <v>348.86</v>
      </c>
      <c r="H9" s="13">
        <v>5.42</v>
      </c>
      <c r="I9" s="13">
        <f>H9-K10</f>
        <v>2.542395</v>
      </c>
      <c r="J9" s="18" t="s">
        <v>21</v>
      </c>
      <c r="K9" s="13">
        <v>1</v>
      </c>
      <c r="L9" s="13">
        <v>0</v>
      </c>
      <c r="M9" s="19"/>
    </row>
    <row r="10" s="1" customFormat="1" ht="25" customHeight="1" spans="1:13">
      <c r="A10" s="7">
        <v>5</v>
      </c>
      <c r="B10" s="8" t="s">
        <v>22</v>
      </c>
      <c r="C10" s="10">
        <v>8.019</v>
      </c>
      <c r="D10" s="10">
        <v>0</v>
      </c>
      <c r="E10" s="10">
        <f t="shared" si="0"/>
        <v>8.019</v>
      </c>
      <c r="F10" s="10" t="s">
        <v>14</v>
      </c>
      <c r="G10" s="10">
        <f>5.265+7.938+15.8625+3.8745+0+0+0+4.698+14.391+7.0875+8.019+6.777+13.5945+8.7075+8.0325+15.822+8.4375+11.016+18.306+8.019</f>
        <v>165.8475</v>
      </c>
      <c r="H10" s="10"/>
      <c r="I10" s="10">
        <f>G10/(G3*0.1865)</f>
        <v>5.05262917377529</v>
      </c>
      <c r="J10" s="18" t="s">
        <v>23</v>
      </c>
      <c r="K10" s="20">
        <f>0+0+0.338045+0.55572+0+0+0+0+0+0+0+0+0.279136+0.265826+0.477438+0.486087+0.236313+0.23904+0+0</f>
        <v>2.877605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12.8616</v>
      </c>
      <c r="D11" s="10">
        <v>0</v>
      </c>
      <c r="E11" s="10">
        <f t="shared" si="0"/>
        <v>12.8616</v>
      </c>
      <c r="F11" s="10" t="s">
        <v>14</v>
      </c>
      <c r="G11" s="10">
        <f>8.832+2.8336+13.1376+8.9976+0+0+0+10.9664+15.548+10.1384+8.4456+13.5792+21.4176+10.488+11.7576+13.6712+15.7872+18.8232+16.8912+12.8616</f>
        <v>214.176</v>
      </c>
      <c r="H11" s="10"/>
      <c r="I11" s="10">
        <f>G11/(G3*0.1865)</f>
        <v>6.52498172069218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55</v>
      </c>
      <c r="D12" s="10">
        <v>237</v>
      </c>
      <c r="E12" s="10">
        <f t="shared" si="0"/>
        <v>292</v>
      </c>
      <c r="F12" s="10"/>
      <c r="G12" s="10">
        <f>256+501+386+182+0+0+0+16+349+326+388+456+495+324+503+482+501+504+347+292</f>
        <v>6308</v>
      </c>
      <c r="H12" s="10">
        <f>G12*1.05</f>
        <v>6623.4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0</v>
      </c>
      <c r="D13" s="10">
        <v>176</v>
      </c>
      <c r="E13" s="10">
        <f t="shared" ref="E13:E21" si="1">D13+C13</f>
        <v>176</v>
      </c>
      <c r="F13" s="10" t="s">
        <v>27</v>
      </c>
      <c r="G13" s="10">
        <f>142+478+310+96+0+0+0+135+276+288+363+341+346+192+484+422+480+441+361+176</f>
        <v>5331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380.78</v>
      </c>
      <c r="D14" s="10">
        <v>411.94</v>
      </c>
      <c r="E14" s="10">
        <f t="shared" si="1"/>
        <v>792.72</v>
      </c>
      <c r="F14" s="10" t="s">
        <v>27</v>
      </c>
      <c r="G14" s="10">
        <f>852.63+765.27+628.63+67.84+0+0+0+622.22+656.54+537.49+673.12+867.1+934.38+903.03+987.12+946.88+983.47+991.65+722.87+792.72</f>
        <v>12932.96</v>
      </c>
      <c r="H14" s="10"/>
      <c r="I14" s="10"/>
      <c r="J14" s="18" t="s">
        <v>29</v>
      </c>
      <c r="K14" s="10">
        <v>3.38</v>
      </c>
      <c r="L14" s="10">
        <v>3.61</v>
      </c>
      <c r="M14" s="10"/>
    </row>
    <row r="15" s="1" customFormat="1" ht="25" customHeight="1" spans="1:13">
      <c r="A15" s="7">
        <v>10</v>
      </c>
      <c r="B15" s="8" t="s">
        <v>32</v>
      </c>
      <c r="C15" s="10">
        <v>0</v>
      </c>
      <c r="D15" s="10">
        <v>13</v>
      </c>
      <c r="E15" s="10">
        <f t="shared" si="1"/>
        <v>13</v>
      </c>
      <c r="F15" s="10" t="s">
        <v>14</v>
      </c>
      <c r="G15" s="10">
        <f>6+42+24+0+0+0+0+24+18+24+24+30+27+15+33+36+39+33+27+13</f>
        <v>415</v>
      </c>
      <c r="H15" s="10"/>
      <c r="I15" s="10">
        <f>G15/(G3*0.1865)</f>
        <v>12.6431879112844</v>
      </c>
      <c r="J15" s="18" t="s">
        <v>31</v>
      </c>
      <c r="K15" s="20">
        <f>2.4676132+2.4190333+2.1010637+0.22048+0+0+0+1.9197875+1.9348016+1.6144511+1.7938333+2.565604+2.867483+2.7733777+3.316842+3.1664201+3.6051183+3.2329205+2.3489953+2.7741398</f>
        <v>41.1219644</v>
      </c>
      <c r="L15" s="10"/>
      <c r="M15" s="10">
        <f>(C14*K14+L14*D14)/1000</f>
        <v>2.7741398</v>
      </c>
    </row>
    <row r="16" s="1" customFormat="1" ht="25" customHeight="1" spans="1:13">
      <c r="A16" s="7">
        <v>11</v>
      </c>
      <c r="B16" s="8" t="s">
        <v>33</v>
      </c>
      <c r="C16" s="7">
        <v>0</v>
      </c>
      <c r="D16" s="7">
        <f>0.175/2</f>
        <v>0.0875</v>
      </c>
      <c r="E16" s="10">
        <f t="shared" si="1"/>
        <v>0.0875</v>
      </c>
      <c r="F16" s="10" t="s">
        <v>14</v>
      </c>
      <c r="G16" s="10">
        <f>0.1+0+0+0+0+0+0+0+0+0+0+0.0875+0.0375+0.1125+0+0+0+0+0.0875</f>
        <v>0.425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34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0+2+0+2+0+0+0+0+2+0+0+2+2+0+2+0+2+0+2+0</f>
        <v>16</v>
      </c>
      <c r="H17" s="22"/>
      <c r="I17" s="22">
        <f>G17/(G3*0.1865)</f>
        <v>0.487448208627833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35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0+1.5+0+1.5+0+0+0+0+1.5+0+0+1.5+1.5+0+1.5+0+1.5+0+1.5+0</f>
        <v>12</v>
      </c>
      <c r="H18" s="22"/>
      <c r="I18" s="22">
        <f>G18/(G3*0.1865)</f>
        <v>0.365586156470875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36</v>
      </c>
      <c r="C19" s="10">
        <v>5</v>
      </c>
      <c r="D19" s="7">
        <v>8</v>
      </c>
      <c r="E19" s="10">
        <f t="shared" si="1"/>
        <v>13</v>
      </c>
      <c r="F19" s="10" t="s">
        <v>37</v>
      </c>
      <c r="G19" s="10">
        <f>12+0+9+0+0+0+0+10+5+3+5+5+6+10+4+9+3+7+0+13</f>
        <v>101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39</v>
      </c>
      <c r="C20" s="7">
        <v>681</v>
      </c>
      <c r="D20" s="7">
        <v>707</v>
      </c>
      <c r="E20" s="10">
        <f t="shared" si="1"/>
        <v>1388</v>
      </c>
      <c r="F20" s="10" t="s">
        <v>27</v>
      </c>
      <c r="G20" s="10">
        <f>1304+1347+838+28+0+0+0+605+1367+931+1037+1080+1094+841+1210+1155+1143+1269+444+1388</f>
        <v>17081</v>
      </c>
      <c r="H20" s="23"/>
      <c r="I20" s="10">
        <f>E20/M20</f>
        <v>57.8333333333333</v>
      </c>
      <c r="J20" s="18" t="s">
        <v>87</v>
      </c>
      <c r="K20" s="10">
        <f>23.5+24+13.5+0+0+0+0+9+24+16+20+24+24+15.5+24+24+24+24+6+24</f>
        <v>319.5</v>
      </c>
      <c r="L20" s="10">
        <f>G20/K20</f>
        <v>53.4616588419405</v>
      </c>
      <c r="M20" s="10">
        <v>24</v>
      </c>
    </row>
    <row r="21" s="1" customFormat="1" ht="25" customHeight="1" spans="1:13">
      <c r="A21" s="12">
        <v>16</v>
      </c>
      <c r="B21" s="8" t="s">
        <v>41</v>
      </c>
      <c r="C21" s="7">
        <v>693</v>
      </c>
      <c r="D21" s="7">
        <v>872</v>
      </c>
      <c r="E21" s="10">
        <f t="shared" si="1"/>
        <v>1565</v>
      </c>
      <c r="F21" s="10" t="s">
        <v>27</v>
      </c>
      <c r="G21" s="10">
        <f>1466+1706+934+1+0+0+0+774+1606+1121+1327+1431+1457+988+1532+1462+1489+1610+615+1565</f>
        <v>21084</v>
      </c>
      <c r="H21" s="22"/>
      <c r="I21" s="10">
        <f>E21/M20</f>
        <v>65.2083333333333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42</v>
      </c>
      <c r="C22" s="12">
        <v>28.52</v>
      </c>
      <c r="D22" s="12">
        <v>31.31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44</v>
      </c>
      <c r="C23" s="40"/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3">
      <c r="A24" s="7">
        <v>19</v>
      </c>
      <c r="B24" s="31" t="s">
        <v>46</v>
      </c>
      <c r="C24" s="27" t="s">
        <v>117</v>
      </c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3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118</v>
      </c>
    </row>
    <row r="28" s="1" customFormat="1" ht="30" customHeight="1" spans="1:13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54</v>
      </c>
      <c r="C30" s="10">
        <v>8.43</v>
      </c>
      <c r="D30" s="10">
        <v>8.32</v>
      </c>
      <c r="E30" s="10">
        <f t="shared" si="2"/>
        <v>16.75</v>
      </c>
      <c r="F30" s="10" t="s">
        <v>27</v>
      </c>
      <c r="G30" s="10">
        <f>16.54+16.48+16.51+8.25+0+0+0+0+0+0+8.28+14.61+0+17.12+16.72+17+8.45+8.39+0+16.75</f>
        <v>165.1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55</v>
      </c>
      <c r="C31" s="10">
        <v>12</v>
      </c>
      <c r="D31" s="10">
        <v>10</v>
      </c>
      <c r="E31" s="10">
        <f t="shared" si="2"/>
        <v>22</v>
      </c>
      <c r="F31" s="10" t="s">
        <v>27</v>
      </c>
      <c r="G31" s="10">
        <f>27+20+43+14+0+0+0+76+25+12+28+14+23+24+23+26+20+31+12+22</f>
        <v>440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8.0595</v>
      </c>
      <c r="D32" s="10">
        <v>0</v>
      </c>
      <c r="E32" s="10">
        <f t="shared" si="2"/>
        <v>8.0595</v>
      </c>
      <c r="F32" s="10" t="s">
        <v>14</v>
      </c>
      <c r="G32" s="10">
        <f>0+10.3545+7.7625+8.154+0+0+0+0+0+0+0+0+11.8125+0+7.344+8.1945+8.559+0+0+8.0595</f>
        <v>70.2405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324</v>
      </c>
      <c r="D34" s="10">
        <v>301</v>
      </c>
      <c r="E34" s="10">
        <f t="shared" si="2"/>
        <v>625</v>
      </c>
      <c r="F34" s="10" t="s">
        <v>27</v>
      </c>
      <c r="G34" s="10">
        <f>0+6+0+0+0+0+0+19+2+51+0+0+8+279+379+365+238+500+630+625</f>
        <v>3102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379</v>
      </c>
      <c r="D35" s="10">
        <v>374</v>
      </c>
      <c r="E35" s="10">
        <f t="shared" si="2"/>
        <v>753</v>
      </c>
      <c r="F35" s="10" t="s">
        <v>27</v>
      </c>
      <c r="G35" s="10">
        <f>599+599+554+284+0+0+0+589+627+644+651+638+681+553+569+557+811+955+728+753</f>
        <v>10792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0+0+0+0+0+0+0+0+0+0+0+0+0+0+0+0+0+0+0+0</f>
        <v>0</v>
      </c>
      <c r="H36" s="22"/>
      <c r="I36" s="7">
        <v>22.5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0+0+0+0+0+0+0+0+0+0+0+0+0+0+0+0+0+0+0+0</f>
        <v>0</v>
      </c>
      <c r="H37" s="22"/>
      <c r="I37" s="7">
        <v>91.203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0</v>
      </c>
      <c r="D38" s="7">
        <v>3</v>
      </c>
      <c r="E38" s="10">
        <f>D38+C38</f>
        <v>3</v>
      </c>
      <c r="F38" s="10" t="s">
        <v>37</v>
      </c>
      <c r="G38" s="10">
        <f>2+3+3+2+0+0+0+0+0+0+0+3+0+4+4+3+0+2+0+3</f>
        <v>29</v>
      </c>
      <c r="H38" s="22"/>
      <c r="I38" s="10">
        <v>4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G36" sqref="G36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119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5</v>
      </c>
      <c r="D3" s="9">
        <v>9.5</v>
      </c>
      <c r="E3" s="10">
        <f t="shared" ref="E3:E12" si="0">C3+D3</f>
        <v>14.5</v>
      </c>
      <c r="F3" s="10" t="s">
        <v>14</v>
      </c>
      <c r="G3" s="10">
        <f>2+14.5+12+6+0+0+0+1+10.5+13+9.5+11.5+14+5.5+12.5+14+15.5+15.5+14.5+4.5+14.5</f>
        <v>190.5</v>
      </c>
      <c r="H3" s="10">
        <v>294</v>
      </c>
      <c r="I3" s="10">
        <f>H3-G3</f>
        <v>103.5</v>
      </c>
      <c r="J3" s="11"/>
      <c r="K3" s="10"/>
      <c r="L3" s="10"/>
      <c r="M3" s="10">
        <f>I3/9</f>
        <v>11.5</v>
      </c>
    </row>
    <row r="4" s="1" customFormat="1" ht="38" customHeight="1" spans="1:13">
      <c r="A4" s="12">
        <v>2</v>
      </c>
      <c r="B4" s="8" t="s">
        <v>15</v>
      </c>
      <c r="C4" s="9">
        <v>6</v>
      </c>
      <c r="D4" s="9"/>
      <c r="E4" s="10">
        <f t="shared" si="0"/>
        <v>6</v>
      </c>
      <c r="F4" s="10" t="s">
        <v>14</v>
      </c>
      <c r="G4" s="10">
        <f>14+2+14+12+6+0+0+0+0+12+12+10+12+14+4+14+14+18+12+14+6</f>
        <v>190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16</v>
      </c>
      <c r="C5" s="10">
        <v>71</v>
      </c>
      <c r="D5" s="10">
        <v>90</v>
      </c>
      <c r="E5" s="10">
        <f t="shared" si="0"/>
        <v>161</v>
      </c>
      <c r="F5" s="10" t="s">
        <v>14</v>
      </c>
      <c r="G5" s="10">
        <f>0+0+0+0+0+0+0+0+0+42+185+181+182+108+158+178+174+190+46+198+161</f>
        <v>1803</v>
      </c>
      <c r="H5" s="10">
        <v>4346</v>
      </c>
      <c r="I5" s="10">
        <f>H5-G5-G7-G6</f>
        <v>1672</v>
      </c>
      <c r="J5" s="14"/>
      <c r="K5" s="10"/>
      <c r="L5" s="10"/>
      <c r="M5" s="10"/>
    </row>
    <row r="6" s="1" customFormat="1" ht="38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206+172+152+0+0+0+0+20+219+80+7+1+2+0+0+0+0+12+0+0+0</f>
        <v>871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0+0+0+0+0+0+0+0+0+0+1+0+0+0+0+1+0+0+0+0+0</f>
        <v>2</v>
      </c>
      <c r="H8" s="16"/>
      <c r="I8" s="16"/>
      <c r="J8" s="11"/>
      <c r="K8" s="10"/>
      <c r="L8" s="10"/>
      <c r="M8" s="10"/>
    </row>
    <row r="9" s="1" customFormat="1" ht="25" customHeight="1" spans="1:13">
      <c r="A9" s="12">
        <v>4</v>
      </c>
      <c r="B9" s="17" t="s">
        <v>20</v>
      </c>
      <c r="C9" s="13">
        <v>30.79</v>
      </c>
      <c r="D9" s="13"/>
      <c r="E9" s="10">
        <f t="shared" si="0"/>
        <v>30.79</v>
      </c>
      <c r="F9" s="13" t="s">
        <v>14</v>
      </c>
      <c r="G9" s="10">
        <f>0+0+39.77+63.15+0+0+0+0+0+0+0+0+31.72+30.91+61.21+61.53+30.69+29.88+0+0+30.79</f>
        <v>379.65</v>
      </c>
      <c r="H9" s="13">
        <v>5.42</v>
      </c>
      <c r="I9" s="13">
        <f>H9-K10</f>
        <v>2.256048</v>
      </c>
      <c r="J9" s="18" t="s">
        <v>21</v>
      </c>
      <c r="K9" s="13">
        <v>0</v>
      </c>
      <c r="L9" s="13">
        <v>0.93</v>
      </c>
      <c r="M9" s="19"/>
    </row>
    <row r="10" s="1" customFormat="1" ht="25" customHeight="1" spans="1:13">
      <c r="A10" s="7">
        <v>5</v>
      </c>
      <c r="B10" s="8" t="s">
        <v>22</v>
      </c>
      <c r="C10" s="10">
        <v>5.724</v>
      </c>
      <c r="D10" s="10">
        <v>0</v>
      </c>
      <c r="E10" s="10">
        <f t="shared" si="0"/>
        <v>5.724</v>
      </c>
      <c r="F10" s="10" t="s">
        <v>14</v>
      </c>
      <c r="G10" s="10">
        <f>5.265+7.938+15.8625+3.8745+0+0+0+4.698+14.391+7.0875+8.019+6.777+13.5945+8.7075+8.0325+15.822+8.4375+11.016+18.306+8.019+5.724</f>
        <v>171.5715</v>
      </c>
      <c r="H10" s="10"/>
      <c r="I10" s="10">
        <f>G10/(G3*0.1865)</f>
        <v>4.82915707922569</v>
      </c>
      <c r="J10" s="18" t="s">
        <v>23</v>
      </c>
      <c r="K10" s="20">
        <f>0+0+0.338045+0.55572+0+0+0+0+0+0+0+0+0.279136+0.265826+0.477438+0.486087+0.236313+0.23904+0+0+0.286347</f>
        <v>3.163952</v>
      </c>
      <c r="L10" s="10"/>
      <c r="M10" s="10">
        <f>C9*L9/100</f>
        <v>0.286347</v>
      </c>
    </row>
    <row r="11" s="1" customFormat="1" ht="25" customHeight="1" spans="1:13">
      <c r="A11" s="7">
        <v>6</v>
      </c>
      <c r="B11" s="8" t="s">
        <v>24</v>
      </c>
      <c r="C11" s="10">
        <v>14.1312</v>
      </c>
      <c r="D11" s="10">
        <v>0</v>
      </c>
      <c r="E11" s="10">
        <f t="shared" si="0"/>
        <v>14.1312</v>
      </c>
      <c r="F11" s="10" t="s">
        <v>14</v>
      </c>
      <c r="G11" s="10">
        <f>8.832+2.8336+13.1376+8.9976+0+0+0+10.9664+15.548+10.1384+8.4456+13.5792+21.4176+10.488+11.7576+13.6712+15.7872+18.8232+16.8912+12.8616+14.1312</f>
        <v>228.3072</v>
      </c>
      <c r="H11" s="10"/>
      <c r="I11" s="10">
        <f>G11/(G3*0.1865)</f>
        <v>6.42607502480421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293</v>
      </c>
      <c r="D12" s="10">
        <v>262</v>
      </c>
      <c r="E12" s="10">
        <f t="shared" si="0"/>
        <v>555</v>
      </c>
      <c r="F12" s="10"/>
      <c r="G12" s="10">
        <f>256+501+386+182+0+0+0+16+349+326+388+456+495+324+503+482+501+504+347+292+555</f>
        <v>6863</v>
      </c>
      <c r="H12" s="10">
        <f>G12*1.05</f>
        <v>7206.15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247</v>
      </c>
      <c r="D13" s="10">
        <v>255</v>
      </c>
      <c r="E13" s="10">
        <f t="shared" ref="E13:E21" si="1">D13+C13</f>
        <v>502</v>
      </c>
      <c r="F13" s="10" t="s">
        <v>27</v>
      </c>
      <c r="G13" s="10">
        <f>142+478+310+96+0+0+0+135+276+288+363+341+346+192+484+422+480+441+361+176+502</f>
        <v>5833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515</v>
      </c>
      <c r="D14" s="10">
        <v>434.34</v>
      </c>
      <c r="E14" s="10">
        <f t="shared" si="1"/>
        <v>949.34</v>
      </c>
      <c r="F14" s="10" t="s">
        <v>27</v>
      </c>
      <c r="G14" s="10">
        <f>852.63+765.27+628.63+67.84+0+0+0+622.22+656.54+537.49+673.12+867.1+934.38+903.03+987.12+946.88+983.47+991.65+722.87+792.72+949.34</f>
        <v>13882.3</v>
      </c>
      <c r="H14" s="10"/>
      <c r="I14" s="10"/>
      <c r="J14" s="18" t="s">
        <v>29</v>
      </c>
      <c r="K14" s="10">
        <v>3.41</v>
      </c>
      <c r="L14" s="10">
        <v>3.15</v>
      </c>
      <c r="M14" s="10"/>
    </row>
    <row r="15" s="1" customFormat="1" ht="25" customHeight="1" spans="1:13">
      <c r="A15" s="7">
        <v>10</v>
      </c>
      <c r="B15" s="8" t="s">
        <v>32</v>
      </c>
      <c r="C15" s="10">
        <v>15</v>
      </c>
      <c r="D15" s="10">
        <v>24</v>
      </c>
      <c r="E15" s="10">
        <f t="shared" si="1"/>
        <v>39</v>
      </c>
      <c r="F15" s="10" t="s">
        <v>14</v>
      </c>
      <c r="G15" s="10">
        <f>6+42+24+0+0+0+0+24+18+24+24+30+27+15+33+36+39+33+27+13+39</f>
        <v>454</v>
      </c>
      <c r="H15" s="10"/>
      <c r="I15" s="10">
        <f>G15/(G3*0.1865)</f>
        <v>12.7785635374667</v>
      </c>
      <c r="J15" s="18" t="s">
        <v>31</v>
      </c>
      <c r="K15" s="20">
        <f>2.4676132+2.4190333+2.1010637+0.22048+0+0+0+1.9197875+1.9348016+1.6144511+1.7938333+2.565604+2.867483+2.7733777+3.316842+3.1664201+3.6051183+3.2329205+2.3489953+2.7741398+3.124321</f>
        <v>44.2462854</v>
      </c>
      <c r="L15" s="10"/>
      <c r="M15" s="10">
        <f>(C14*K14+L14*D14)/1000</f>
        <v>3.124321</v>
      </c>
    </row>
    <row r="16" s="1" customFormat="1" ht="25" customHeight="1" spans="1:13">
      <c r="A16" s="7">
        <v>11</v>
      </c>
      <c r="B16" s="8" t="s">
        <v>33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0.1+0+0+0+0+0+0+0+0+0+0+0.0875+0.0375+0.1125+0+0+0+0+0.0875+0</f>
        <v>0.425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34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0+2+0+2+0+0+0+0+2+0+0+2+2+0+2+0+2+0+2+0+2</f>
        <v>18</v>
      </c>
      <c r="H17" s="22"/>
      <c r="I17" s="22">
        <f>G17/(G3*0.1865)</f>
        <v>0.50663908298326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35</v>
      </c>
      <c r="C18" s="10">
        <v>1.5</v>
      </c>
      <c r="D18" s="7">
        <v>0</v>
      </c>
      <c r="E18" s="10">
        <f t="shared" si="1"/>
        <v>1.5</v>
      </c>
      <c r="F18" s="10" t="s">
        <v>14</v>
      </c>
      <c r="G18" s="10">
        <f>0+1.5+0+1.5+0+0+0+0+1.5+0+0+1.5+1.5+0+1.5+0+1.5+0+1.5+0+1.5</f>
        <v>13.5</v>
      </c>
      <c r="H18" s="22"/>
      <c r="I18" s="22">
        <f>G18/(G3*0.1865)</f>
        <v>0.379979312237445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36</v>
      </c>
      <c r="C19" s="10">
        <v>0</v>
      </c>
      <c r="D19" s="7">
        <v>0</v>
      </c>
      <c r="E19" s="10">
        <f t="shared" si="1"/>
        <v>0</v>
      </c>
      <c r="F19" s="10" t="s">
        <v>37</v>
      </c>
      <c r="G19" s="10">
        <f>12+0+9+0+0+0+0+10+5+3+5+5+6+10+4+9+3+7+0+13+0</f>
        <v>101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39</v>
      </c>
      <c r="C20" s="7">
        <v>687</v>
      </c>
      <c r="D20" s="7">
        <v>623</v>
      </c>
      <c r="E20" s="10">
        <f t="shared" si="1"/>
        <v>1310</v>
      </c>
      <c r="F20" s="10" t="s">
        <v>27</v>
      </c>
      <c r="G20" s="10">
        <f>1304+1347+838+28+0+0+0+605+1367+931+1037+1080+1094+841+1210+1155+1143+1269+444+1388+1310</f>
        <v>18391</v>
      </c>
      <c r="H20" s="23"/>
      <c r="I20" s="10">
        <f>E20/M20</f>
        <v>54.5833333333333</v>
      </c>
      <c r="J20" s="18" t="s">
        <v>87</v>
      </c>
      <c r="K20" s="10">
        <f>23.5+24+13.5+0+0+0+0+9+24+16+20+24+24+15.5+24+24+24+24+6+24+24</f>
        <v>343.5</v>
      </c>
      <c r="L20" s="10">
        <f>G20/K20</f>
        <v>53.5400291120815</v>
      </c>
      <c r="M20" s="10">
        <v>24</v>
      </c>
    </row>
    <row r="21" s="1" customFormat="1" ht="25" customHeight="1" spans="1:13">
      <c r="A21" s="12">
        <v>16</v>
      </c>
      <c r="B21" s="8" t="s">
        <v>41</v>
      </c>
      <c r="C21" s="7">
        <v>853</v>
      </c>
      <c r="D21" s="7">
        <v>775</v>
      </c>
      <c r="E21" s="10">
        <f t="shared" si="1"/>
        <v>1628</v>
      </c>
      <c r="F21" s="10" t="s">
        <v>27</v>
      </c>
      <c r="G21" s="10">
        <f>1466+1706+934+1+0+0+0+774+1606+1121+1327+1431+1457+988+1532+1462+1489+1610+615+1565+1628</f>
        <v>22712</v>
      </c>
      <c r="H21" s="22"/>
      <c r="I21" s="10">
        <f>E21/M20</f>
        <v>67.8333333333333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42</v>
      </c>
      <c r="C22" s="12">
        <v>30</v>
      </c>
      <c r="D22" s="12">
        <v>22.32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44</v>
      </c>
      <c r="C23" s="40"/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3">
      <c r="A24" s="7">
        <v>19</v>
      </c>
      <c r="B24" s="31" t="s">
        <v>46</v>
      </c>
      <c r="C24" s="27" t="s">
        <v>120</v>
      </c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3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121</v>
      </c>
    </row>
    <row r="28" s="1" customFormat="1" ht="30" customHeight="1" spans="1:13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54</v>
      </c>
      <c r="C30" s="10">
        <v>8.29</v>
      </c>
      <c r="D30" s="10">
        <v>8.31</v>
      </c>
      <c r="E30" s="10">
        <f t="shared" si="2"/>
        <v>16.6</v>
      </c>
      <c r="F30" s="10" t="s">
        <v>27</v>
      </c>
      <c r="G30" s="10">
        <f>16.54+16.48+16.51+8.25+0+0+0+0+0+0+8.28+14.61+0+17.12+16.72+17+8.45+8.39+0+16.75+16.6</f>
        <v>181.7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55</v>
      </c>
      <c r="C31" s="10">
        <v>14</v>
      </c>
      <c r="D31" s="10">
        <v>11</v>
      </c>
      <c r="E31" s="10">
        <f t="shared" si="2"/>
        <v>25</v>
      </c>
      <c r="F31" s="10" t="s">
        <v>27</v>
      </c>
      <c r="G31" s="10">
        <f>27+20+43+14+0+0+0+76+25+12+28+14+23+24+23+26+20+31+12+22+25</f>
        <v>465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7.83</v>
      </c>
      <c r="D32" s="10">
        <v>0</v>
      </c>
      <c r="E32" s="10">
        <f t="shared" si="2"/>
        <v>7.83</v>
      </c>
      <c r="F32" s="10" t="s">
        <v>14</v>
      </c>
      <c r="G32" s="10">
        <f>0+10.3545+7.7625+8.154+0+0+0+0+0+0+0+0+11.8125+0+7.344+8.1945+8.559+0+0+8.0595+7.83</f>
        <v>78.0705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302</v>
      </c>
      <c r="D34" s="10">
        <v>308</v>
      </c>
      <c r="E34" s="10">
        <f t="shared" si="2"/>
        <v>610</v>
      </c>
      <c r="F34" s="10" t="s">
        <v>27</v>
      </c>
      <c r="G34" s="10">
        <f>0+6+0+0+0+0+0+19+2+51+0+0+8+279+379+365+238+500+630+625+610</f>
        <v>3712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383</v>
      </c>
      <c r="D35" s="10">
        <v>463</v>
      </c>
      <c r="E35" s="10">
        <f t="shared" si="2"/>
        <v>846</v>
      </c>
      <c r="F35" s="10" t="s">
        <v>27</v>
      </c>
      <c r="G35" s="10">
        <f>599+599+554+284+0+0+0+589+627+644+651+638+681+553+569+557+811+955+728+753+846</f>
        <v>11638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0+0+0+0+0+0+0+0+0+0+0+0+0+0+0+0+0+0+0+0+0</f>
        <v>0</v>
      </c>
      <c r="H36" s="22"/>
      <c r="I36" s="7">
        <v>30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0+0+0+0+0+0+0+0+0+0+0+0+0+0+0+0+0+0+0+0+0</f>
        <v>0</v>
      </c>
      <c r="H37" s="22"/>
      <c r="I37" s="7">
        <v>100.7576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0</v>
      </c>
      <c r="D38" s="7">
        <v>0</v>
      </c>
      <c r="E38" s="10">
        <f>D38+C38</f>
        <v>0</v>
      </c>
      <c r="F38" s="10" t="s">
        <v>37</v>
      </c>
      <c r="G38" s="10">
        <f>2+3+3+2+0+0+0+0+0+0+0+3+0+4+4+3+0+2+0+3+0</f>
        <v>29</v>
      </c>
      <c r="H38" s="22"/>
      <c r="I38" s="10">
        <v>4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G36" sqref="G36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122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9.5</v>
      </c>
      <c r="D3" s="9">
        <v>10</v>
      </c>
      <c r="E3" s="10">
        <f t="shared" ref="E3:E12" si="0">C3+D3</f>
        <v>19.5</v>
      </c>
      <c r="F3" s="10" t="s">
        <v>14</v>
      </c>
      <c r="G3" s="10">
        <f>2+14.5+12+6+0+0+0+1+10.5+13+9.5+11.5+14+5.5+12.5+14+15.5+15.5+14.5+4.5+14.5+19.5</f>
        <v>210</v>
      </c>
      <c r="H3" s="10">
        <v>294</v>
      </c>
      <c r="I3" s="10">
        <f>H3-G3</f>
        <v>84</v>
      </c>
      <c r="J3" s="11"/>
      <c r="K3" s="10"/>
      <c r="L3" s="10"/>
      <c r="M3" s="10">
        <f>I3/8</f>
        <v>10.5</v>
      </c>
    </row>
    <row r="4" s="1" customFormat="1" ht="38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14+2+14+12+6+0+0+0+0+12+12+10+12+14+4+14+14+18+12+14+6+14</f>
        <v>204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16</v>
      </c>
      <c r="C5" s="10">
        <v>101</v>
      </c>
      <c r="D5" s="10">
        <v>99</v>
      </c>
      <c r="E5" s="10">
        <f t="shared" si="0"/>
        <v>200</v>
      </c>
      <c r="F5" s="10" t="s">
        <v>14</v>
      </c>
      <c r="G5" s="10">
        <f>0+0+0+0+0+0+0+0+0+42+185+181+182+108+158+178+174+190+46+198+161+200</f>
        <v>2003</v>
      </c>
      <c r="H5" s="10">
        <v>4346</v>
      </c>
      <c r="I5" s="10">
        <f>H5-G5-G7-G6</f>
        <v>1472</v>
      </c>
      <c r="J5" s="14"/>
      <c r="K5" s="10"/>
      <c r="L5" s="10"/>
      <c r="M5" s="10"/>
    </row>
    <row r="6" s="1" customFormat="1" ht="38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206+172+152+0+0+0+0+20+219+80+7+1+2+0+0+0+0+12+0+0+0+0</f>
        <v>871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0+0+0+0+0+0+0+0+0+0+1+0+0+0+0+1+0+0+0+0+0+0</f>
        <v>2</v>
      </c>
      <c r="H8" s="16"/>
      <c r="I8" s="16"/>
      <c r="J8" s="11"/>
      <c r="K8" s="10"/>
      <c r="L8" s="10"/>
      <c r="M8" s="10"/>
    </row>
    <row r="9" s="1" customFormat="1" ht="25" customHeight="1" spans="1:13">
      <c r="A9" s="12">
        <v>4</v>
      </c>
      <c r="B9" s="17" t="s">
        <v>20</v>
      </c>
      <c r="C9" s="13">
        <v>30.79</v>
      </c>
      <c r="D9" s="13"/>
      <c r="E9" s="10">
        <f t="shared" si="0"/>
        <v>30.79</v>
      </c>
      <c r="F9" s="13" t="s">
        <v>14</v>
      </c>
      <c r="G9" s="10">
        <f>0+0+39.77+63.15+0+0+0+0+0+0+0+0+31.72+30.91+61.21+61.53+30.69+29.88+0+0+30.79+30.79</f>
        <v>410.44</v>
      </c>
      <c r="H9" s="13">
        <v>5.42</v>
      </c>
      <c r="I9" s="13">
        <f>H9-K10</f>
        <v>1.975859</v>
      </c>
      <c r="J9" s="18" t="s">
        <v>21</v>
      </c>
      <c r="K9" s="13">
        <v>0</v>
      </c>
      <c r="L9" s="13">
        <v>0.91</v>
      </c>
      <c r="M9" s="19"/>
    </row>
    <row r="10" s="1" customFormat="1" ht="25" customHeight="1" spans="1:13">
      <c r="A10" s="7">
        <v>5</v>
      </c>
      <c r="B10" s="8" t="s">
        <v>22</v>
      </c>
      <c r="C10" s="10">
        <v>11.664</v>
      </c>
      <c r="D10" s="10">
        <v>2.8215</v>
      </c>
      <c r="E10" s="10">
        <f t="shared" si="0"/>
        <v>14.4855</v>
      </c>
      <c r="F10" s="10" t="s">
        <v>14</v>
      </c>
      <c r="G10" s="10">
        <f>5.265+7.938+15.8625+3.8745+0+0+0+4.698+14.391+7.0875+8.019+6.777+13.5945+8.7075+8.0325+15.822+8.4375+11.016+18.306+8.019+5.724+14.4855</f>
        <v>186.057</v>
      </c>
      <c r="H10" s="10"/>
      <c r="I10" s="10">
        <f>G10/(G3*0.1865)</f>
        <v>4.75059364228265</v>
      </c>
      <c r="J10" s="18" t="s">
        <v>23</v>
      </c>
      <c r="K10" s="20">
        <f>0+0+0.338045+0.55572+0+0+0+0+0+0+0+0+0.279136+0.265826+0.477438+0.486087+0.236313+0.23904+0+0+0.286347+0.280189</f>
        <v>3.444141</v>
      </c>
      <c r="L10" s="10"/>
      <c r="M10" s="10">
        <f>C9*L9/100</f>
        <v>0.280189</v>
      </c>
    </row>
    <row r="11" s="1" customFormat="1" ht="25" customHeight="1" spans="1:13">
      <c r="A11" s="7">
        <v>6</v>
      </c>
      <c r="B11" s="8" t="s">
        <v>24</v>
      </c>
      <c r="C11" s="10">
        <v>10.6352</v>
      </c>
      <c r="D11" s="10">
        <v>0</v>
      </c>
      <c r="E11" s="10">
        <f t="shared" si="0"/>
        <v>10.6352</v>
      </c>
      <c r="F11" s="10" t="s">
        <v>14</v>
      </c>
      <c r="G11" s="10">
        <f>8.832+2.8336+13.1376+8.9976+0+0+0+10.9664+15.548+10.1384+8.4456+13.5792+21.4176+10.488+11.7576+13.6712+15.7872+18.8232+16.8912+12.8616+14.1312+10.6352</f>
        <v>238.9424</v>
      </c>
      <c r="H11" s="10"/>
      <c r="I11" s="10">
        <f>G11/(G3*0.1865)</f>
        <v>6.10091663475042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280</v>
      </c>
      <c r="D12" s="10">
        <v>283</v>
      </c>
      <c r="E12" s="10">
        <f t="shared" si="0"/>
        <v>563</v>
      </c>
      <c r="F12" s="10"/>
      <c r="G12" s="10">
        <f>256+501+386+182+0+0+0+16+349+326+388+456+495+324+503+482+501+504+347+292+555+563</f>
        <v>7426</v>
      </c>
      <c r="H12" s="10">
        <f>G12*1.05</f>
        <v>7797.3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260</v>
      </c>
      <c r="D13" s="10">
        <v>278</v>
      </c>
      <c r="E13" s="10">
        <f t="shared" ref="E13:E21" si="1">D13+C13</f>
        <v>538</v>
      </c>
      <c r="F13" s="10" t="s">
        <v>27</v>
      </c>
      <c r="G13" s="10">
        <f>142+478+310+96+0+0+0+135+276+288+363+341+346+192+484+422+480+441+361+176+502+538</f>
        <v>6371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460.16</v>
      </c>
      <c r="D14" s="10">
        <v>394.84</v>
      </c>
      <c r="E14" s="10">
        <f t="shared" si="1"/>
        <v>855</v>
      </c>
      <c r="F14" s="10" t="s">
        <v>27</v>
      </c>
      <c r="G14" s="10">
        <f>852.63+765.27+628.63+67.84+0+0+0+622.22+656.54+537.49+673.12+867.1+934.38+903.03+987.12+946.88+983.47+991.65+722.87+792.72+949.34+855</f>
        <v>14737.3</v>
      </c>
      <c r="H14" s="10"/>
      <c r="I14" s="10"/>
      <c r="J14" s="18" t="s">
        <v>29</v>
      </c>
      <c r="K14" s="10">
        <v>3.42</v>
      </c>
      <c r="L14" s="10">
        <v>3.37</v>
      </c>
      <c r="M14" s="10"/>
    </row>
    <row r="15" s="1" customFormat="1" ht="25" customHeight="1" spans="1:13">
      <c r="A15" s="7">
        <v>10</v>
      </c>
      <c r="B15" s="8" t="s">
        <v>32</v>
      </c>
      <c r="C15" s="10">
        <v>21</v>
      </c>
      <c r="D15" s="10">
        <v>24</v>
      </c>
      <c r="E15" s="10">
        <f t="shared" si="1"/>
        <v>45</v>
      </c>
      <c r="F15" s="10" t="s">
        <v>14</v>
      </c>
      <c r="G15" s="10">
        <f>6+42+24+0+0+0+0+24+18+24+24+30+27+15+33+36+39+33+27+13+39+45</f>
        <v>499</v>
      </c>
      <c r="H15" s="10"/>
      <c r="I15" s="10">
        <f>G15/(G3*0.1865)</f>
        <v>12.7409677007532</v>
      </c>
      <c r="J15" s="18" t="s">
        <v>31</v>
      </c>
      <c r="K15" s="20">
        <f>2.4676132+2.4190333+2.1010637+0.22048+0+0+0+1.9197875+1.9348016+1.6144511+1.7938333+2.565604+2.867483+2.7733777+3.316842+3.1664201+3.6051183+3.2329205+2.3489953+2.7741398+3.124321+2.904358</f>
        <v>47.1506434</v>
      </c>
      <c r="L15" s="10"/>
      <c r="M15" s="10">
        <f>(C14*K14+L14*D14)/1000</f>
        <v>2.904358</v>
      </c>
    </row>
    <row r="16" s="1" customFormat="1" ht="25" customHeight="1" spans="1:13">
      <c r="A16" s="7">
        <v>11</v>
      </c>
      <c r="B16" s="8" t="s">
        <v>33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0.1+0+0+0+0+0+0+0+0+0+0+0.0875+0.0375+0.1125+0+0+0+0+0.0875+0+0</f>
        <v>0.425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34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0+2+0+2+0+0+0+0+2+0+0+2+2+0+2+0+2+0+2+0+2+0</f>
        <v>18</v>
      </c>
      <c r="H17" s="22"/>
      <c r="I17" s="22">
        <f>G17/(G3*0.1865)</f>
        <v>0.459594025277671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35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0+1.5+0+1.5+0+0+0+0+1.5+0+0+1.5+1.5+0+1.5+0+1.5+0+1.5+0+1.5+0</f>
        <v>13.5</v>
      </c>
      <c r="H18" s="22"/>
      <c r="I18" s="22">
        <f>G18/(G3*0.1865)</f>
        <v>0.344695518958254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36</v>
      </c>
      <c r="C19" s="10">
        <v>3</v>
      </c>
      <c r="D19" s="7">
        <v>4</v>
      </c>
      <c r="E19" s="10">
        <f t="shared" si="1"/>
        <v>7</v>
      </c>
      <c r="F19" s="10" t="s">
        <v>37</v>
      </c>
      <c r="G19" s="10">
        <f>12+0+9+0+0+0+0+10+5+3+5+5+6+10+4+9+3+7+0+13+0+7</f>
        <v>108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39</v>
      </c>
      <c r="C20" s="7">
        <v>630</v>
      </c>
      <c r="D20" s="7">
        <v>582</v>
      </c>
      <c r="E20" s="10">
        <f t="shared" si="1"/>
        <v>1212</v>
      </c>
      <c r="F20" s="10" t="s">
        <v>27</v>
      </c>
      <c r="G20" s="10">
        <f>1304+1347+838+28+0+0+0+605+1367+931+1037+1080+1094+841+1210+1155+1143+1269+444+1388+1310+1212</f>
        <v>19603</v>
      </c>
      <c r="H20" s="23"/>
      <c r="I20" s="10">
        <f>E20/M20</f>
        <v>50.5</v>
      </c>
      <c r="J20" s="18" t="s">
        <v>87</v>
      </c>
      <c r="K20" s="10">
        <f>23.5+24+13.5+0+0+0+0+9+24+16+20+24+24+15.5+24+24+24+24+6+24+24+24</f>
        <v>367.5</v>
      </c>
      <c r="L20" s="10">
        <f>G20/K20</f>
        <v>53.3414965986395</v>
      </c>
      <c r="M20" s="10">
        <v>24</v>
      </c>
    </row>
    <row r="21" s="1" customFormat="1" ht="25" customHeight="1" spans="1:13">
      <c r="A21" s="12">
        <v>16</v>
      </c>
      <c r="B21" s="8" t="s">
        <v>41</v>
      </c>
      <c r="C21" s="7">
        <v>811</v>
      </c>
      <c r="D21" s="7">
        <v>774</v>
      </c>
      <c r="E21" s="10">
        <f t="shared" si="1"/>
        <v>1585</v>
      </c>
      <c r="F21" s="10" t="s">
        <v>27</v>
      </c>
      <c r="G21" s="10">
        <f>1466+1706+934+1+0+0+0+774+1606+1121+1327+1431+1457+988+1532+1462+1489+1610+615+1565+1628+1585</f>
        <v>24297</v>
      </c>
      <c r="H21" s="22"/>
      <c r="I21" s="10">
        <f>E21/M20</f>
        <v>66.0416666666667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42</v>
      </c>
      <c r="C22" s="12">
        <v>26.87</v>
      </c>
      <c r="D22" s="12">
        <v>26.26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44</v>
      </c>
      <c r="C23" s="40"/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3">
      <c r="A24" s="7">
        <v>19</v>
      </c>
      <c r="B24" s="31" t="s">
        <v>46</v>
      </c>
      <c r="C24" s="27" t="s">
        <v>123</v>
      </c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3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124</v>
      </c>
    </row>
    <row r="28" s="1" customFormat="1" ht="30" customHeight="1" spans="1:13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54</v>
      </c>
      <c r="C30" s="10">
        <v>8.31</v>
      </c>
      <c r="D30" s="10">
        <v>8.28</v>
      </c>
      <c r="E30" s="10">
        <f t="shared" si="2"/>
        <v>16.59</v>
      </c>
      <c r="F30" s="10" t="s">
        <v>27</v>
      </c>
      <c r="G30" s="10">
        <f>16.54+16.48+16.51+8.25+0+0+0+0+0+0+8.28+14.61+0+17.12+16.72+17+8.45+8.39+0+16.75+16.6+16.59</f>
        <v>198.29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55</v>
      </c>
      <c r="C31" s="10">
        <v>16</v>
      </c>
      <c r="D31" s="10">
        <v>9</v>
      </c>
      <c r="E31" s="10">
        <f t="shared" si="2"/>
        <v>25</v>
      </c>
      <c r="F31" s="10" t="s">
        <v>27</v>
      </c>
      <c r="G31" s="10">
        <f>27+20+43+14+0+0+0+76+25+12+28+14+23+24+23+26+20+31+12+22+25+25</f>
        <v>490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9.4635</v>
      </c>
      <c r="D32" s="10">
        <v>0</v>
      </c>
      <c r="E32" s="10">
        <f t="shared" si="2"/>
        <v>9.4635</v>
      </c>
      <c r="F32" s="10" t="s">
        <v>14</v>
      </c>
      <c r="G32" s="10">
        <f>0+10.3545+7.7625+8.154+0+0+0+0+0+0+0+0+11.8125+0+7.344+8.1945+8.559+0+0+8.0595+7.83+9.4635</f>
        <v>87.534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299</v>
      </c>
      <c r="D34" s="10">
        <v>275</v>
      </c>
      <c r="E34" s="10">
        <f t="shared" si="2"/>
        <v>574</v>
      </c>
      <c r="F34" s="10" t="s">
        <v>27</v>
      </c>
      <c r="G34" s="10">
        <f>0+6+0+0+0+0+0+19+2+51+0+0+8+279+379+365+238+500+630+625+610+574</f>
        <v>4286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475</v>
      </c>
      <c r="D35" s="10">
        <v>467</v>
      </c>
      <c r="E35" s="10">
        <f t="shared" si="2"/>
        <v>942</v>
      </c>
      <c r="F35" s="10" t="s">
        <v>27</v>
      </c>
      <c r="G35" s="10">
        <f>599+599+554+284+0+0+0+589+627+644+651+638+681+553+569+557+811+955+728+753+846+942</f>
        <v>12580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0+0+0+0+0+0+0+0+0+0+0+0+0+0+0+0+0+0+0+0+0+0</f>
        <v>0</v>
      </c>
      <c r="H36" s="22"/>
      <c r="I36" s="7">
        <v>435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0+0+0+0+0+0+0+0+0+0+0+0+0+0+0+0+0+0+0+0+0+0</f>
        <v>0</v>
      </c>
      <c r="H37" s="22"/>
      <c r="I37" s="7">
        <v>105.9692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2</v>
      </c>
      <c r="D38" s="7">
        <v>0</v>
      </c>
      <c r="E38" s="10">
        <f>D38+C38</f>
        <v>2</v>
      </c>
      <c r="F38" s="10" t="s">
        <v>37</v>
      </c>
      <c r="G38" s="10">
        <f>2+3+3+2+0+0+0+0+0+0+0+3+0+4+4+3+0+2+0+3+0+2</f>
        <v>31</v>
      </c>
      <c r="H38" s="22"/>
      <c r="I38" s="10">
        <v>6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G36" sqref="G36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125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7</v>
      </c>
      <c r="D3" s="9">
        <v>2.5</v>
      </c>
      <c r="E3" s="10">
        <f t="shared" ref="E3:E12" si="0">C3+D3</f>
        <v>9.5</v>
      </c>
      <c r="F3" s="10" t="s">
        <v>14</v>
      </c>
      <c r="G3" s="10">
        <f>2+14.5+12+6+0+0+0+1+10.5+13+9.5+11.5+14+5.5+12.5+14+15.5+15.5+14.5+4.5+14.5+19.5+9.5</f>
        <v>219.5</v>
      </c>
      <c r="H3" s="10">
        <v>294</v>
      </c>
      <c r="I3" s="10">
        <f>H3-G3</f>
        <v>74.5</v>
      </c>
      <c r="J3" s="11"/>
      <c r="K3" s="10"/>
      <c r="L3" s="10"/>
      <c r="M3" s="10">
        <f>I3/7</f>
        <v>10.6428571428571</v>
      </c>
    </row>
    <row r="4" s="1" customFormat="1" ht="38" customHeight="1" spans="1:13">
      <c r="A4" s="12">
        <v>2</v>
      </c>
      <c r="B4" s="8" t="s">
        <v>15</v>
      </c>
      <c r="C4" s="9">
        <v>22</v>
      </c>
      <c r="D4" s="9"/>
      <c r="E4" s="10">
        <f t="shared" si="0"/>
        <v>22</v>
      </c>
      <c r="F4" s="10" t="s">
        <v>14</v>
      </c>
      <c r="G4" s="10">
        <f>14+2+14+12+6+0+0+0+0+12+12+10+12+14+4+14+14+18+12+14+6+14+22</f>
        <v>226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16</v>
      </c>
      <c r="C5" s="10">
        <v>90</v>
      </c>
      <c r="D5" s="10">
        <v>82</v>
      </c>
      <c r="E5" s="10">
        <f t="shared" si="0"/>
        <v>172</v>
      </c>
      <c r="F5" s="10" t="s">
        <v>14</v>
      </c>
      <c r="G5" s="10">
        <f>0+0+0+0+0+0+0+0+0+42+185+181+182+108+158+178+174+190+46+198+161+200+172</f>
        <v>2175</v>
      </c>
      <c r="H5" s="10">
        <v>4346</v>
      </c>
      <c r="I5" s="10">
        <f>H5-G5-G7-G6</f>
        <v>1300</v>
      </c>
      <c r="J5" s="14"/>
      <c r="K5" s="10"/>
      <c r="L5" s="10"/>
      <c r="M5" s="10"/>
    </row>
    <row r="6" s="1" customFormat="1" ht="38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206+172+152+0+0+0+0+20+219+80+7+1+2+0+0+0+0+12+0+0+0+0+0</f>
        <v>871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0+0+0+0+0+0+0+0+0+0+1+0+0+0+0+1+0+0+0+0+0+0+0</f>
        <v>2</v>
      </c>
      <c r="H8" s="16"/>
      <c r="I8" s="16"/>
      <c r="J8" s="11"/>
      <c r="K8" s="10"/>
      <c r="L8" s="10"/>
      <c r="M8" s="10"/>
    </row>
    <row r="9" s="1" customFormat="1" ht="25" customHeight="1" spans="1:13">
      <c r="A9" s="12">
        <v>4</v>
      </c>
      <c r="B9" s="17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0+0+39.77+63.15+0+0+0+0+0+0+0+0+31.72+30.91+61.21+61.53+30.69+29.88+0+0+30.79+30.79+0</f>
        <v>410.44</v>
      </c>
      <c r="H9" s="13">
        <v>5.42</v>
      </c>
      <c r="I9" s="13">
        <f>H9-K10</f>
        <v>1.975859</v>
      </c>
      <c r="J9" s="18" t="s">
        <v>21</v>
      </c>
      <c r="K9" s="13">
        <v>4</v>
      </c>
      <c r="L9" s="13">
        <v>0</v>
      </c>
      <c r="M9" s="19"/>
    </row>
    <row r="10" s="1" customFormat="1" ht="25" customHeight="1" spans="1:13">
      <c r="A10" s="7">
        <v>5</v>
      </c>
      <c r="B10" s="8" t="s">
        <v>22</v>
      </c>
      <c r="C10" s="10">
        <v>6.2505</v>
      </c>
      <c r="D10" s="10">
        <v>0</v>
      </c>
      <c r="E10" s="10">
        <f t="shared" si="0"/>
        <v>6.2505</v>
      </c>
      <c r="F10" s="10" t="s">
        <v>14</v>
      </c>
      <c r="G10" s="10">
        <f>5.265+7.938+15.8625+3.8745+0+0+0+4.698+14.391+7.0875+8.019+6.777+13.5945+8.7075+8.0325+15.822+8.4375+11.016+18.306+8.019+5.724+14.4855+6.2505</f>
        <v>192.3075</v>
      </c>
      <c r="H10" s="10"/>
      <c r="I10" s="10">
        <f>G10/(G3*0.1865)</f>
        <v>4.69767385051329</v>
      </c>
      <c r="J10" s="18" t="s">
        <v>23</v>
      </c>
      <c r="K10" s="20">
        <f>0+0+0.338045+0.55572+0+0+0+0+0+0+0+0+0.279136+0.265826+0.477438+0.486087+0.236313+0.23904+0+0+0.286347+0.280189+0</f>
        <v>3.444141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19.1544</v>
      </c>
      <c r="D11" s="10">
        <v>0</v>
      </c>
      <c r="E11" s="10">
        <f t="shared" si="0"/>
        <v>19.1544</v>
      </c>
      <c r="F11" s="10" t="s">
        <v>14</v>
      </c>
      <c r="G11" s="10">
        <f>8.832+2.8336+13.1376+8.9976+0+0+0+10.9664+15.548+10.1384+8.4456+13.5792+21.4176+10.488+11.7576+13.6712+15.7872+18.8232+16.8912+12.8616+14.1312+10.6352+19.1544</f>
        <v>258.0968</v>
      </c>
      <c r="H11" s="10"/>
      <c r="I11" s="10">
        <f>G11/(G3*0.1865)</f>
        <v>6.30477016372819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237</v>
      </c>
      <c r="D12" s="10">
        <v>179</v>
      </c>
      <c r="E12" s="10">
        <f t="shared" si="0"/>
        <v>416</v>
      </c>
      <c r="F12" s="10"/>
      <c r="G12" s="10">
        <f>256+501+386+182+0+0+0+16+349+326+388+456+495+324+503+482+501+504+347+292+555+563+416</f>
        <v>7842</v>
      </c>
      <c r="H12" s="10">
        <f>G12*1.05</f>
        <v>8234.1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177</v>
      </c>
      <c r="D13" s="10">
        <v>88</v>
      </c>
      <c r="E13" s="10">
        <f t="shared" ref="E13:E21" si="1">D13+C13</f>
        <v>265</v>
      </c>
      <c r="F13" s="10" t="s">
        <v>27</v>
      </c>
      <c r="G13" s="10">
        <f>142+478+310+96+0+0+0+135+276+288+363+341+346+192+484+422+480+441+361+176+502+538+265</f>
        <v>6636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326.91</v>
      </c>
      <c r="D14" s="10">
        <v>442.41</v>
      </c>
      <c r="E14" s="10">
        <f t="shared" si="1"/>
        <v>769.32</v>
      </c>
      <c r="F14" s="10" t="s">
        <v>27</v>
      </c>
      <c r="G14" s="10">
        <f>852.63+765.27+628.63+67.84+0+0+0+622.22+656.54+537.49+673.12+867.1+934.38+903.03+987.12+946.88+983.47+991.65+722.87+792.72+949.34+855+769.32</f>
        <v>15506.62</v>
      </c>
      <c r="H14" s="10"/>
      <c r="I14" s="10"/>
      <c r="J14" s="18" t="s">
        <v>29</v>
      </c>
      <c r="K14" s="10">
        <v>3.34</v>
      </c>
      <c r="L14" s="10">
        <v>3.32</v>
      </c>
      <c r="M14" s="10"/>
    </row>
    <row r="15" s="1" customFormat="1" ht="25" customHeight="1" spans="1:13">
      <c r="A15" s="7">
        <v>10</v>
      </c>
      <c r="B15" s="8" t="s">
        <v>32</v>
      </c>
      <c r="C15" s="10">
        <v>15</v>
      </c>
      <c r="D15" s="10">
        <v>6</v>
      </c>
      <c r="E15" s="10">
        <f t="shared" si="1"/>
        <v>21</v>
      </c>
      <c r="F15" s="10" t="s">
        <v>14</v>
      </c>
      <c r="G15" s="10">
        <f>6+42+24+0+0+0+0+24+18+24+24+30+27+15+33+36+39+33+27+13+39+45+21</f>
        <v>520</v>
      </c>
      <c r="H15" s="10"/>
      <c r="I15" s="10">
        <f>G15/(G3*0.1865)</f>
        <v>12.7025227943107</v>
      </c>
      <c r="J15" s="18" t="s">
        <v>31</v>
      </c>
      <c r="K15" s="20">
        <f>2.4676132+2.4190333+2.1010637+0.22048+0+0+0+1.9197875+1.9348016+1.6144511+1.7938333+2.565604+2.867483+2.7733777+3.316842+3.1664201+3.6051183+3.2329205+2.3489953+2.7741398+3.124321+2.904358+2.5606806</f>
        <v>49.711324</v>
      </c>
      <c r="L15" s="10"/>
      <c r="M15" s="10">
        <f>(C14*K14+L14*D14)/1000</f>
        <v>2.5606806</v>
      </c>
    </row>
    <row r="16" s="1" customFormat="1" ht="25" customHeight="1" spans="1:13">
      <c r="A16" s="7">
        <v>11</v>
      </c>
      <c r="B16" s="8" t="s">
        <v>33</v>
      </c>
      <c r="C16" s="7">
        <v>0.15</v>
      </c>
      <c r="D16" s="7">
        <v>0</v>
      </c>
      <c r="E16" s="10">
        <f t="shared" si="1"/>
        <v>0.15</v>
      </c>
      <c r="F16" s="10" t="s">
        <v>14</v>
      </c>
      <c r="G16" s="10">
        <f>0.1+0+0+0+0+0+0+0+0+0+0+0.0875+0.0375+0.1125+0+0+0+0+0.0875+0+0+0.15</f>
        <v>0.575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34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0+2+0+2+0+0+0+0+2+0+0+2+2+0+2+0+2+0+2+0+2+0+2</f>
        <v>20</v>
      </c>
      <c r="H17" s="22"/>
      <c r="I17" s="22">
        <f>G17/(G3*0.1865)</f>
        <v>0.488558569011951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35</v>
      </c>
      <c r="C18" s="10">
        <v>1.5</v>
      </c>
      <c r="D18" s="7">
        <v>0</v>
      </c>
      <c r="E18" s="10">
        <f t="shared" si="1"/>
        <v>1.5</v>
      </c>
      <c r="F18" s="10" t="s">
        <v>14</v>
      </c>
      <c r="G18" s="10">
        <f>0+1.5+0+1.5+0+0+0+0+1.5+0+0+1.5+1.5+0+1.5+0+1.5+0+1.5+0+1.5+0+1.5</f>
        <v>15</v>
      </c>
      <c r="H18" s="22"/>
      <c r="I18" s="22">
        <f>G18/(G3*0.1865)</f>
        <v>0.366418926758964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36</v>
      </c>
      <c r="C19" s="10">
        <v>13</v>
      </c>
      <c r="D19" s="7">
        <v>2</v>
      </c>
      <c r="E19" s="10">
        <f t="shared" si="1"/>
        <v>15</v>
      </c>
      <c r="F19" s="10" t="s">
        <v>37</v>
      </c>
      <c r="G19" s="10">
        <f>12+0+9+0+0+0+0+10+5+3+5+5+6+10+4+9+3+7+0+13+0+7+15</f>
        <v>123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39</v>
      </c>
      <c r="C20" s="7">
        <v>545</v>
      </c>
      <c r="D20" s="7">
        <v>511</v>
      </c>
      <c r="E20" s="10">
        <f t="shared" si="1"/>
        <v>1056</v>
      </c>
      <c r="F20" s="10" t="s">
        <v>27</v>
      </c>
      <c r="G20" s="10">
        <f>1304+1347+838+28+0+0+0+605+1367+931+1037+1080+1094+841+1210+1155+1143+1269+444+1388+1310+1212+1056</f>
        <v>20659</v>
      </c>
      <c r="H20" s="23"/>
      <c r="I20" s="10">
        <f>E20/M20</f>
        <v>44</v>
      </c>
      <c r="J20" s="18" t="s">
        <v>87</v>
      </c>
      <c r="K20" s="10">
        <f>23.5+24+13.5+0+0+0+0+9+24+16+20+24+24+15.5+24+24+24+24+6+24+24+24+24</f>
        <v>391.5</v>
      </c>
      <c r="L20" s="10">
        <f>G20/K20</f>
        <v>52.7688378033206</v>
      </c>
      <c r="M20" s="10">
        <v>24</v>
      </c>
    </row>
    <row r="21" s="1" customFormat="1" ht="25" customHeight="1" spans="1:13">
      <c r="A21" s="12">
        <v>16</v>
      </c>
      <c r="B21" s="8" t="s">
        <v>41</v>
      </c>
      <c r="C21" s="7">
        <v>684</v>
      </c>
      <c r="D21" s="7">
        <v>581</v>
      </c>
      <c r="E21" s="10">
        <f t="shared" si="1"/>
        <v>1265</v>
      </c>
      <c r="F21" s="10" t="s">
        <v>27</v>
      </c>
      <c r="G21" s="10">
        <f>1466+1706+934+1+0+0+0+774+1606+1121+1327+1431+1457+988+1532+1462+1489+1610+615+1565+1628+1585+1265</f>
        <v>25562</v>
      </c>
      <c r="H21" s="22"/>
      <c r="I21" s="10">
        <f>E21/M20</f>
        <v>52.7083333333333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42</v>
      </c>
      <c r="C22" s="12">
        <v>27.27</v>
      </c>
      <c r="D22" s="12">
        <v>30.91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44</v>
      </c>
      <c r="C23" s="40"/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3">
      <c r="A24" s="7">
        <v>19</v>
      </c>
      <c r="B24" s="31" t="s">
        <v>46</v>
      </c>
      <c r="C24" s="27" t="s">
        <v>126</v>
      </c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3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127</v>
      </c>
    </row>
    <row r="28" s="1" customFormat="1" ht="30" customHeight="1" spans="1:13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54</v>
      </c>
      <c r="C30" s="10">
        <v>8.34</v>
      </c>
      <c r="D30" s="10">
        <v>0</v>
      </c>
      <c r="E30" s="10">
        <f t="shared" si="2"/>
        <v>8.34</v>
      </c>
      <c r="F30" s="10" t="s">
        <v>27</v>
      </c>
      <c r="G30" s="10">
        <f>16.54+16.48+16.51+8.25+0+0+0+0+0+0+8.28+14.61+0+17.12+16.72+17+8.45+8.39+0+16.75+16.6+16.59+8.34</f>
        <v>206.63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55</v>
      </c>
      <c r="C31" s="10">
        <v>19</v>
      </c>
      <c r="D31" s="10">
        <v>8</v>
      </c>
      <c r="E31" s="10">
        <f t="shared" si="2"/>
        <v>27</v>
      </c>
      <c r="F31" s="10" t="s">
        <v>27</v>
      </c>
      <c r="G31" s="10">
        <f>27+20+43+14+0+0+0+76+25+12+28+14+23+24+23+26+20+31+12+22+25+25+27</f>
        <v>517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8.667</v>
      </c>
      <c r="D32" s="10">
        <v>0</v>
      </c>
      <c r="E32" s="10">
        <f t="shared" si="2"/>
        <v>8.667</v>
      </c>
      <c r="F32" s="10" t="s">
        <v>14</v>
      </c>
      <c r="G32" s="10">
        <f>0+10.3545+7.7625+8.154+0+0+0+0+0+0+0+0+11.8125+0+7.344+8.1945+8.559+0+0+8.0595+7.83+9.4635+8.667</f>
        <v>96.201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286</v>
      </c>
      <c r="D34" s="10">
        <v>275</v>
      </c>
      <c r="E34" s="10">
        <f t="shared" si="2"/>
        <v>561</v>
      </c>
      <c r="F34" s="10" t="s">
        <v>27</v>
      </c>
      <c r="G34" s="10">
        <f>0+6+0+0+0+0+0+19+2+51+0+0+8+279+379+365+238+500+630+625+610+574+561</f>
        <v>4847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443</v>
      </c>
      <c r="D35" s="10">
        <v>435</v>
      </c>
      <c r="E35" s="10">
        <f t="shared" si="2"/>
        <v>878</v>
      </c>
      <c r="F35" s="10" t="s">
        <v>27</v>
      </c>
      <c r="G35" s="10">
        <f>599+599+554+284+0+0+0+589+627+644+651+638+681+553+569+557+811+955+728+753+846+942+878</f>
        <v>13458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0+0+0+0+0+0+0+0+0+0+0+0+0+0+0+0+0+0+0+0+0+0+0</f>
        <v>0</v>
      </c>
      <c r="H36" s="22"/>
      <c r="I36" s="7">
        <v>285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0+0+0+0+0+0+0+0+0+0+0+0+0+0+0+0+0+0+0+0+0+0+0</f>
        <v>0</v>
      </c>
      <c r="H37" s="22"/>
      <c r="I37" s="7">
        <v>99.0204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0</v>
      </c>
      <c r="D38" s="7">
        <v>0</v>
      </c>
      <c r="E38" s="10">
        <f>D38+C38</f>
        <v>0</v>
      </c>
      <c r="F38" s="10" t="s">
        <v>37</v>
      </c>
      <c r="G38" s="10">
        <f>2+3+3+2+0+0+0+0+0+0+0+3+0+4+4+3+0+2+0+3+0+2+0</f>
        <v>31</v>
      </c>
      <c r="H38" s="22"/>
      <c r="I38" s="10">
        <v>6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G36" sqref="G36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128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5</v>
      </c>
      <c r="D3" s="9">
        <v>3.5</v>
      </c>
      <c r="E3" s="10">
        <f t="shared" ref="E3:E12" si="0">C3+D3</f>
        <v>8.5</v>
      </c>
      <c r="F3" s="10" t="s">
        <v>14</v>
      </c>
      <c r="G3" s="10">
        <f>2+14.5+12+6+0+0+0+1+10.5+13+9.5+11.5+14+5.5+12.5+14+15.5+15.5+14.5+4.5+14.5+19.5+9.5+8.5</f>
        <v>228</v>
      </c>
      <c r="H3" s="10">
        <v>294</v>
      </c>
      <c r="I3" s="10">
        <f>H3-G3</f>
        <v>66</v>
      </c>
      <c r="J3" s="11"/>
      <c r="K3" s="10"/>
      <c r="L3" s="10"/>
      <c r="M3" s="10">
        <f>I3/6</f>
        <v>11</v>
      </c>
    </row>
    <row r="4" s="1" customFormat="1" ht="38" customHeight="1" spans="1:13">
      <c r="A4" s="12">
        <v>2</v>
      </c>
      <c r="B4" s="8" t="s">
        <v>15</v>
      </c>
      <c r="C4" s="9">
        <v>6</v>
      </c>
      <c r="D4" s="9"/>
      <c r="E4" s="10">
        <f t="shared" si="0"/>
        <v>6</v>
      </c>
      <c r="F4" s="10" t="s">
        <v>14</v>
      </c>
      <c r="G4" s="10">
        <f>14+2+14+12+6+0+0+0+0+12+12+10+12+14+4+14+14+18+12+14+6+14+22+6</f>
        <v>232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16</v>
      </c>
      <c r="C5" s="10">
        <v>33</v>
      </c>
      <c r="D5" s="10">
        <v>85</v>
      </c>
      <c r="E5" s="10">
        <f t="shared" si="0"/>
        <v>118</v>
      </c>
      <c r="F5" s="10" t="s">
        <v>14</v>
      </c>
      <c r="G5" s="10">
        <f>0+0+0+0+0+0+0+0+0+42+185+181+182+108+158+178+174+190+46+198+161+200+172+118</f>
        <v>2293</v>
      </c>
      <c r="H5" s="10">
        <v>4346</v>
      </c>
      <c r="I5" s="10">
        <f>H5-G5-G7-G6</f>
        <v>1182</v>
      </c>
      <c r="J5" s="14"/>
      <c r="K5" s="10"/>
      <c r="L5" s="10"/>
      <c r="M5" s="10"/>
    </row>
    <row r="6" s="1" customFormat="1" ht="38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206+172+152+0+0+0+0+20+219+80+7+1+2+0+0+0+0+12+0+0+0+0+0+0</f>
        <v>871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0+0+0+0+0+0+0+0+0+0+1+0+0+0+0+1+0+0+0+0+0+0+0+0</f>
        <v>2</v>
      </c>
      <c r="H8" s="16"/>
      <c r="I8" s="16"/>
      <c r="J8" s="11"/>
      <c r="K8" s="10"/>
      <c r="L8" s="10"/>
      <c r="M8" s="10"/>
    </row>
    <row r="9" s="1" customFormat="1" ht="25" customHeight="1" spans="1:13">
      <c r="A9" s="12">
        <v>4</v>
      </c>
      <c r="B9" s="17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0+0+39.77+63.15+0+0+0+0+0+0+0+0+31.72+30.91+61.21+61.53+30.69+29.88+0+0+30.79+30.79+0+0</f>
        <v>410.44</v>
      </c>
      <c r="H9" s="13">
        <v>5.42</v>
      </c>
      <c r="I9" s="13">
        <f>H9-K10</f>
        <v>1.975859</v>
      </c>
      <c r="J9" s="18" t="s">
        <v>21</v>
      </c>
      <c r="K9" s="13">
        <v>3</v>
      </c>
      <c r="L9" s="13">
        <v>0</v>
      </c>
      <c r="M9" s="19"/>
    </row>
    <row r="10" s="1" customFormat="1" ht="25" customHeight="1" spans="1:13">
      <c r="A10" s="7">
        <v>5</v>
      </c>
      <c r="B10" s="8" t="s">
        <v>22</v>
      </c>
      <c r="C10" s="10">
        <v>6.3855</v>
      </c>
      <c r="D10" s="10">
        <v>0</v>
      </c>
      <c r="E10" s="10">
        <f t="shared" si="0"/>
        <v>6.3855</v>
      </c>
      <c r="F10" s="10" t="s">
        <v>14</v>
      </c>
      <c r="G10" s="10">
        <f>5.265+7.938+15.8625+3.8745+0+0+0+4.698+14.391+7.0875+8.019+6.777+13.5945+8.7075+8.0325+15.822+8.4375+11.016+18.306+8.019+5.724+14.4855+6.2505+6.3855</f>
        <v>198.693</v>
      </c>
      <c r="H10" s="10"/>
      <c r="I10" s="10">
        <f>G10/(G3*0.1865)</f>
        <v>4.6727105968675</v>
      </c>
      <c r="J10" s="18" t="s">
        <v>23</v>
      </c>
      <c r="K10" s="20">
        <f>0+0+0.338045+0.55572+0+0+0+0+0+0+0+0+0.279136+0.265826+0.477438+0.486087+0.236313+0.23904+0+0+0.286347+0.280189+0+0</f>
        <v>3.444141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16.9464</v>
      </c>
      <c r="D11" s="10">
        <v>0</v>
      </c>
      <c r="E11" s="10">
        <f t="shared" si="0"/>
        <v>16.9464</v>
      </c>
      <c r="F11" s="10" t="s">
        <v>14</v>
      </c>
      <c r="G11" s="10">
        <f>8.832+2.8336+13.1376+8.9976+0+0+0+10.9664+15.548+10.1384+8.4456+13.5792+21.4176+10.488+11.7576+13.6712+15.7872+18.8232+16.8912+12.8616+14.1312+10.6352+19.1544+16.9464</f>
        <v>275.0432</v>
      </c>
      <c r="H11" s="10"/>
      <c r="I11" s="10">
        <f>G11/(G3*0.1865)</f>
        <v>6.46825643196463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152</v>
      </c>
      <c r="D12" s="10">
        <v>234</v>
      </c>
      <c r="E12" s="10">
        <f t="shared" si="0"/>
        <v>386</v>
      </c>
      <c r="F12" s="10"/>
      <c r="G12" s="10">
        <f>256+501+386+182+0+0+0+16+349+326+388+456+495+324+503+482+501+504+347+292+555+563+416+386</f>
        <v>8228</v>
      </c>
      <c r="H12" s="10">
        <f>G12*1.05</f>
        <v>8639.4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138</v>
      </c>
      <c r="D13" s="10">
        <v>172</v>
      </c>
      <c r="E13" s="10">
        <f t="shared" ref="E13:E21" si="1">D13+C13</f>
        <v>310</v>
      </c>
      <c r="F13" s="10" t="s">
        <v>27</v>
      </c>
      <c r="G13" s="10">
        <f>142+478+310+96+0+0+0+135+276+288+363+341+346+192+484+422+480+441+361+176+502+538+265+310</f>
        <v>6946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258.19</v>
      </c>
      <c r="D14" s="10">
        <v>526.37</v>
      </c>
      <c r="E14" s="10">
        <f t="shared" si="1"/>
        <v>784.56</v>
      </c>
      <c r="F14" s="10" t="s">
        <v>27</v>
      </c>
      <c r="G14" s="10">
        <f>852.63+765.27+628.63+67.84+0+0+0+622.22+656.54+537.49+673.12+867.1+934.38+903.03+987.12+946.88+983.47+991.65+722.87+792.72+949.34+855+769.32+784.56</f>
        <v>16291.18</v>
      </c>
      <c r="H14" s="10"/>
      <c r="I14" s="10"/>
      <c r="J14" s="18" t="s">
        <v>29</v>
      </c>
      <c r="K14" s="10">
        <v>3.62</v>
      </c>
      <c r="L14" s="10">
        <v>3.09</v>
      </c>
      <c r="M14" s="10"/>
    </row>
    <row r="15" s="1" customFormat="1" ht="25" customHeight="1" spans="1:13">
      <c r="A15" s="7">
        <v>10</v>
      </c>
      <c r="B15" s="8" t="s">
        <v>32</v>
      </c>
      <c r="C15" s="10">
        <v>9</v>
      </c>
      <c r="D15" s="10">
        <v>12</v>
      </c>
      <c r="E15" s="10">
        <f t="shared" si="1"/>
        <v>21</v>
      </c>
      <c r="F15" s="10" t="s">
        <v>14</v>
      </c>
      <c r="G15" s="10">
        <f>6+42+24+0+0+0+0+24+18+24+24+30+27+15+33+36+39+33+27+13+39+45+21+21</f>
        <v>541</v>
      </c>
      <c r="H15" s="10"/>
      <c r="I15" s="10">
        <f>G15/(G3*0.1865)</f>
        <v>12.7228258313344</v>
      </c>
      <c r="J15" s="18" t="s">
        <v>31</v>
      </c>
      <c r="K15" s="20">
        <f>2.4676132+2.4190333+2.1010637+0.22048+0+0+0+1.9197875+1.9348016+1.6144511+1.7938333+2.565604+2.867483+2.7733777+3.316842+3.1664201+3.6051183+3.2329205+2.3489953+2.7741398+3.124321+2.904358+2.5606806+2.5611311</f>
        <v>52.2724551</v>
      </c>
      <c r="L15" s="10"/>
      <c r="M15" s="10">
        <f>(C14*K14+L14*D14)/1000</f>
        <v>2.5611311</v>
      </c>
    </row>
    <row r="16" s="1" customFormat="1" ht="25" customHeight="1" spans="1:13">
      <c r="A16" s="7">
        <v>11</v>
      </c>
      <c r="B16" s="8" t="s">
        <v>33</v>
      </c>
      <c r="C16" s="7">
        <v>0.0875</v>
      </c>
      <c r="D16" s="7">
        <v>0</v>
      </c>
      <c r="E16" s="10">
        <f t="shared" si="1"/>
        <v>0.0875</v>
      </c>
      <c r="F16" s="10" t="s">
        <v>14</v>
      </c>
      <c r="G16" s="10">
        <f>0.1+0+0+0+0+0+0+0+0+0+0+0.0875+0.0375+0.1125+0+0+0+0+0.0875+0+0+0.15+0.0875</f>
        <v>0.6625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34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0+2+0+2+0+0+0+0+2+0+0+2+2+0+2+0+2+0+2+0+2+0+2+0</f>
        <v>20</v>
      </c>
      <c r="H17" s="22"/>
      <c r="I17" s="22">
        <f>G17/(G3*0.1865)</f>
        <v>0.470344762711067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35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0+1.5+0+1.5+0+0+0+0+1.5+0+0+1.5+1.5+0+1.5+0+1.5+0+1.5+0+1.5+0+1.5+0</f>
        <v>15</v>
      </c>
      <c r="H18" s="22"/>
      <c r="I18" s="22">
        <f>G18/(G3*0.1865)</f>
        <v>0.3527585720333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36</v>
      </c>
      <c r="C19" s="10">
        <v>4</v>
      </c>
      <c r="D19" s="7">
        <v>4</v>
      </c>
      <c r="E19" s="10">
        <f t="shared" si="1"/>
        <v>8</v>
      </c>
      <c r="F19" s="10" t="s">
        <v>37</v>
      </c>
      <c r="G19" s="10">
        <f>12+0+9+0+0+0+0+10+5+3+5+5+6+10+4+9+3+7+0+13+0+7+15+8</f>
        <v>131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39</v>
      </c>
      <c r="C20" s="7">
        <v>317</v>
      </c>
      <c r="D20" s="7">
        <v>559</v>
      </c>
      <c r="E20" s="10">
        <f t="shared" si="1"/>
        <v>876</v>
      </c>
      <c r="F20" s="10" t="s">
        <v>27</v>
      </c>
      <c r="G20" s="10">
        <f>1304+1347+838+28+0+0+0+605+1367+931+1037+1080+1094+841+1210+1155+1143+1269+444+1388+1310+1212+1056+876</f>
        <v>21535</v>
      </c>
      <c r="H20" s="23"/>
      <c r="I20" s="10">
        <f>E20/M20</f>
        <v>46.1052631578947</v>
      </c>
      <c r="J20" s="18" t="s">
        <v>87</v>
      </c>
      <c r="K20" s="10">
        <f>23.5+24+13.5+0+0+0+0+9+24+16+20+24+24+15.5+24+24+24+24+6+24+24+24+24+19</f>
        <v>410.5</v>
      </c>
      <c r="L20" s="10">
        <f>G20/K20</f>
        <v>52.4604141291108</v>
      </c>
      <c r="M20" s="10">
        <v>19</v>
      </c>
    </row>
    <row r="21" s="1" customFormat="1" ht="25" customHeight="1" spans="1:13">
      <c r="A21" s="12">
        <v>16</v>
      </c>
      <c r="B21" s="8" t="s">
        <v>41</v>
      </c>
      <c r="C21" s="7">
        <v>390</v>
      </c>
      <c r="D21" s="7">
        <v>719</v>
      </c>
      <c r="E21" s="10">
        <f t="shared" si="1"/>
        <v>1109</v>
      </c>
      <c r="F21" s="10" t="s">
        <v>27</v>
      </c>
      <c r="G21" s="10">
        <f>1466+1706+934+1+0+0+0+774+1606+1121+1327+1431+1457+988+1532+1462+1489+1610+615+1565+1628+1585+1265+1109</f>
        <v>26671</v>
      </c>
      <c r="H21" s="22"/>
      <c r="I21" s="10">
        <f>E21/M20</f>
        <v>58.3684210526316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42</v>
      </c>
      <c r="C22" s="12">
        <v>32.32</v>
      </c>
      <c r="D22" s="12">
        <v>26.69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44</v>
      </c>
      <c r="C23" s="40"/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3">
      <c r="A24" s="7">
        <v>19</v>
      </c>
      <c r="B24" s="31" t="s">
        <v>46</v>
      </c>
      <c r="C24" s="27" t="s">
        <v>129</v>
      </c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3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130</v>
      </c>
    </row>
    <row r="28" s="1" customFormat="1" ht="30" customHeight="1" spans="1:13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54</v>
      </c>
      <c r="C30" s="10">
        <v>0</v>
      </c>
      <c r="D30" s="10">
        <v>0</v>
      </c>
      <c r="E30" s="10">
        <f t="shared" si="2"/>
        <v>0</v>
      </c>
      <c r="F30" s="10" t="s">
        <v>27</v>
      </c>
      <c r="G30" s="10">
        <f>16.54+16.48+16.51+8.25+0+0+0+0+0+0+8.28+14.61+0+17.12+16.72+17+8.45+8.39+0+16.75+16.6+16.59+8.34+0</f>
        <v>206.63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55</v>
      </c>
      <c r="C31" s="10">
        <v>17</v>
      </c>
      <c r="D31" s="10">
        <v>10</v>
      </c>
      <c r="E31" s="10">
        <f t="shared" si="2"/>
        <v>27</v>
      </c>
      <c r="F31" s="10" t="s">
        <v>27</v>
      </c>
      <c r="G31" s="10">
        <f>27+20+43+14+0+0+0+76+25+12+28+14+23+24+23+26+20+31+12+22+25+25+27+27</f>
        <v>544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0+10.3545+7.7625+8.154+0+0+0+0+0+0+0+0+11.8125+0+7.344+8.1945+8.559+0+0+8.0595+7.83+9.4635+8.667+0</f>
        <v>96.201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276</v>
      </c>
      <c r="D34" s="10">
        <v>284</v>
      </c>
      <c r="E34" s="10">
        <f t="shared" si="2"/>
        <v>560</v>
      </c>
      <c r="F34" s="10" t="s">
        <v>27</v>
      </c>
      <c r="G34" s="10">
        <f>0+6+0+0+0+0+0+19+2+51+0+0+8+279+379+365+238+500+630+625+610+574+561+560</f>
        <v>5407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418</v>
      </c>
      <c r="D35" s="10">
        <v>419</v>
      </c>
      <c r="E35" s="10">
        <f t="shared" si="2"/>
        <v>837</v>
      </c>
      <c r="F35" s="10" t="s">
        <v>27</v>
      </c>
      <c r="G35" s="10">
        <f>599+599+554+284+0+0+0+589+627+644+651+638+681+553+569+557+811+955+728+753+846+942+878+837</f>
        <v>14295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0+0+0+0+0+0+0+0+0+0+0+0+0+0+0+0+0+0+0+0+0+0+0+0</f>
        <v>0</v>
      </c>
      <c r="H36" s="22"/>
      <c r="I36" s="7">
        <v>127.5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0+0+0+0+0+0+0+0+0+0+0+0+0+0+0+0+0+0+0+0+0+0+0+0</f>
        <v>0</v>
      </c>
      <c r="H37" s="22"/>
      <c r="I37" s="7">
        <v>84.2542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0</v>
      </c>
      <c r="D38" s="7">
        <v>0</v>
      </c>
      <c r="E38" s="10">
        <f>D38+C38</f>
        <v>0</v>
      </c>
      <c r="F38" s="10" t="s">
        <v>37</v>
      </c>
      <c r="G38" s="10">
        <f>2+3+3+2+0+0+0+0+0+0+0+3+0+4+4+3+0+2+0+3+0+2+0+0</f>
        <v>31</v>
      </c>
      <c r="H38" s="22"/>
      <c r="I38" s="10">
        <v>6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G36" sqref="G36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131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6.5</v>
      </c>
      <c r="D3" s="9">
        <v>9.5</v>
      </c>
      <c r="E3" s="10">
        <f t="shared" ref="E3:E12" si="0">C3+D3</f>
        <v>16</v>
      </c>
      <c r="F3" s="10" t="s">
        <v>14</v>
      </c>
      <c r="G3" s="10">
        <f>2+14.5+12+6+0+0+0+1+10.5+13+9.5+11.5+14+5.5+12.5+14+15.5+15.5+14.5+4.5+14.5+19.5+9.5+8.5+16</f>
        <v>244</v>
      </c>
      <c r="H3" s="10">
        <v>294</v>
      </c>
      <c r="I3" s="10">
        <f>H3-G3</f>
        <v>50</v>
      </c>
      <c r="J3" s="11"/>
      <c r="K3" s="10"/>
      <c r="L3" s="10"/>
      <c r="M3" s="10">
        <f>I3/5</f>
        <v>10</v>
      </c>
    </row>
    <row r="4" s="1" customFormat="1" ht="38" customHeight="1" spans="1:13">
      <c r="A4" s="12">
        <v>2</v>
      </c>
      <c r="B4" s="8" t="s">
        <v>15</v>
      </c>
      <c r="C4" s="9">
        <v>10</v>
      </c>
      <c r="D4" s="9"/>
      <c r="E4" s="10">
        <f t="shared" si="0"/>
        <v>10</v>
      </c>
      <c r="F4" s="10" t="s">
        <v>14</v>
      </c>
      <c r="G4" s="10">
        <f>14+2+14+12+6+0+0+0+0+12+12+10+12+14+4+14+14+18+12+14+6+14+22+6+10</f>
        <v>242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16</v>
      </c>
      <c r="C5" s="10">
        <v>80</v>
      </c>
      <c r="D5" s="10">
        <v>87</v>
      </c>
      <c r="E5" s="10">
        <f t="shared" si="0"/>
        <v>167</v>
      </c>
      <c r="F5" s="10" t="s">
        <v>14</v>
      </c>
      <c r="G5" s="10">
        <f>0+0+0+0+0+0+0+0+0+42+185+181+182+108+158+178+174+190+46+198+161+200+172+118+167</f>
        <v>2460</v>
      </c>
      <c r="H5" s="10">
        <v>4346</v>
      </c>
      <c r="I5" s="10">
        <f>H5-G5-G7-G6</f>
        <v>1015</v>
      </c>
      <c r="J5" s="14"/>
      <c r="K5" s="10"/>
      <c r="L5" s="10"/>
      <c r="M5" s="10"/>
    </row>
    <row r="6" s="1" customFormat="1" ht="38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206+172+152+0+0+0+0+20+219+80+7+1+2+0+0+0+0+12+0+0+0+0+0+0+0</f>
        <v>871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0+0+0+0+0+0+0+0+0+0+1+0+0+0+0+1+0+0+0+0+0+0+0+0+0</f>
        <v>2</v>
      </c>
      <c r="H8" s="16"/>
      <c r="I8" s="16"/>
      <c r="J8" s="11"/>
      <c r="K8" s="10"/>
      <c r="L8" s="10"/>
      <c r="M8" s="10"/>
    </row>
    <row r="9" s="1" customFormat="1" ht="25" customHeight="1" spans="1:13">
      <c r="A9" s="12">
        <v>4</v>
      </c>
      <c r="B9" s="17" t="s">
        <v>20</v>
      </c>
      <c r="C9" s="13">
        <v>115.61</v>
      </c>
      <c r="D9" s="13"/>
      <c r="E9" s="10">
        <f t="shared" si="0"/>
        <v>115.61</v>
      </c>
      <c r="F9" s="13" t="s">
        <v>14</v>
      </c>
      <c r="G9" s="10">
        <f>0+0+39.77+63.15+0+0+0+0+0+0+0+0+31.72+30.91+61.21+61.53+30.69+29.88+0+0+30.79+30.79+0+0+115.61</f>
        <v>526.05</v>
      </c>
      <c r="H9" s="13">
        <v>5.42</v>
      </c>
      <c r="I9" s="13">
        <f>H9-K10</f>
        <v>0.923807999999999</v>
      </c>
      <c r="J9" s="18" t="s">
        <v>21</v>
      </c>
      <c r="K9" s="13">
        <v>3</v>
      </c>
      <c r="L9" s="13">
        <v>0.91</v>
      </c>
      <c r="M9" s="19"/>
    </row>
    <row r="10" s="1" customFormat="1" ht="25" customHeight="1" spans="1:13">
      <c r="A10" s="7">
        <v>5</v>
      </c>
      <c r="B10" s="8" t="s">
        <v>22</v>
      </c>
      <c r="C10" s="10">
        <v>7.317</v>
      </c>
      <c r="D10" s="10">
        <v>0</v>
      </c>
      <c r="E10" s="10">
        <f t="shared" si="0"/>
        <v>7.317</v>
      </c>
      <c r="F10" s="10" t="s">
        <v>14</v>
      </c>
      <c r="G10" s="10">
        <f>5.265+7.938+15.8625+3.8745+0+0+0+4.698+14.391+7.0875+8.019+6.777+13.5945+8.7075+8.0325+15.822+8.4375+11.016+18.306+8.019+5.724+14.4855+6.2505+6.3855+7.317</f>
        <v>206.01</v>
      </c>
      <c r="H10" s="10"/>
      <c r="I10" s="10">
        <f>G10/(G3*0.1865)</f>
        <v>4.5270953280886</v>
      </c>
      <c r="J10" s="18" t="s">
        <v>23</v>
      </c>
      <c r="K10" s="20">
        <f>0+0+0.338045+0.55572+0+0+0+0+0+0+0+0+0.279136+0.265826+0.477438+0.486087+0.236313+0.23904+0+0+0.286347+0.280189+0+0+1.052051</f>
        <v>4.496192</v>
      </c>
      <c r="L10" s="10"/>
      <c r="M10" s="10">
        <f>C9*L9/100</f>
        <v>1.052051</v>
      </c>
    </row>
    <row r="11" s="1" customFormat="1" ht="25" customHeight="1" spans="1:13">
      <c r="A11" s="7">
        <v>6</v>
      </c>
      <c r="B11" s="8" t="s">
        <v>24</v>
      </c>
      <c r="C11" s="10">
        <v>9.2552</v>
      </c>
      <c r="D11" s="10">
        <v>0</v>
      </c>
      <c r="E11" s="10">
        <f t="shared" si="0"/>
        <v>9.2552</v>
      </c>
      <c r="F11" s="10" t="s">
        <v>14</v>
      </c>
      <c r="G11" s="10">
        <f>8.832+2.8336+13.1376+8.9976+0+0+0+10.9664+15.548+10.1384+8.4456+13.5792+21.4176+10.488+11.7576+13.6712+15.7872+18.8232+16.8912+12.8616+14.1312+10.6352+19.1544+16.9464+9.2552</f>
        <v>284.2984</v>
      </c>
      <c r="H11" s="10"/>
      <c r="I11" s="10">
        <f>G11/(G3*0.1865)</f>
        <v>6.24749263833341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260</v>
      </c>
      <c r="D12" s="10">
        <v>275</v>
      </c>
      <c r="E12" s="10">
        <f t="shared" si="0"/>
        <v>535</v>
      </c>
      <c r="F12" s="10"/>
      <c r="G12" s="10">
        <f>256+501+386+182+0+0+0+16+349+326+388+456+495+324+503+482+501+504+347+292+555+563+416+386+535</f>
        <v>8763</v>
      </c>
      <c r="H12" s="10">
        <f>G12*1.05</f>
        <v>9201.15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225</v>
      </c>
      <c r="D13" s="10">
        <v>254</v>
      </c>
      <c r="E13" s="10">
        <f t="shared" ref="E13:E21" si="1">D13+C13</f>
        <v>479</v>
      </c>
      <c r="F13" s="10" t="s">
        <v>27</v>
      </c>
      <c r="G13" s="10">
        <f>142+478+310+96+0+0+0+135+276+288+363+341+346+192+484+422+480+441+361+176+502+538+265+310+479</f>
        <v>7425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496.72</v>
      </c>
      <c r="D14" s="10">
        <v>454.12</v>
      </c>
      <c r="E14" s="10">
        <f t="shared" si="1"/>
        <v>950.84</v>
      </c>
      <c r="F14" s="10" t="s">
        <v>27</v>
      </c>
      <c r="G14" s="10">
        <f>852.63+765.27+628.63+67.84+0+0+0+622.22+656.54+537.49+673.12+867.1+934.38+903.03+987.12+946.88+983.47+991.65+722.87+792.72+949.34+855+769.32+784.56+950.84</f>
        <v>17242.02</v>
      </c>
      <c r="H14" s="10"/>
      <c r="I14" s="10"/>
      <c r="J14" s="18" t="s">
        <v>29</v>
      </c>
      <c r="K14" s="10">
        <v>3.06</v>
      </c>
      <c r="L14" s="10">
        <v>3.27</v>
      </c>
      <c r="M14" s="10"/>
    </row>
    <row r="15" s="1" customFormat="1" ht="25" customHeight="1" spans="1:13">
      <c r="A15" s="7">
        <v>10</v>
      </c>
      <c r="B15" s="8" t="s">
        <v>32</v>
      </c>
      <c r="C15" s="10">
        <v>18</v>
      </c>
      <c r="D15" s="10">
        <v>21</v>
      </c>
      <c r="E15" s="10">
        <f t="shared" si="1"/>
        <v>39</v>
      </c>
      <c r="F15" s="10" t="s">
        <v>14</v>
      </c>
      <c r="G15" s="10">
        <f>6+42+24+0+0+0+0+24+18+24+24+30+27+15+33+36+39+33+27+13+39+45+21+21+39</f>
        <v>580</v>
      </c>
      <c r="H15" s="10"/>
      <c r="I15" s="10">
        <f>G15/(G3*0.1865)</f>
        <v>12.7455720124819</v>
      </c>
      <c r="J15" s="18" t="s">
        <v>31</v>
      </c>
      <c r="K15" s="20">
        <f>2.4676132+2.4190333+2.1010637+0.22048+0+0+0+1.9197875+1.9348016+1.6144511+1.7938333+2.565604+2.867483+2.7733777+3.316842+3.1664201+3.6051183+3.2329205+2.3489953+2.7741398+3.124321+2.904358+2.5606806+2.5611311+3.0049356</f>
        <v>55.2773907</v>
      </c>
      <c r="L15" s="10"/>
      <c r="M15" s="10">
        <f>(C14*K14+L14*D14)/1000</f>
        <v>3.0049356</v>
      </c>
    </row>
    <row r="16" s="1" customFormat="1" ht="25" customHeight="1" spans="1:13">
      <c r="A16" s="7">
        <v>11</v>
      </c>
      <c r="B16" s="8" t="s">
        <v>33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0.1+0+0+0+0+0+0+0+0+0+0+0.0875+0.0375+0.1125+0+0+0+0+0.0875+0+0+0.15+0.0875+0</f>
        <v>0.6625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34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0+2+0+2+0+0+0+0+2+0+0+2+2+0+2+0+2+0+2+0+2+0+2+0+2</f>
        <v>22</v>
      </c>
      <c r="H17" s="22"/>
      <c r="I17" s="22">
        <f>G17/(G3*0.1865)</f>
        <v>0.483452731507933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35</v>
      </c>
      <c r="C18" s="10">
        <v>1.5</v>
      </c>
      <c r="D18" s="7">
        <v>0</v>
      </c>
      <c r="E18" s="10">
        <f t="shared" si="1"/>
        <v>1.5</v>
      </c>
      <c r="F18" s="10" t="s">
        <v>14</v>
      </c>
      <c r="G18" s="10">
        <f>0+1.5+0+1.5+0+0+0+0+1.5+0+0+1.5+1.5+0+1.5+0+1.5+0+1.5+0+1.5+0+1.5+0+1.5</f>
        <v>16.5</v>
      </c>
      <c r="H18" s="22"/>
      <c r="I18" s="22">
        <f>G18/(G3*0.1865)</f>
        <v>0.36258954863095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36</v>
      </c>
      <c r="C19" s="10">
        <v>0</v>
      </c>
      <c r="D19" s="7">
        <v>7</v>
      </c>
      <c r="E19" s="10">
        <f t="shared" si="1"/>
        <v>7</v>
      </c>
      <c r="F19" s="10" t="s">
        <v>37</v>
      </c>
      <c r="G19" s="10">
        <f>12+0+9+0+0+0+0+10+5+3+5+5+6+10+4+9+3+7+0+13+0+7+15+8+7</f>
        <v>138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39</v>
      </c>
      <c r="C20" s="7">
        <v>576</v>
      </c>
      <c r="D20" s="7">
        <v>595</v>
      </c>
      <c r="E20" s="10">
        <f t="shared" si="1"/>
        <v>1171</v>
      </c>
      <c r="F20" s="10" t="s">
        <v>27</v>
      </c>
      <c r="G20" s="10">
        <f>1304+1347+838+28+0+0+0+605+1367+931+1037+1080+1094+841+1210+1155+1143+1269+444+1388+1310+1212+1056+876+1171</f>
        <v>22706</v>
      </c>
      <c r="H20" s="23"/>
      <c r="I20" s="10">
        <f>E20/M20</f>
        <v>48.7916666666667</v>
      </c>
      <c r="J20" s="18" t="s">
        <v>87</v>
      </c>
      <c r="K20" s="10">
        <f>23.5+24+13.5+0+0+0+0+9+24+16+20+24+24+15.5+24+24+24+24+6+24+24+24+24+19+24</f>
        <v>434.5</v>
      </c>
      <c r="L20" s="10">
        <f>G20/K20</f>
        <v>52.2577675489068</v>
      </c>
      <c r="M20" s="10">
        <v>24</v>
      </c>
    </row>
    <row r="21" s="1" customFormat="1" ht="25" customHeight="1" spans="1:13">
      <c r="A21" s="12">
        <v>16</v>
      </c>
      <c r="B21" s="8" t="s">
        <v>41</v>
      </c>
      <c r="C21" s="7">
        <v>765</v>
      </c>
      <c r="D21" s="7">
        <v>809</v>
      </c>
      <c r="E21" s="10">
        <f t="shared" si="1"/>
        <v>1574</v>
      </c>
      <c r="F21" s="10" t="s">
        <v>27</v>
      </c>
      <c r="G21" s="10">
        <f>1466+1706+934+1+0+0+0+774+1606+1121+1327+1431+1457+988+1532+1462+1489+1610+615+1565+1628+1585+1265+1109+1574</f>
        <v>28245</v>
      </c>
      <c r="H21" s="22"/>
      <c r="I21" s="10">
        <f>E21/M20</f>
        <v>65.5833333333333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42</v>
      </c>
      <c r="C22" s="12">
        <v>26.97</v>
      </c>
      <c r="D22" s="12">
        <v>25.25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44</v>
      </c>
      <c r="C23" s="40"/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3">
      <c r="A24" s="7">
        <v>19</v>
      </c>
      <c r="B24" s="31" t="s">
        <v>46</v>
      </c>
      <c r="C24" s="27" t="s">
        <v>132</v>
      </c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3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133</v>
      </c>
    </row>
    <row r="28" s="1" customFormat="1" ht="30" customHeight="1" spans="1:13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0+0+0+0+0+0+0+0+0+0+0+0+0+0+0+0+0+0+0+0+0+0+0+0+0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54</v>
      </c>
      <c r="C30" s="10">
        <v>8.33</v>
      </c>
      <c r="D30" s="10">
        <v>8.33</v>
      </c>
      <c r="E30" s="10">
        <f t="shared" si="2"/>
        <v>16.66</v>
      </c>
      <c r="F30" s="10" t="s">
        <v>27</v>
      </c>
      <c r="G30" s="10">
        <f>16.54+16.48+16.51+8.25+0+0+0+0+0+0+8.28+14.61+0+17.12+16.72+17+8.45+8.39+0+16.75+16.6+16.59+8.34+0+16.66</f>
        <v>223.29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55</v>
      </c>
      <c r="C31" s="10">
        <v>31.33</v>
      </c>
      <c r="D31" s="10">
        <v>10</v>
      </c>
      <c r="E31" s="10">
        <f t="shared" si="2"/>
        <v>41.33</v>
      </c>
      <c r="F31" s="10" t="s">
        <v>27</v>
      </c>
      <c r="G31" s="10">
        <f>27+20+43+14+0+0+0+76+25+12+28+14+23+24+23+26+20+31+12+22+25+25+27+27+41.33</f>
        <v>585.33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0</v>
      </c>
      <c r="D32" s="10">
        <v>0</v>
      </c>
      <c r="E32" s="10">
        <f t="shared" si="2"/>
        <v>0</v>
      </c>
      <c r="F32" s="10" t="s">
        <v>14</v>
      </c>
      <c r="G32" s="10">
        <f>0+10.3545+7.7625+8.154+0+0+0+0+0+0+0+0+11.8125+0+7.344+8.1945+8.559+0+0+8.0595+7.83+9.4635+8.667+0+0</f>
        <v>96.201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279</v>
      </c>
      <c r="D34" s="10">
        <v>286</v>
      </c>
      <c r="E34" s="10">
        <f t="shared" si="2"/>
        <v>565</v>
      </c>
      <c r="F34" s="10" t="s">
        <v>27</v>
      </c>
      <c r="G34" s="10">
        <f>0+6+0+0+0+0+0+19+2+51+0+0+8+279+379+365+238+500+630+625+610+574+561+560+565</f>
        <v>5972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427</v>
      </c>
      <c r="D35" s="10">
        <v>433</v>
      </c>
      <c r="E35" s="10">
        <f t="shared" si="2"/>
        <v>860</v>
      </c>
      <c r="F35" s="10" t="s">
        <v>27</v>
      </c>
      <c r="G35" s="10">
        <f>599+599+554+284+0+0+0+589+627+644+651+638+681+553+569+557+811+955+728+753+846+942+878+837+860</f>
        <v>15155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0+0+0+0+0+0+0+0+0+0+0+0+0+0+0+0+0+0+0+0+0+0+0+0+0</f>
        <v>0</v>
      </c>
      <c r="H36" s="22"/>
      <c r="I36" s="7">
        <v>22.5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0+0+0+0+0+0+0+0+0+0+0+0+0+0+0+0+0+0+0+0+0+0+0+0+0</f>
        <v>0</v>
      </c>
      <c r="H37" s="22"/>
      <c r="I37" s="7">
        <v>92.9402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3</v>
      </c>
      <c r="D38" s="7">
        <v>0</v>
      </c>
      <c r="E38" s="10">
        <f>D38+C38</f>
        <v>3</v>
      </c>
      <c r="F38" s="10" t="s">
        <v>37</v>
      </c>
      <c r="G38" s="10">
        <f>2+3+3+2+0+0+0+0+0+0+0+3+0+4+4+3+0+2+0+3+0+2+0+0+3</f>
        <v>34</v>
      </c>
      <c r="H38" s="22"/>
      <c r="I38" s="10">
        <v>9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G36" sqref="G36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134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7.5</v>
      </c>
      <c r="D3" s="9">
        <v>7.5</v>
      </c>
      <c r="E3" s="10">
        <f t="shared" ref="E3:E12" si="0">C3+D3</f>
        <v>15</v>
      </c>
      <c r="F3" s="10" t="s">
        <v>14</v>
      </c>
      <c r="G3" s="10">
        <f>2+14.5+12+6+0+0+0+1+10.5+13+9.5+11.5+14+5.5+12.5+14+15.5+15.5+14.5+4.5+14.5+19.5+9.5+8.5+16+15</f>
        <v>259</v>
      </c>
      <c r="H3" s="10">
        <v>294</v>
      </c>
      <c r="I3" s="10">
        <f>H3-G3</f>
        <v>35</v>
      </c>
      <c r="J3" s="11"/>
      <c r="K3" s="10"/>
      <c r="L3" s="10"/>
      <c r="M3" s="10">
        <f>I3/4</f>
        <v>8.75</v>
      </c>
    </row>
    <row r="4" s="1" customFormat="1" ht="38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14+2+14+12+6+0+0+0+0+12+12+10+12+14+4+14+14+18+12+14+6+14+22+6+10+12</f>
        <v>254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16</v>
      </c>
      <c r="C5" s="10">
        <v>95</v>
      </c>
      <c r="D5" s="10">
        <v>93</v>
      </c>
      <c r="E5" s="10">
        <f t="shared" si="0"/>
        <v>188</v>
      </c>
      <c r="F5" s="10" t="s">
        <v>14</v>
      </c>
      <c r="G5" s="10">
        <f>0+0+0+0+0+0+0+0+0+42+185+181+182+108+158+178+174+190+46+198+161+200+172+118+167+188</f>
        <v>2648</v>
      </c>
      <c r="H5" s="10">
        <v>4346</v>
      </c>
      <c r="I5" s="10">
        <f>H5-G5-G7-G6</f>
        <v>827</v>
      </c>
      <c r="J5" s="14"/>
      <c r="K5" s="10"/>
      <c r="L5" s="10"/>
      <c r="M5" s="10"/>
    </row>
    <row r="6" s="1" customFormat="1" ht="38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206+172+152+0+0+0+0+20+219+80+7+1+2+0+0+0+0+12+0+0+0+0+0+0+0+0</f>
        <v>871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0+0+0+0+0+0+0+0+0+0+1+0+0+0+0+1+0+0+0+0+0+0+0+0+0+0</f>
        <v>2</v>
      </c>
      <c r="H8" s="16"/>
      <c r="I8" s="16"/>
      <c r="J8" s="11"/>
      <c r="K8" s="10"/>
      <c r="L8" s="10"/>
      <c r="M8" s="10"/>
    </row>
    <row r="9" s="1" customFormat="1" ht="25" customHeight="1" spans="1:13">
      <c r="A9" s="12">
        <v>4</v>
      </c>
      <c r="B9" s="17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0+0+39.77+63.15+0+0+0+0+0+0+0+0+31.72+30.91+61.21+61.53+30.69+29.88+0+0+30.79+30.79+0+0+115.61+0</f>
        <v>526.05</v>
      </c>
      <c r="H9" s="13">
        <v>5.42</v>
      </c>
      <c r="I9" s="13">
        <f>H9-K10</f>
        <v>0.923807999999999</v>
      </c>
      <c r="J9" s="18" t="s">
        <v>21</v>
      </c>
      <c r="K9" s="13">
        <v>4</v>
      </c>
      <c r="L9" s="13">
        <v>0</v>
      </c>
      <c r="M9" s="19"/>
    </row>
    <row r="10" s="1" customFormat="1" ht="25" customHeight="1" spans="1:13">
      <c r="A10" s="7">
        <v>5</v>
      </c>
      <c r="B10" s="8" t="s">
        <v>22</v>
      </c>
      <c r="C10" s="10">
        <v>7.6275</v>
      </c>
      <c r="D10" s="10">
        <v>0</v>
      </c>
      <c r="E10" s="10">
        <f t="shared" si="0"/>
        <v>7.6275</v>
      </c>
      <c r="F10" s="10" t="s">
        <v>14</v>
      </c>
      <c r="G10" s="10">
        <f>5.265+7.938+15.8625+3.8745+0+0+0+4.698+14.391+7.0875+8.019+6.777+13.5945+8.7075+8.0325+15.822+8.4375+11.016+18.306+8.019+5.724+14.4855+6.2505+6.3855+7.317+7.6275</f>
        <v>213.6375</v>
      </c>
      <c r="H10" s="10"/>
      <c r="I10" s="10">
        <f>G10/(G3*0.1865)</f>
        <v>4.42281615203867</v>
      </c>
      <c r="J10" s="18" t="s">
        <v>23</v>
      </c>
      <c r="K10" s="20">
        <f>0+0+0.338045+0.55572+0+0+0+0+0+0+0+0+0.279136+0.265826+0.477438+0.486087+0.236313+0.23904+0+0+0.286347+0.280189+0+0+1.052051+0</f>
        <v>4.496192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17.3144</v>
      </c>
      <c r="D11" s="10">
        <v>0</v>
      </c>
      <c r="E11" s="10">
        <f t="shared" si="0"/>
        <v>17.3144</v>
      </c>
      <c r="F11" s="10" t="s">
        <v>14</v>
      </c>
      <c r="G11" s="10">
        <f>8.832+2.8336+13.1376+8.9976+0+0+0+10.9664+15.548+10.1384+8.4456+13.5792+21.4176+10.488+11.7576+13.6712+15.7872+18.8232+16.8912+12.8616+14.1312+10.6352+19.1544+16.9464+9.2552+17.3144</f>
        <v>301.6128</v>
      </c>
      <c r="H11" s="10"/>
      <c r="I11" s="10">
        <f>G11/(G3*0.1865)</f>
        <v>6.2441189561833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280</v>
      </c>
      <c r="D12" s="10">
        <v>244</v>
      </c>
      <c r="E12" s="10">
        <f t="shared" si="0"/>
        <v>524</v>
      </c>
      <c r="F12" s="10"/>
      <c r="G12" s="10">
        <f>256+501+386+182+0+0+0+16+349+326+388+456+495+324+503+482+501+504+347+292+555+563+416+386+535+524</f>
        <v>9287</v>
      </c>
      <c r="H12" s="10">
        <f>G12*1.05</f>
        <v>9751.35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246</v>
      </c>
      <c r="D13" s="10">
        <v>228</v>
      </c>
      <c r="E13" s="10">
        <f t="shared" ref="E13:E21" si="1">D13+C13</f>
        <v>474</v>
      </c>
      <c r="F13" s="10" t="s">
        <v>27</v>
      </c>
      <c r="G13" s="10">
        <f>142+478+310+96+0+0+0+135+276+288+363+341+346+192+484+422+480+441+361+176+502+538+265+310+479+474</f>
        <v>7899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506.03</v>
      </c>
      <c r="D14" s="10">
        <v>439.66</v>
      </c>
      <c r="E14" s="10">
        <f t="shared" si="1"/>
        <v>945.69</v>
      </c>
      <c r="F14" s="10" t="s">
        <v>27</v>
      </c>
      <c r="G14" s="10">
        <f>852.63+765.27+628.63+67.84+0+0+0+622.22+656.54+537.49+673.12+867.1+934.38+903.03+987.12+946.88+983.47+991.65+722.87+792.72+949.34+855+769.32+784.56+950.84+945.69</f>
        <v>18187.71</v>
      </c>
      <c r="H14" s="10"/>
      <c r="I14" s="10"/>
      <c r="J14" s="18" t="s">
        <v>29</v>
      </c>
      <c r="K14" s="10">
        <v>3.18</v>
      </c>
      <c r="L14" s="10">
        <v>3.34</v>
      </c>
      <c r="M14" s="10"/>
    </row>
    <row r="15" s="1" customFormat="1" ht="25" customHeight="1" spans="1:13">
      <c r="A15" s="7">
        <v>10</v>
      </c>
      <c r="B15" s="8" t="s">
        <v>32</v>
      </c>
      <c r="C15" s="10">
        <v>21</v>
      </c>
      <c r="D15" s="10">
        <v>18</v>
      </c>
      <c r="E15" s="10">
        <f t="shared" si="1"/>
        <v>39</v>
      </c>
      <c r="F15" s="10" t="s">
        <v>14</v>
      </c>
      <c r="G15" s="10">
        <f>6+42+24+0+0+0+0+24+18+24+24+30+27+15+33+36+39+33+27+13+39+45+21+21+39+39</f>
        <v>619</v>
      </c>
      <c r="H15" s="10"/>
      <c r="I15" s="10">
        <f>G15/(G3*0.1865)</f>
        <v>12.81480638049</v>
      </c>
      <c r="J15" s="18" t="s">
        <v>31</v>
      </c>
      <c r="K15" s="20">
        <f>2.4676132+2.4190333+2.1010637+0.22048+0+0+0+1.9197875+1.9348016+1.6144511+1.7938333+2.565604+2.867483+2.7733777+3.316842+3.1664201+3.6051183+3.2329205+2.3489953+2.7741398+3.124321+2.904358+2.5606806+2.5611311+3.0049356+3.0776398</f>
        <v>58.3550305</v>
      </c>
      <c r="L15" s="10"/>
      <c r="M15" s="10">
        <f>(C14*K14+L14*D14)/1000</f>
        <v>3.0776398</v>
      </c>
    </row>
    <row r="16" s="1" customFormat="1" ht="25" customHeight="1" spans="1:13">
      <c r="A16" s="7">
        <v>11</v>
      </c>
      <c r="B16" s="8" t="s">
        <v>33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0.1+0+0+0+0+0+0+0+0+0+0+0.0875+0.0375+0.1125+0+0+0+0+0.0875+0+0+0.15+0.0875+0+0</f>
        <v>0.6625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34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0+2+0+2+0+0+0+0+2+0+0+2+2+0+2+0+2+0+2+0+2+0+2+0+2+0</f>
        <v>22</v>
      </c>
      <c r="H17" s="22"/>
      <c r="I17" s="22">
        <f>G17/(G3*0.1865)</f>
        <v>0.455453538563458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35</v>
      </c>
      <c r="C18" s="10">
        <v>1</v>
      </c>
      <c r="D18" s="7">
        <v>0</v>
      </c>
      <c r="E18" s="10">
        <f t="shared" si="1"/>
        <v>1</v>
      </c>
      <c r="F18" s="10" t="s">
        <v>14</v>
      </c>
      <c r="G18" s="10">
        <f>0+1.5+0+1.5+0+0+0+0+1.5+0+0+1.5+1.5+0+1.5+0+1.5+0+1.5+0+1.5+0+1.5+0+1.5+1</f>
        <v>17.5</v>
      </c>
      <c r="H18" s="22"/>
      <c r="I18" s="22">
        <f>G18/(G3*0.1865)</f>
        <v>0.36229258749366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36</v>
      </c>
      <c r="C19" s="10">
        <v>2</v>
      </c>
      <c r="D19" s="7">
        <v>2</v>
      </c>
      <c r="E19" s="10">
        <f t="shared" si="1"/>
        <v>4</v>
      </c>
      <c r="F19" s="10" t="s">
        <v>37</v>
      </c>
      <c r="G19" s="10">
        <f>12+0+9+0+0+0+0+10+5+3+5+5+6+10+4+9+3+7+0+13+0+7+15+8+7+4</f>
        <v>142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39</v>
      </c>
      <c r="C20" s="7">
        <v>552</v>
      </c>
      <c r="D20" s="7">
        <v>542</v>
      </c>
      <c r="E20" s="10">
        <f t="shared" si="1"/>
        <v>1094</v>
      </c>
      <c r="F20" s="10" t="s">
        <v>27</v>
      </c>
      <c r="G20" s="10">
        <f>1304+1347+838+28+0+0+0+605+1367+931+1037+1080+1094+841+1210+1155+1143+1269+444+1388+1310+1212+1056+876+1171+1094</f>
        <v>23800</v>
      </c>
      <c r="H20" s="23"/>
      <c r="I20" s="10">
        <f>E20/M20</f>
        <v>45.5833333333333</v>
      </c>
      <c r="J20" s="18" t="s">
        <v>87</v>
      </c>
      <c r="K20" s="10">
        <f>23.5+24+13.5+0+0+0+0+9+24+16+20+24+24+15.5+24+24+24+24+6+24+24+24+24+19+24+24</f>
        <v>458.5</v>
      </c>
      <c r="L20" s="10">
        <f>G20/K20</f>
        <v>51.9083969465649</v>
      </c>
      <c r="M20" s="10">
        <v>24</v>
      </c>
    </row>
    <row r="21" s="1" customFormat="1" ht="25" customHeight="1" spans="1:13">
      <c r="A21" s="12">
        <v>16</v>
      </c>
      <c r="B21" s="8" t="s">
        <v>41</v>
      </c>
      <c r="C21" s="7">
        <v>776</v>
      </c>
      <c r="D21" s="7">
        <v>726</v>
      </c>
      <c r="E21" s="10">
        <f t="shared" si="1"/>
        <v>1502</v>
      </c>
      <c r="F21" s="10" t="s">
        <v>27</v>
      </c>
      <c r="G21" s="10">
        <f>1466+1706+934+1+0+0+0+774+1606+1121+1327+1431+1457+988+1532+1462+1489+1610+615+1565+1628+1585+1265+1109+1574+1502</f>
        <v>29747</v>
      </c>
      <c r="H21" s="22"/>
      <c r="I21" s="10">
        <f>E21/M20</f>
        <v>62.5833333333333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42</v>
      </c>
      <c r="C22" s="12">
        <v>26.36</v>
      </c>
      <c r="D22" s="12">
        <v>24.64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44</v>
      </c>
      <c r="C23" s="40"/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3">
      <c r="A24" s="7">
        <v>19</v>
      </c>
      <c r="B24" s="31" t="s">
        <v>46</v>
      </c>
      <c r="C24" s="27"/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3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135</v>
      </c>
    </row>
    <row r="28" s="1" customFormat="1" ht="30" customHeight="1" spans="1:13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0+0+0+0+0+0+0+0+0+0+0+0+0+0+0+0+0+0+0+0+0+0+0+0+0+0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54</v>
      </c>
      <c r="C30" s="10">
        <v>8.88</v>
      </c>
      <c r="D30" s="10">
        <v>8.37</v>
      </c>
      <c r="E30" s="10">
        <f t="shared" si="2"/>
        <v>17.25</v>
      </c>
      <c r="F30" s="10" t="s">
        <v>27</v>
      </c>
      <c r="G30" s="10">
        <f>16.54+16.48+16.51+8.25+0+0+0+0+0+0+8.28+14.61+0+17.12+16.72+17+8.45+8.39+0+16.75+16.6+16.59+8.34+0+16.66+17.25</f>
        <v>240.54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55</v>
      </c>
      <c r="C31" s="10">
        <v>12</v>
      </c>
      <c r="D31" s="10">
        <v>0</v>
      </c>
      <c r="E31" s="10">
        <f t="shared" si="2"/>
        <v>12</v>
      </c>
      <c r="F31" s="10" t="s">
        <v>27</v>
      </c>
      <c r="G31" s="10">
        <f>27+20+43+14+0+0+0+76+25+12+28+14+23+24+23+26+20+31+12+22+25+25+27+27+41.33+12</f>
        <v>597.33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8.505</v>
      </c>
      <c r="D32" s="10">
        <v>0</v>
      </c>
      <c r="E32" s="10">
        <f t="shared" si="2"/>
        <v>8.505</v>
      </c>
      <c r="F32" s="10" t="s">
        <v>14</v>
      </c>
      <c r="G32" s="10">
        <f>0+10.3545+7.7625+8.154+0+0+0+0+0+0+0+0+11.8125+0+7.344+8.1945+8.559+0+0+8.0595+7.83+9.4635+8.667+0+0+8.505</f>
        <v>104.706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287</v>
      </c>
      <c r="D34" s="10">
        <v>297</v>
      </c>
      <c r="E34" s="10">
        <f t="shared" si="2"/>
        <v>584</v>
      </c>
      <c r="F34" s="10" t="s">
        <v>27</v>
      </c>
      <c r="G34" s="10">
        <f>0+6+0+0+0+0+0+19+2+51+0+0+8+279+379+365+238+500+630+625+610+574+561+560+565+584</f>
        <v>6556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372</v>
      </c>
      <c r="D35" s="10">
        <v>431</v>
      </c>
      <c r="E35" s="10">
        <f t="shared" si="2"/>
        <v>803</v>
      </c>
      <c r="F35" s="10" t="s">
        <v>27</v>
      </c>
      <c r="G35" s="10">
        <f>599+599+554+284+0+0+0+589+627+644+651+638+681+553+569+557+811+955+728+753+846+942+878+837+860+803</f>
        <v>15958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0+0+0+0+0+0+0+0+0+0+0+0+0+0+0+0+0+0+0+0+0+0+0+0+0+0</f>
        <v>0</v>
      </c>
      <c r="H36" s="22"/>
      <c r="I36" s="7">
        <v>22.5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0+0+0+0+0+0+0+0+0+0+0+0+0+0+0+0+0+0+0+0+0+0+0+0+0+0</f>
        <v>0</v>
      </c>
      <c r="H37" s="22"/>
      <c r="I37" s="7">
        <v>109.4436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2</v>
      </c>
      <c r="D38" s="7">
        <v>0</v>
      </c>
      <c r="E38" s="10">
        <f>D38+C38</f>
        <v>2</v>
      </c>
      <c r="F38" s="10" t="s">
        <v>37</v>
      </c>
      <c r="G38" s="10">
        <f>2+3+3+2+0+0+0+0+0+0+0+3+0+4+4+3+0+2+0+3+0+2+0+0+3+2</f>
        <v>36</v>
      </c>
      <c r="H38" s="22"/>
      <c r="I38" s="10">
        <v>11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G36" sqref="G36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136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5.5</v>
      </c>
      <c r="D3" s="9">
        <v>6.5</v>
      </c>
      <c r="E3" s="10">
        <f t="shared" ref="E3:E12" si="0">C3+D3</f>
        <v>12</v>
      </c>
      <c r="F3" s="10" t="s">
        <v>14</v>
      </c>
      <c r="G3" s="10">
        <f>2+14.5+12+6+0+0+0+1+10.5+13+9.5+11.5+14+5.5+12.5+14+15.5+15.5+14.5+4.5+14.5+19.5+9.5+8.5+16+15+12</f>
        <v>271</v>
      </c>
      <c r="H3" s="10">
        <v>294</v>
      </c>
      <c r="I3" s="10">
        <f>H3-G3</f>
        <v>23</v>
      </c>
      <c r="J3" s="11"/>
      <c r="K3" s="10"/>
      <c r="L3" s="10"/>
      <c r="M3" s="10">
        <f>I3/3</f>
        <v>7.66666666666667</v>
      </c>
    </row>
    <row r="4" s="1" customFormat="1" ht="38" customHeight="1" spans="1:13">
      <c r="A4" s="12">
        <v>2</v>
      </c>
      <c r="B4" s="8" t="s">
        <v>15</v>
      </c>
      <c r="C4" s="9">
        <v>18</v>
      </c>
      <c r="D4" s="9"/>
      <c r="E4" s="10">
        <f t="shared" si="0"/>
        <v>18</v>
      </c>
      <c r="F4" s="10" t="s">
        <v>14</v>
      </c>
      <c r="G4" s="10">
        <f>14+2+14+12+6+0+0+0+0+12+12+10+12+14+4+14+14+18+12+14+6+14+22+6+10+12+18</f>
        <v>272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16</v>
      </c>
      <c r="C5" s="10">
        <v>80</v>
      </c>
      <c r="D5" s="10">
        <v>100</v>
      </c>
      <c r="E5" s="10">
        <f t="shared" si="0"/>
        <v>180</v>
      </c>
      <c r="F5" s="10" t="s">
        <v>14</v>
      </c>
      <c r="G5" s="10">
        <f>0+0+0+0+0+0+0+0+0+42+185+181+182+108+158+178+174+190+46+198+161+200+172+118+167+188+180</f>
        <v>2828</v>
      </c>
      <c r="H5" s="10">
        <v>4346</v>
      </c>
      <c r="I5" s="10">
        <f>H5-G5-G7-G6</f>
        <v>647</v>
      </c>
      <c r="J5" s="14"/>
      <c r="K5" s="10"/>
      <c r="L5" s="10"/>
      <c r="M5" s="10"/>
    </row>
    <row r="6" s="1" customFormat="1" ht="38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206+172+152+0+0+0+0+20+219+80+7+1+2+0+0+0+0+12+0+0+0+0+0+0+0+0+0</f>
        <v>871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0+0+0+0+0+0+0+0+0+0+1+0+0+0+0+1+0+0+0+0+0+0+0+0+0+0+0</f>
        <v>2</v>
      </c>
      <c r="H8" s="16"/>
      <c r="I8" s="16"/>
      <c r="J8" s="11"/>
      <c r="K8" s="10"/>
      <c r="L8" s="10"/>
      <c r="M8" s="10"/>
    </row>
    <row r="9" s="1" customFormat="1" ht="25" customHeight="1" spans="1:13">
      <c r="A9" s="12">
        <v>4</v>
      </c>
      <c r="B9" s="17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0+0+39.77+63.15+0+0+0+0+0+0+0+0+31.72+30.91+61.21+61.53+30.69+29.88+0+0+30.79+30.79+0+0+115.61+0+0</f>
        <v>526.05</v>
      </c>
      <c r="H9" s="13">
        <v>5.42</v>
      </c>
      <c r="I9" s="13">
        <f>H9-K10</f>
        <v>0.923807999999999</v>
      </c>
      <c r="J9" s="18" t="s">
        <v>21</v>
      </c>
      <c r="K9" s="13">
        <v>2</v>
      </c>
      <c r="L9" s="13">
        <v>0</v>
      </c>
      <c r="M9" s="19"/>
    </row>
    <row r="10" s="1" customFormat="1" ht="25" customHeight="1" spans="1:13">
      <c r="A10" s="7">
        <v>5</v>
      </c>
      <c r="B10" s="8" t="s">
        <v>22</v>
      </c>
      <c r="C10" s="10">
        <v>7.749</v>
      </c>
      <c r="D10" s="10">
        <v>3.9555</v>
      </c>
      <c r="E10" s="10">
        <f t="shared" si="0"/>
        <v>11.7045</v>
      </c>
      <c r="F10" s="10" t="s">
        <v>14</v>
      </c>
      <c r="G10" s="10">
        <f>5.265+7.938+15.8625+3.8745+0+0+0+4.698+14.391+7.0875+8.019+6.777+13.5945+8.7075+8.0325+15.822+8.4375+11.016+18.306+8.019+5.724+14.4855+6.2505+6.3855+7.317+7.6275+11.7045</f>
        <v>225.342</v>
      </c>
      <c r="H10" s="10"/>
      <c r="I10" s="10">
        <f>G10/(G3*0.1865)</f>
        <v>4.45855386167803</v>
      </c>
      <c r="J10" s="18" t="s">
        <v>23</v>
      </c>
      <c r="K10" s="20">
        <f>0+0+0.338045+0.55572+0+0+0+0+0+0+0+0+0.279136+0.265826+0.477438+0.486087+0.236313+0.23904+0+0+0.286347+0.280189+0+0+1.052051+0+0</f>
        <v>4.496192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14.168</v>
      </c>
      <c r="D11" s="10">
        <v>0</v>
      </c>
      <c r="E11" s="10">
        <f t="shared" si="0"/>
        <v>14.168</v>
      </c>
      <c r="F11" s="10" t="s">
        <v>14</v>
      </c>
      <c r="G11" s="10">
        <f>8.832+2.8336+13.1376+8.9976+0+0+0+10.9664+15.548+10.1384+8.4456+13.5792+21.4176+10.488+11.7576+13.6712+15.7872+18.8232+16.8912+12.8616+14.1312+10.6352+19.1544+16.9464+9.2552+17.3144+14.168</f>
        <v>315.7808</v>
      </c>
      <c r="H11" s="10"/>
      <c r="I11" s="10">
        <f>G11/(G3*0.1865)</f>
        <v>6.24795069398415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236</v>
      </c>
      <c r="D12" s="10">
        <v>227</v>
      </c>
      <c r="E12" s="10">
        <f t="shared" si="0"/>
        <v>463</v>
      </c>
      <c r="F12" s="10"/>
      <c r="G12" s="10">
        <f>256+501+386+182+0+0+0+16+349+326+388+456+495+324+503+482+501+504+347+292+555+563+416+386+535+524+463</f>
        <v>9750</v>
      </c>
      <c r="H12" s="10">
        <f>G12*1.05</f>
        <v>10237.5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172</v>
      </c>
      <c r="D13" s="10">
        <v>192</v>
      </c>
      <c r="E13" s="10">
        <f t="shared" ref="E13:E21" si="1">D13+C13</f>
        <v>364</v>
      </c>
      <c r="F13" s="10" t="s">
        <v>27</v>
      </c>
      <c r="G13" s="10">
        <f>142+478+310+96+0+0+0+135+276+288+363+341+346+192+484+422+480+441+361+176+502+538+265+310+479+474+364</f>
        <v>8263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511.32</v>
      </c>
      <c r="D14" s="10">
        <v>499.18</v>
      </c>
      <c r="E14" s="10">
        <f t="shared" si="1"/>
        <v>1010.5</v>
      </c>
      <c r="F14" s="10" t="s">
        <v>27</v>
      </c>
      <c r="G14" s="10">
        <f>852.63+765.27+628.63+67.84+0+0+0+622.22+656.54+537.49+673.12+867.1+934.38+903.03+987.12+946.88+983.47+991.65+722.87+792.72+949.34+855+769.32+784.56+950.84+945.69+1010.5</f>
        <v>19198.21</v>
      </c>
      <c r="H14" s="10"/>
      <c r="I14" s="10"/>
      <c r="J14" s="18" t="s">
        <v>29</v>
      </c>
      <c r="K14" s="10">
        <v>3.46</v>
      </c>
      <c r="L14" s="10">
        <v>3.03</v>
      </c>
      <c r="M14" s="10"/>
    </row>
    <row r="15" s="1" customFormat="1" ht="25" customHeight="1" spans="1:13">
      <c r="A15" s="7">
        <v>10</v>
      </c>
      <c r="B15" s="8" t="s">
        <v>32</v>
      </c>
      <c r="C15" s="10">
        <v>9</v>
      </c>
      <c r="D15" s="10">
        <v>18</v>
      </c>
      <c r="E15" s="10">
        <f t="shared" si="1"/>
        <v>27</v>
      </c>
      <c r="F15" s="10" t="s">
        <v>14</v>
      </c>
      <c r="G15" s="10">
        <f>6+42+24+0+0+0+0+24+18+24+24+30+27+15+33+36+39+33+27+13+39+45+21+21+39+39+27</f>
        <v>646</v>
      </c>
      <c r="H15" s="10"/>
      <c r="I15" s="10">
        <f>G15/(G3*0.1865)</f>
        <v>12.781575536935</v>
      </c>
      <c r="J15" s="18" t="s">
        <v>31</v>
      </c>
      <c r="K15" s="20">
        <f>2.4676132+2.4190333+2.1010637+0.22048+0+0+0+1.9197875+1.9348016+1.6144511+1.7938333+2.565604+2.867483+2.7733777+3.316842+3.1664201+3.6051183+3.2329205+2.3489953+2.7741398+3.124321+2.904358+2.5606806+2.5611311+3.0049356+3.0776398+3.2816826</f>
        <v>61.6367131</v>
      </c>
      <c r="L15" s="10"/>
      <c r="M15" s="10">
        <f>(C14*K14+L14*D14)/1000</f>
        <v>3.2816826</v>
      </c>
    </row>
    <row r="16" s="1" customFormat="1" ht="25" customHeight="1" spans="1:13">
      <c r="A16" s="7">
        <v>11</v>
      </c>
      <c r="B16" s="8" t="s">
        <v>33</v>
      </c>
      <c r="C16" s="7">
        <v>0.075</v>
      </c>
      <c r="D16" s="7">
        <v>0</v>
      </c>
      <c r="E16" s="10">
        <f t="shared" si="1"/>
        <v>0.075</v>
      </c>
      <c r="F16" s="10" t="s">
        <v>14</v>
      </c>
      <c r="G16" s="10">
        <f>0.1+0+0+0+0+0+0+0+0+0+0+0.0875+0.0375+0.1125+0+0+0+0+0.0875+0+0+0.15+0.0875+0+0+0.075</f>
        <v>0.7375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34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0+2+0+2+0+0+0+0+2+0+0+2+2+0+2+0+2+0+2+0+2+0+2+0+2+0+2</f>
        <v>24</v>
      </c>
      <c r="H17" s="22"/>
      <c r="I17" s="22">
        <f>G17/(G3*0.1865)</f>
        <v>0.474857295489845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35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0+1.5+0+1.5+0+0+0+0+1.5+0+0+1.5+1.5+0+1.5+0+1.5+0+1.5+0+1.5+0+1.5+0+1.5+1+2</f>
        <v>19.5</v>
      </c>
      <c r="H18" s="22"/>
      <c r="I18" s="22">
        <f>G18/(G3*0.1865)</f>
        <v>0.385821552585499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36</v>
      </c>
      <c r="C19" s="10">
        <v>7</v>
      </c>
      <c r="D19" s="7">
        <v>2</v>
      </c>
      <c r="E19" s="10">
        <f t="shared" si="1"/>
        <v>9</v>
      </c>
      <c r="F19" s="10" t="s">
        <v>37</v>
      </c>
      <c r="G19" s="10">
        <f>12+0+9+0+0+0+0+10+5+3+5+5+6+10+4+9+3+7+0+13+0+7+15+8+7+4+9</f>
        <v>151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39</v>
      </c>
      <c r="C20" s="7">
        <v>541</v>
      </c>
      <c r="D20" s="7">
        <v>586</v>
      </c>
      <c r="E20" s="10">
        <f t="shared" si="1"/>
        <v>1127</v>
      </c>
      <c r="F20" s="10" t="s">
        <v>27</v>
      </c>
      <c r="G20" s="10">
        <f>1304+1347+838+28+0+0+0+605+1367+931+1037+1080+1094+841+1210+1155+1143+1269+444+1388+1310+1212+1056+876+1171+1094+1127</f>
        <v>24927</v>
      </c>
      <c r="H20" s="23"/>
      <c r="I20" s="10">
        <f>E20/M20</f>
        <v>46.9583333333333</v>
      </c>
      <c r="J20" s="18" t="s">
        <v>87</v>
      </c>
      <c r="K20" s="10">
        <f>23.5+24+13.5+0+0+0+0+9+24+16+20+24+24+15.5+24+24+24+24+6+24+24+24+24+19+24+24+24</f>
        <v>482.5</v>
      </c>
      <c r="L20" s="10">
        <f>G20/K20</f>
        <v>51.6621761658031</v>
      </c>
      <c r="M20" s="10">
        <v>24</v>
      </c>
    </row>
    <row r="21" s="1" customFormat="1" ht="25" customHeight="1" spans="1:13">
      <c r="A21" s="12">
        <v>16</v>
      </c>
      <c r="B21" s="8" t="s">
        <v>41</v>
      </c>
      <c r="C21" s="7">
        <v>696</v>
      </c>
      <c r="D21" s="7">
        <v>750</v>
      </c>
      <c r="E21" s="10">
        <f t="shared" si="1"/>
        <v>1446</v>
      </c>
      <c r="F21" s="10" t="s">
        <v>27</v>
      </c>
      <c r="G21" s="10">
        <f>1466+1706+934+1+0+0+0+774+1606+1121+1327+1431+1457+988+1532+1462+1489+1610+615+1565+1628+1585+1265+1109+1574+1502+1446</f>
        <v>31193</v>
      </c>
      <c r="H21" s="22"/>
      <c r="I21" s="10">
        <f>E21/M20</f>
        <v>60.25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42</v>
      </c>
      <c r="C22" s="12">
        <v>30.1</v>
      </c>
      <c r="D22" s="12">
        <v>29.17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44</v>
      </c>
      <c r="C23" s="40"/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3">
      <c r="A24" s="7">
        <v>19</v>
      </c>
      <c r="B24" s="31" t="s">
        <v>46</v>
      </c>
      <c r="C24" s="27" t="s">
        <v>137</v>
      </c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3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138</v>
      </c>
    </row>
    <row r="28" s="1" customFormat="1" ht="30" customHeight="1" spans="1:13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0+0+0+0+0+0+0+0+0+0+0+0+0+0+0+0+0+0+0+0+0+0+0+0+0+0+0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54</v>
      </c>
      <c r="C30" s="10">
        <v>8.38</v>
      </c>
      <c r="D30" s="10">
        <v>8.3</v>
      </c>
      <c r="E30" s="10">
        <f t="shared" si="2"/>
        <v>16.68</v>
      </c>
      <c r="F30" s="10" t="s">
        <v>27</v>
      </c>
      <c r="G30" s="10">
        <f>16.54+16.48+16.51+8.25+0+0+0+0+0+0+8.28+14.61+0+17.12+16.72+17+8.45+8.39+0+16.75+16.6+16.59+8.34+0+16.66+17.25+16.68</f>
        <v>257.22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55</v>
      </c>
      <c r="C31" s="10">
        <v>0</v>
      </c>
      <c r="D31" s="10">
        <v>22</v>
      </c>
      <c r="E31" s="10">
        <f t="shared" si="2"/>
        <v>22</v>
      </c>
      <c r="F31" s="10" t="s">
        <v>27</v>
      </c>
      <c r="G31" s="10">
        <f>27+20+43+14+0+0+0+76+25+12+28+14+23+24+23+26+20+31+12+22+25+25+27+27+41.33+12+22</f>
        <v>619.33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9.504</v>
      </c>
      <c r="D32" s="10">
        <v>0</v>
      </c>
      <c r="E32" s="10">
        <f t="shared" si="2"/>
        <v>9.504</v>
      </c>
      <c r="F32" s="10" t="s">
        <v>14</v>
      </c>
      <c r="G32" s="10">
        <f>0+10.3545+7.7625+8.154+0+0+0+0+0+0+0+0+11.8125+0+7.344+8.1945+8.559+0+0+8.0595+7.83+9.4635+8.667+0+0+8.505+9.504</f>
        <v>114.21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302</v>
      </c>
      <c r="D34" s="10">
        <v>305</v>
      </c>
      <c r="E34" s="10">
        <f t="shared" si="2"/>
        <v>607</v>
      </c>
      <c r="F34" s="10" t="s">
        <v>27</v>
      </c>
      <c r="G34" s="10">
        <f>0+6+0+0+0+0+0+19+2+51+0+0+8+279+379+365+238+500+630+625+610+574+561+560+565+584+607</f>
        <v>7163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372</v>
      </c>
      <c r="D35" s="10">
        <v>340</v>
      </c>
      <c r="E35" s="10">
        <f t="shared" si="2"/>
        <v>712</v>
      </c>
      <c r="F35" s="10" t="s">
        <v>27</v>
      </c>
      <c r="G35" s="10">
        <f>599+599+554+284+0+0+0+589+627+644+651+638+681+553+569+557+811+955+728+753+846+942+878+837+860+803+712</f>
        <v>16670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0+0+0+0+0+0+0+0+0+0+0+0+0+0+0+0+0+0+0+0+0+0+0+0+0+0+0</f>
        <v>0</v>
      </c>
      <c r="H36" s="22"/>
      <c r="I36" s="7">
        <v>30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0+0+0+0+0+0+0+0+0+0+0+0+0+0+0+0+0+0+0+0+0+0+0+0+0+0+0</f>
        <v>0</v>
      </c>
      <c r="H37" s="22"/>
      <c r="I37" s="7">
        <v>125.947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0</v>
      </c>
      <c r="D38" s="7">
        <v>2</v>
      </c>
      <c r="E38" s="10">
        <f>D38+C38</f>
        <v>2</v>
      </c>
      <c r="F38" s="10" t="s">
        <v>37</v>
      </c>
      <c r="G38" s="10">
        <f>2+3+3+2+0+0+0+0+0+0+0+3+0+4+4+3+0+2+0+3+0+2+0+0+3+2+2</f>
        <v>38</v>
      </c>
      <c r="H38" s="22"/>
      <c r="I38" s="10">
        <v>13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G35" sqref="G35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139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6.5</v>
      </c>
      <c r="D3" s="9">
        <v>6</v>
      </c>
      <c r="E3" s="10">
        <f t="shared" ref="E3:E12" si="0">C3+D3</f>
        <v>12.5</v>
      </c>
      <c r="F3" s="10" t="s">
        <v>14</v>
      </c>
      <c r="G3" s="10">
        <f>2+14.5+12+6+0+0+0+1+10.5+13+9.5+11.5+14+5.5+12.5+14+15.5+15.5+14.5+4.5+14.5+19.5+9.5+8.5+16+15+12+12.5</f>
        <v>283.5</v>
      </c>
      <c r="H3" s="10">
        <v>294</v>
      </c>
      <c r="I3" s="10">
        <f>H3-G3</f>
        <v>10.5</v>
      </c>
      <c r="J3" s="11"/>
      <c r="K3" s="10"/>
      <c r="L3" s="10"/>
      <c r="M3" s="10">
        <f>I3/2</f>
        <v>5.25</v>
      </c>
    </row>
    <row r="4" s="1" customFormat="1" ht="38" customHeight="1" spans="1:13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14+2+14+12+6+0+0+0+0+12+12+10+12+14+4+14+14+18+12+14+6+14+22+6+10+12+18+12</f>
        <v>284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16</v>
      </c>
      <c r="C5" s="10">
        <v>96</v>
      </c>
      <c r="D5" s="10">
        <v>80</v>
      </c>
      <c r="E5" s="10">
        <f t="shared" si="0"/>
        <v>176</v>
      </c>
      <c r="F5" s="10" t="s">
        <v>14</v>
      </c>
      <c r="G5" s="10">
        <f>0+0+0+0+0+0+0+0+0+42+185+181+182+108+158+178+174+190+46+198+161+200+172+118+167+188+180+176</f>
        <v>3004</v>
      </c>
      <c r="H5" s="10">
        <v>4346</v>
      </c>
      <c r="I5" s="10">
        <f>H5-G5-G7-G6</f>
        <v>471</v>
      </c>
      <c r="J5" s="14"/>
      <c r="K5" s="10"/>
      <c r="L5" s="10"/>
      <c r="M5" s="10"/>
    </row>
    <row r="6" s="1" customFormat="1" ht="38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206+172+152+0+0+0+0+20+219+80+7+1+2+0+0+0+0+12+0+0+0+0+0+0+0+0+0+0</f>
        <v>871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19</v>
      </c>
      <c r="C8" s="10">
        <v>2</v>
      </c>
      <c r="D8" s="10">
        <v>0</v>
      </c>
      <c r="E8" s="10">
        <f t="shared" si="0"/>
        <v>2</v>
      </c>
      <c r="F8" s="10" t="s">
        <v>14</v>
      </c>
      <c r="G8" s="10">
        <f>0+0+0+0+0+0+0+0+0+0+1+0+0+0+0+1+0+0+0+0+0+0+0+0+0+0+0+2</f>
        <v>4</v>
      </c>
      <c r="H8" s="16"/>
      <c r="I8" s="16"/>
      <c r="J8" s="11"/>
      <c r="K8" s="10"/>
      <c r="L8" s="10"/>
      <c r="M8" s="10"/>
    </row>
    <row r="9" s="1" customFormat="1" ht="25" customHeight="1" spans="1:13">
      <c r="A9" s="12">
        <v>4</v>
      </c>
      <c r="B9" s="17" t="s">
        <v>20</v>
      </c>
      <c r="C9" s="13">
        <v>75.51</v>
      </c>
      <c r="D9" s="13"/>
      <c r="E9" s="10">
        <f t="shared" si="0"/>
        <v>75.51</v>
      </c>
      <c r="F9" s="13" t="s">
        <v>14</v>
      </c>
      <c r="G9" s="10">
        <f>0+0+39.77+63.15+0+0+0+0+0+0+0+0+31.72+30.91+61.21+61.53+30.69+29.88+0+0+30.79+30.79+0+0+115.61+0+0+75.51</f>
        <v>601.56</v>
      </c>
      <c r="H9" s="13">
        <v>5.42</v>
      </c>
      <c r="I9" s="13">
        <f>H9-K10</f>
        <v>0.297075</v>
      </c>
      <c r="J9" s="18" t="s">
        <v>21</v>
      </c>
      <c r="K9" s="13">
        <v>4</v>
      </c>
      <c r="L9" s="13">
        <v>0.83</v>
      </c>
      <c r="M9" s="19"/>
    </row>
    <row r="10" s="1" customFormat="1" ht="25" customHeight="1" spans="1:13">
      <c r="A10" s="7">
        <v>5</v>
      </c>
      <c r="B10" s="8" t="s">
        <v>22</v>
      </c>
      <c r="C10" s="10">
        <v>10.3815</v>
      </c>
      <c r="D10" s="10">
        <v>2.0655</v>
      </c>
      <c r="E10" s="10">
        <f t="shared" si="0"/>
        <v>12.447</v>
      </c>
      <c r="F10" s="10" t="s">
        <v>14</v>
      </c>
      <c r="G10" s="10">
        <f>5.265+7.938+15.8625+3.8745+0+0+0+4.698+14.391+7.0875+8.019+6.777+13.5945+8.7075+8.0325+15.822+8.4375+11.016+18.306+8.019+5.724+14.4855+6.2505+6.3855+7.317+7.6275+11.7045+12.447</f>
        <v>237.789</v>
      </c>
      <c r="H10" s="10"/>
      <c r="I10" s="10">
        <f>G10/(G3*0.1865)</f>
        <v>4.49738286735606</v>
      </c>
      <c r="J10" s="18" t="s">
        <v>23</v>
      </c>
      <c r="K10" s="20">
        <f>0+0+0.338045+0.55572+0+0+0+0+0+0+0+0+0.279136+0.265826+0.477438+0.486087+0.236313+0.23904+0+0+0.286347+0.280189+0+0+1.052051+0+0+0.626733</f>
        <v>5.122925</v>
      </c>
      <c r="L10" s="10"/>
      <c r="M10" s="10">
        <f>C9*L9/100</f>
        <v>0.626733</v>
      </c>
    </row>
    <row r="11" s="1" customFormat="1" ht="25" customHeight="1" spans="1:13">
      <c r="A11" s="7">
        <v>6</v>
      </c>
      <c r="B11" s="8" t="s">
        <v>24</v>
      </c>
      <c r="C11" s="10">
        <v>20.7368</v>
      </c>
      <c r="D11" s="10">
        <v>0</v>
      </c>
      <c r="E11" s="10">
        <f t="shared" si="0"/>
        <v>20.7368</v>
      </c>
      <c r="F11" s="10" t="s">
        <v>14</v>
      </c>
      <c r="G11" s="10">
        <f>8.832+2.8336+13.1376+8.9976+0+0+0+10.9664+15.548+10.1384+8.4456+13.5792+21.4176+10.488+11.7576+13.6712+15.7872+18.8232+16.8912+12.8616+14.1312+10.6352+19.1544+16.9464+9.2552+17.3144+14.168+20.7368</f>
        <v>336.5176</v>
      </c>
      <c r="H11" s="10"/>
      <c r="I11" s="10">
        <f>G11/(G3*0.1865)</f>
        <v>6.36466989139018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250</v>
      </c>
      <c r="D12" s="10">
        <v>239</v>
      </c>
      <c r="E12" s="10">
        <f t="shared" si="0"/>
        <v>489</v>
      </c>
      <c r="F12" s="10"/>
      <c r="G12" s="10">
        <f>256+501+386+182+0+0+0+16+349+326+388+456+495+324+503+482+501+504+347+292+555+563+416+386+535+524+463+489</f>
        <v>10239</v>
      </c>
      <c r="H12" s="10">
        <f>G12*1.05</f>
        <v>10750.95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223</v>
      </c>
      <c r="D13" s="10">
        <v>174</v>
      </c>
      <c r="E13" s="10">
        <f t="shared" ref="E13:E21" si="1">D13+C13</f>
        <v>397</v>
      </c>
      <c r="F13" s="10" t="s">
        <v>27</v>
      </c>
      <c r="G13" s="10">
        <f>142+478+310+96+0+0+0+135+276+288+363+341+346+192+484+422+480+441+361+176+502+538+265+310+479+474+364+397</f>
        <v>8660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471.37</v>
      </c>
      <c r="D14" s="10">
        <v>507.97</v>
      </c>
      <c r="E14" s="10">
        <f t="shared" si="1"/>
        <v>979.34</v>
      </c>
      <c r="F14" s="10" t="s">
        <v>27</v>
      </c>
      <c r="G14" s="10">
        <f>852.63+765.27+628.63+67.84+0+0+0+622.22+656.54+537.49+673.12+867.1+934.38+903.03+987.12+946.88+983.47+991.65+722.87+792.72+949.34+855+769.32+784.56+950.84+945.69+1010.5+979.34</f>
        <v>20177.55</v>
      </c>
      <c r="H14" s="10"/>
      <c r="I14" s="10"/>
      <c r="J14" s="18" t="s">
        <v>29</v>
      </c>
      <c r="K14" s="10">
        <v>2.88</v>
      </c>
      <c r="L14" s="10">
        <v>3.1</v>
      </c>
      <c r="M14" s="10"/>
    </row>
    <row r="15" s="1" customFormat="1" ht="25" customHeight="1" spans="1:13">
      <c r="A15" s="7">
        <v>10</v>
      </c>
      <c r="B15" s="8" t="s">
        <v>32</v>
      </c>
      <c r="C15" s="10">
        <v>15</v>
      </c>
      <c r="D15" s="10">
        <v>15</v>
      </c>
      <c r="E15" s="10">
        <f t="shared" si="1"/>
        <v>30</v>
      </c>
      <c r="F15" s="10" t="s">
        <v>14</v>
      </c>
      <c r="G15" s="10">
        <f>6+42+24+0+0+0+0+24+18+24+24+30+27+15+33+36+39+33+27+13+39+45+21+21+39+39+27+30</f>
        <v>676</v>
      </c>
      <c r="H15" s="10"/>
      <c r="I15" s="10">
        <f>G15/(G3*0.1865)</f>
        <v>12.7854140365311</v>
      </c>
      <c r="J15" s="18" t="s">
        <v>31</v>
      </c>
      <c r="K15" s="20">
        <f>2.4676132+2.4190333+2.1010637+0.22048+0+0+0+1.9197875+1.9348016+1.6144511+1.7938333+2.565604+2.867483+2.7733777+3.316842+3.1664201+3.6051183+3.2329205+2.3489953+2.7741398+3.124321+2.904358+2.5606806+2.5611311+3.0049356+3.0776398+3.2816826+2.9322526</f>
        <v>64.5689657</v>
      </c>
      <c r="L15" s="10"/>
      <c r="M15" s="10">
        <f>(C14*K14+L14*D14)/1000</f>
        <v>2.9322526</v>
      </c>
    </row>
    <row r="16" s="1" customFormat="1" ht="25" customHeight="1" spans="1:13">
      <c r="A16" s="7">
        <v>11</v>
      </c>
      <c r="B16" s="8" t="s">
        <v>33</v>
      </c>
      <c r="C16" s="7">
        <v>0</v>
      </c>
      <c r="D16" s="7">
        <v>0.075</v>
      </c>
      <c r="E16" s="10">
        <f t="shared" si="1"/>
        <v>0.075</v>
      </c>
      <c r="F16" s="10" t="s">
        <v>14</v>
      </c>
      <c r="G16" s="10">
        <f>0.1+0+0+0+0+0+0+0+0+0+0+0.0875+0.0375+0.1125+0+0+0+0+0.0875+0+0+0.15+0.0875+0+0+0.075+0.075</f>
        <v>0.8125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34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0+2+0+2+0+0+0+0+2+0+0+2+2+0+2+0+2+0+2+0+2+0+2+0+2+0+2+2</f>
        <v>26</v>
      </c>
      <c r="H17" s="22"/>
      <c r="I17" s="22">
        <f>G17/(G3*0.1865)</f>
        <v>0.491746693712735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35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0+1.5+0+1.5+0+0+0+0+1.5+0+0+1.5+1.5+0+1.5+0+1.5+0+1.5+0+1.5+0+1.5+0+1.5+1+2+2</f>
        <v>21.5</v>
      </c>
      <c r="H18" s="22"/>
      <c r="I18" s="22">
        <f>G18/(G3*0.1865)</f>
        <v>0.406636689031685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36</v>
      </c>
      <c r="C19" s="10">
        <v>8</v>
      </c>
      <c r="D19" s="7">
        <v>2</v>
      </c>
      <c r="E19" s="10">
        <f t="shared" si="1"/>
        <v>10</v>
      </c>
      <c r="F19" s="10" t="s">
        <v>37</v>
      </c>
      <c r="G19" s="10">
        <f>12+0+9+0+0+0+0+10+5+3+5+5+6+10+4+9+3+7+0+13+0+7+15+8+7+4+9+10</f>
        <v>161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39</v>
      </c>
      <c r="C20" s="7">
        <v>626</v>
      </c>
      <c r="D20" s="7">
        <v>552</v>
      </c>
      <c r="E20" s="10">
        <f t="shared" si="1"/>
        <v>1178</v>
      </c>
      <c r="F20" s="10" t="s">
        <v>27</v>
      </c>
      <c r="G20" s="10">
        <f>1304+1347+838+28+0+0+0+605+1367+931+1037+1080+1094+841+1210+1155+1143+1269+444+1388+1310+1212+1056+876+1171+1094+1127+1178</f>
        <v>26105</v>
      </c>
      <c r="H20" s="23"/>
      <c r="I20" s="10">
        <f>E20/M20</f>
        <v>49.0833333333333</v>
      </c>
      <c r="J20" s="18" t="s">
        <v>87</v>
      </c>
      <c r="K20" s="10">
        <f>23.5+24+13.5+0+0+0+0+9+24+16+20+24+24+15.5+24+24+24+24+6+24+24+24+24+19+24+24+24+24</f>
        <v>506.5</v>
      </c>
      <c r="L20" s="10">
        <f>G20/K20</f>
        <v>51.5399802566634</v>
      </c>
      <c r="M20" s="10">
        <v>24</v>
      </c>
    </row>
    <row r="21" s="1" customFormat="1" ht="25" customHeight="1" spans="1:13">
      <c r="A21" s="12">
        <v>16</v>
      </c>
      <c r="B21" s="8" t="s">
        <v>41</v>
      </c>
      <c r="C21" s="7">
        <v>820</v>
      </c>
      <c r="D21" s="7">
        <v>733</v>
      </c>
      <c r="E21" s="10">
        <f t="shared" si="1"/>
        <v>1553</v>
      </c>
      <c r="F21" s="10" t="s">
        <v>27</v>
      </c>
      <c r="G21" s="10">
        <f>1466+1706+934+1+0+0+0+774+1606+1121+1327+1431+1457+988+1532+1462+1489+1610+615+1565+1628+1585+1265+1109+1574+1502+1446+1553</f>
        <v>32746</v>
      </c>
      <c r="H21" s="22"/>
      <c r="I21" s="10">
        <f>E21/M20</f>
        <v>64.7083333333333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42</v>
      </c>
      <c r="C22" s="12">
        <v>29.8</v>
      </c>
      <c r="D22" s="12">
        <v>30.61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44</v>
      </c>
      <c r="C23" s="40"/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3">
      <c r="A24" s="7">
        <v>19</v>
      </c>
      <c r="B24" s="31" t="s">
        <v>46</v>
      </c>
      <c r="C24" s="27" t="s">
        <v>140</v>
      </c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3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141</v>
      </c>
    </row>
    <row r="28" s="1" customFormat="1" ht="30" customHeight="1" spans="1:13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0+0+0+0+0+0+0+0+0+0+0+0+0+0+0+0+0+0+0+0+0+0+0+0+0+0+0+0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54</v>
      </c>
      <c r="C30" s="10">
        <v>8.34</v>
      </c>
      <c r="D30" s="10">
        <v>8.38</v>
      </c>
      <c r="E30" s="10">
        <f t="shared" si="2"/>
        <v>16.72</v>
      </c>
      <c r="F30" s="10" t="s">
        <v>27</v>
      </c>
      <c r="G30" s="10">
        <f>16.54+16.48+16.51+8.25+0+0+0+0+0+0+8.28+14.61+0+17.12+16.72+17+8.45+8.39+0+16.75+16.6+16.59+8.34+0+16.66+17.25+16.68+16.72</f>
        <v>273.94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55</v>
      </c>
      <c r="C31" s="10">
        <v>23</v>
      </c>
      <c r="D31" s="10">
        <v>10</v>
      </c>
      <c r="E31" s="10">
        <f t="shared" si="2"/>
        <v>33</v>
      </c>
      <c r="F31" s="10" t="s">
        <v>27</v>
      </c>
      <c r="G31" s="10">
        <f>27+20+43+14+0+0+0+76+25+12+28+14+23+24+23+26+20+31+12+22+25+25+27+27+41.33+12+22+33</f>
        <v>652.33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9.2745</v>
      </c>
      <c r="D32" s="10">
        <v>0</v>
      </c>
      <c r="E32" s="10">
        <f t="shared" si="2"/>
        <v>9.2745</v>
      </c>
      <c r="F32" s="10" t="s">
        <v>14</v>
      </c>
      <c r="G32" s="10">
        <f>0+10.3545+7.7625+8.154+0+0+0+0+0+0+0+0+11.8125+0+7.344+8.1945+8.559+0+0+8.0595+7.83+9.4635+8.667+0+0+8.505+9.504+9.2745</f>
        <v>123.4845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328</v>
      </c>
      <c r="D34" s="10">
        <v>308</v>
      </c>
      <c r="E34" s="10">
        <f t="shared" si="2"/>
        <v>636</v>
      </c>
      <c r="F34" s="10" t="s">
        <v>27</v>
      </c>
      <c r="G34" s="10">
        <f>0+6+0+0+0+0+0+19+2+51+0+0+8+279+379+365+238+500+630+625+610+574+561+560+565+584+607+636</f>
        <v>7799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417</v>
      </c>
      <c r="D35" s="10">
        <v>416</v>
      </c>
      <c r="E35" s="10">
        <f t="shared" si="2"/>
        <v>833</v>
      </c>
      <c r="F35" s="10" t="s">
        <v>27</v>
      </c>
      <c r="G35" s="10">
        <f>599+599+554+284+0+0+0+589+627+644+651+638+681+553+569+557+811+955+728+753+846+942+878+837+860+803+712+833</f>
        <v>17503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0+0+0+0+0+0+0+0+0+0+0+0+0+0+0+0+0+0+0+0+0+0+0+0+0+0+0+0</f>
        <v>0</v>
      </c>
      <c r="H36" s="22"/>
      <c r="I36" s="7">
        <v>0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0+0+0+0+0+0+0+0+0+0+0+0+0+0+0+0+0+0+0+0+0+0+0+0+0+0+0+0</f>
        <v>0</v>
      </c>
      <c r="H37" s="22"/>
      <c r="I37" s="7">
        <v>135.5016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0</v>
      </c>
      <c r="D38" s="7">
        <v>0</v>
      </c>
      <c r="E38" s="10">
        <f>D38+C38</f>
        <v>0</v>
      </c>
      <c r="F38" s="10" t="s">
        <v>37</v>
      </c>
      <c r="G38" s="10">
        <f>2+3+3+2+0+0+0+0+0+0+0+3+0+4+4+3+0+2+0+3+0+2+0+0+3+2+2+0</f>
        <v>38</v>
      </c>
      <c r="H38" s="22"/>
      <c r="I38" s="10">
        <v>13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85" zoomScaleNormal="85" workbookViewId="0">
      <selection activeCell="N1" sqref="N1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3">
      <c r="A1" s="5" t="s">
        <v>142</v>
      </c>
    </row>
    <row r="2" s="1" customFormat="1" ht="30" customHeight="1" spans="1:13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3">
      <c r="A3" s="7">
        <v>1</v>
      </c>
      <c r="B3" s="8" t="s">
        <v>13</v>
      </c>
      <c r="C3" s="9">
        <v>6</v>
      </c>
      <c r="D3" s="9">
        <v>7.5</v>
      </c>
      <c r="E3" s="10">
        <f t="shared" ref="E3:E12" si="0">C3+D3</f>
        <v>13.5</v>
      </c>
      <c r="F3" s="10" t="s">
        <v>14</v>
      </c>
      <c r="G3" s="10">
        <f>2+14.5+12+6+0+0+0+1+10.5+13+9.5+11.5+14+5.5+12.5+14+15.5+15.5+14.5+4.5+14.5+19.5+9.5+8.5+16+15+12+12.5+13.5</f>
        <v>297</v>
      </c>
      <c r="H3" s="10">
        <v>294</v>
      </c>
      <c r="I3" s="10">
        <f>H3-G3</f>
        <v>-3</v>
      </c>
      <c r="J3" s="11"/>
      <c r="K3" s="10"/>
      <c r="L3" s="10"/>
      <c r="M3" s="10">
        <f>I3/1</f>
        <v>-3</v>
      </c>
    </row>
    <row r="4" s="1" customFormat="1" ht="38" customHeight="1" spans="1:13">
      <c r="A4" s="12">
        <v>2</v>
      </c>
      <c r="B4" s="8" t="s">
        <v>15</v>
      </c>
      <c r="C4" s="9">
        <v>14</v>
      </c>
      <c r="D4" s="9"/>
      <c r="E4" s="10">
        <f t="shared" si="0"/>
        <v>14</v>
      </c>
      <c r="F4" s="10" t="s">
        <v>14</v>
      </c>
      <c r="G4" s="10">
        <f>14+2+14+12+6+0+0+0+0+12+12+10+12+14+4+14+14+18+12+14+6+14+22+6+10+12+18+12+14</f>
        <v>298</v>
      </c>
      <c r="H4" s="13"/>
      <c r="I4" s="13"/>
      <c r="J4" s="11"/>
      <c r="K4" s="10"/>
      <c r="L4" s="10"/>
      <c r="M4" s="10"/>
    </row>
    <row r="5" s="1" customFormat="1" ht="38" customHeight="1" spans="1:13">
      <c r="A5" s="12">
        <v>3</v>
      </c>
      <c r="B5" s="8" t="s">
        <v>16</v>
      </c>
      <c r="C5" s="10">
        <v>86</v>
      </c>
      <c r="D5" s="10">
        <v>79</v>
      </c>
      <c r="E5" s="10">
        <f t="shared" si="0"/>
        <v>165</v>
      </c>
      <c r="F5" s="10" t="s">
        <v>14</v>
      </c>
      <c r="G5" s="10">
        <f>0+0+0+0+0+0+0+0+0+42+185+181+182+108+158+178+174+190+46+198+161+200+172+118+167+188+180+176+165</f>
        <v>3169</v>
      </c>
      <c r="H5" s="10">
        <v>4346</v>
      </c>
      <c r="I5" s="10">
        <f>H5-G5-G7-G6</f>
        <v>306</v>
      </c>
      <c r="J5" s="14"/>
      <c r="K5" s="10"/>
      <c r="L5" s="10"/>
      <c r="M5" s="10"/>
    </row>
    <row r="6" s="1" customFormat="1" ht="38" customHeight="1" spans="1:13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0+0+0+0+0+0+0+0+0+0+0+0+0+0+0+0+0+0+0+0+0+0+0+0+0+0+0+0+0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3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206+172+152+0+0+0+0+20+219+80+7+1+2+0+0+0+0+12+0+0+0+0+0+0+0+0+0+0+0</f>
        <v>871</v>
      </c>
      <c r="H7" s="15"/>
      <c r="I7" s="15"/>
      <c r="J7" s="11"/>
      <c r="K7" s="10"/>
      <c r="L7" s="10"/>
      <c r="M7" s="10"/>
    </row>
    <row r="8" s="1" customFormat="1" ht="38" customHeight="1" spans="1:13">
      <c r="A8" s="15"/>
      <c r="B8" s="8" t="s">
        <v>19</v>
      </c>
      <c r="C8" s="10">
        <v>0</v>
      </c>
      <c r="D8" s="10">
        <v>0</v>
      </c>
      <c r="E8" s="10">
        <f t="shared" si="0"/>
        <v>0</v>
      </c>
      <c r="F8" s="10" t="s">
        <v>14</v>
      </c>
      <c r="G8" s="10">
        <f>0+0+0+0+0+0+0+0+0+0+1+0+0+0+0+1+0+0+0+0+0+0+0+0+0+0+0+2+0</f>
        <v>4</v>
      </c>
      <c r="H8" s="16"/>
      <c r="I8" s="16"/>
      <c r="J8" s="11"/>
      <c r="K8" s="10"/>
      <c r="L8" s="10"/>
      <c r="M8" s="10"/>
    </row>
    <row r="9" s="1" customFormat="1" ht="25" customHeight="1" spans="1:13">
      <c r="A9" s="12">
        <v>4</v>
      </c>
      <c r="B9" s="17" t="s">
        <v>20</v>
      </c>
      <c r="C9" s="13">
        <v>0</v>
      </c>
      <c r="D9" s="13"/>
      <c r="E9" s="10">
        <f t="shared" si="0"/>
        <v>0</v>
      </c>
      <c r="F9" s="13" t="s">
        <v>14</v>
      </c>
      <c r="G9" s="10">
        <f>0+0+39.77+63.15+0+0+0+0+0+0+0+0+31.72+30.91+61.21+61.53+30.69+29.88+0+0+30.79+30.79+0+0+115.61+0+0+75.51+0</f>
        <v>601.56</v>
      </c>
      <c r="H9" s="13">
        <v>5.42</v>
      </c>
      <c r="I9" s="13">
        <f>H9-K10</f>
        <v>0.297075</v>
      </c>
      <c r="J9" s="18" t="s">
        <v>21</v>
      </c>
      <c r="K9" s="13">
        <v>2</v>
      </c>
      <c r="L9" s="13">
        <v>0</v>
      </c>
      <c r="M9" s="19"/>
    </row>
    <row r="10" s="1" customFormat="1" ht="25" customHeight="1" spans="1:13">
      <c r="A10" s="7">
        <v>5</v>
      </c>
      <c r="B10" s="8" t="s">
        <v>22</v>
      </c>
      <c r="C10" s="10">
        <v>5.9265</v>
      </c>
      <c r="D10" s="10">
        <v>1.5525</v>
      </c>
      <c r="E10" s="10">
        <f t="shared" si="0"/>
        <v>7.479</v>
      </c>
      <c r="F10" s="10" t="s">
        <v>14</v>
      </c>
      <c r="G10" s="10">
        <f>5.265+7.938+15.8625+3.8745+0+0+0+4.698+14.391+7.0875+8.019+6.777+13.5945+8.7075+8.0325+15.822+8.4375+11.016+18.306+8.019+5.724+14.4855+6.2505+6.3855+7.317+7.6275+11.7045+12.447+7.479</f>
        <v>245.268</v>
      </c>
      <c r="H10" s="10"/>
      <c r="I10" s="10">
        <f>G10/(G3*0.1865)</f>
        <v>4.42797952717524</v>
      </c>
      <c r="J10" s="18" t="s">
        <v>23</v>
      </c>
      <c r="K10" s="20">
        <f>0+0+0.338045+0.55572+0+0+0+0+0+0+0+0+0.279136+0.265826+0.477438+0.486087+0.236313+0.23904+0+0+0.286347+0.280189+0+0+1.052051+0+0+0.626733+0</f>
        <v>5.122925</v>
      </c>
      <c r="L10" s="10"/>
      <c r="M10" s="10">
        <f>C9*L9/100</f>
        <v>0</v>
      </c>
    </row>
    <row r="11" s="1" customFormat="1" ht="25" customHeight="1" spans="1:13">
      <c r="A11" s="7">
        <v>6</v>
      </c>
      <c r="B11" s="8" t="s">
        <v>24</v>
      </c>
      <c r="C11" s="10">
        <v>13.8736</v>
      </c>
      <c r="D11" s="10">
        <v>0</v>
      </c>
      <c r="E11" s="10">
        <f t="shared" si="0"/>
        <v>13.8736</v>
      </c>
      <c r="F11" s="10" t="s">
        <v>14</v>
      </c>
      <c r="G11" s="10">
        <f>8.832+2.8336+13.1376+8.9976+0+0+0+10.9664+15.548+10.1384+8.4456+13.5792+21.4176+10.488+11.7576+13.6712+15.7872+18.8232+16.8912+12.8616+14.1312+10.6352+19.1544+16.9464+9.2552+17.3144+14.168+20.7368+13.8736</f>
        <v>350.3912</v>
      </c>
      <c r="H11" s="10"/>
      <c r="I11" s="10">
        <f>G11/(G3*0.1865)</f>
        <v>6.32583565773914</v>
      </c>
      <c r="J11" s="11"/>
      <c r="K11" s="10"/>
      <c r="L11" s="10"/>
      <c r="M11" s="21"/>
    </row>
    <row r="12" s="1" customFormat="1" ht="25" customHeight="1" spans="1:13">
      <c r="A12" s="7">
        <v>7</v>
      </c>
      <c r="B12" s="8" t="s">
        <v>25</v>
      </c>
      <c r="C12" s="10">
        <v>240</v>
      </c>
      <c r="D12" s="10">
        <v>231</v>
      </c>
      <c r="E12" s="10">
        <f t="shared" si="0"/>
        <v>471</v>
      </c>
      <c r="F12" s="10"/>
      <c r="G12" s="10">
        <f>256+501+386+182+0+0+0+16+349+326+388+456+495+324+503+482+501+504+347+292+555+563+416+386+535+524+463+489+471</f>
        <v>10710</v>
      </c>
      <c r="H12" s="10">
        <f>G12*1.05</f>
        <v>11245.5</v>
      </c>
      <c r="I12" s="10"/>
      <c r="J12" s="11"/>
      <c r="K12" s="10"/>
      <c r="L12" s="10"/>
      <c r="M12" s="21"/>
    </row>
    <row r="13" s="1" customFormat="1" ht="25" customHeight="1" spans="1:13">
      <c r="A13" s="12">
        <v>8</v>
      </c>
      <c r="B13" s="8" t="s">
        <v>26</v>
      </c>
      <c r="C13" s="10">
        <v>234</v>
      </c>
      <c r="D13" s="10">
        <v>187</v>
      </c>
      <c r="E13" s="10">
        <f t="shared" ref="E13:E21" si="1">D13+C13</f>
        <v>421</v>
      </c>
      <c r="F13" s="10" t="s">
        <v>27</v>
      </c>
      <c r="G13" s="10">
        <f>142+478+310+96+0+0+0+135+276+288+363+341+346+192+484+422+480+441+361+176+502+538+265+310+479+474+364+397+421</f>
        <v>9081</v>
      </c>
      <c r="H13" s="10"/>
      <c r="I13" s="10"/>
      <c r="J13" s="14"/>
      <c r="K13" s="10"/>
      <c r="L13" s="10"/>
      <c r="M13" s="10"/>
    </row>
    <row r="14" s="1" customFormat="1" ht="25" customHeight="1" spans="1:13">
      <c r="A14" s="7">
        <v>9</v>
      </c>
      <c r="B14" s="8" t="s">
        <v>28</v>
      </c>
      <c r="C14" s="10">
        <v>459.69</v>
      </c>
      <c r="D14" s="10">
        <v>475.03</v>
      </c>
      <c r="E14" s="10">
        <f t="shared" si="1"/>
        <v>934.72</v>
      </c>
      <c r="F14" s="10" t="s">
        <v>27</v>
      </c>
      <c r="G14" s="10">
        <f>852.63+765.27+628.63+67.84+0+0+0+622.22+656.54+537.49+673.12+867.1+934.38+903.03+987.12+946.88+983.47+991.65+722.87+792.72+949.34+855+769.32+784.56+950.84+945.69+1010.5+979.34+934.72</f>
        <v>21112.27</v>
      </c>
      <c r="H14" s="10"/>
      <c r="I14" s="10"/>
      <c r="J14" s="18" t="s">
        <v>29</v>
      </c>
      <c r="K14" s="10">
        <v>3.1</v>
      </c>
      <c r="L14" s="10">
        <v>2.95</v>
      </c>
      <c r="M14" s="10"/>
    </row>
    <row r="15" s="1" customFormat="1" ht="25" customHeight="1" spans="1:13">
      <c r="A15" s="7">
        <v>10</v>
      </c>
      <c r="B15" s="8" t="s">
        <v>32</v>
      </c>
      <c r="C15" s="10">
        <v>18</v>
      </c>
      <c r="D15" s="10">
        <v>15</v>
      </c>
      <c r="E15" s="10">
        <f t="shared" si="1"/>
        <v>33</v>
      </c>
      <c r="F15" s="10" t="s">
        <v>14</v>
      </c>
      <c r="G15" s="10">
        <f>6+42+24+0+0+0+0+24+18+24+24+30+27+15+33+36+39+33+27+13+39+45+21+21+39+39+27+30+33</f>
        <v>709</v>
      </c>
      <c r="H15" s="10"/>
      <c r="I15" s="10">
        <f>G15/(G3*0.1865)</f>
        <v>12.8000288858198</v>
      </c>
      <c r="J15" s="18" t="s">
        <v>31</v>
      </c>
      <c r="K15" s="20">
        <f>2.4676132+2.4190333+2.1010637+0.22048+0+0+0+1.9197875+1.9348016+1.6144511+1.7938333+2.565604+2.867483+2.7733777+3.316842+3.1664201+3.6051183+3.2329205+2.3489953+2.7741398+3.124321+2.904358+2.5606806+2.5611311+3.0049356+3.0776398+3.2816826+2.9322526+2.8263775</f>
        <v>67.3953432</v>
      </c>
      <c r="L15" s="10"/>
      <c r="M15" s="10">
        <f>(C14*K14+L14*D14)/1000</f>
        <v>2.8263775</v>
      </c>
    </row>
    <row r="16" s="1" customFormat="1" ht="25" customHeight="1" spans="1:13">
      <c r="A16" s="7">
        <v>11</v>
      </c>
      <c r="B16" s="8" t="s">
        <v>33</v>
      </c>
      <c r="C16" s="7">
        <v>0</v>
      </c>
      <c r="D16" s="7">
        <v>0</v>
      </c>
      <c r="E16" s="10">
        <f t="shared" si="1"/>
        <v>0</v>
      </c>
      <c r="F16" s="10" t="s">
        <v>14</v>
      </c>
      <c r="G16" s="10">
        <f>0.1+0+0+0+0+0+0+0+0+0+0+0.0875+0.0375+0.1125+0+0+0+0+0.0875+0+0+0.15+0.0875+0+0+0.075+0.075+0</f>
        <v>0.8125</v>
      </c>
      <c r="H16" s="22"/>
      <c r="I16" s="22"/>
      <c r="J16" s="11"/>
      <c r="K16" s="22"/>
      <c r="L16" s="22"/>
      <c r="M16" s="10"/>
    </row>
    <row r="17" s="1" customFormat="1" ht="25" customHeight="1" spans="1:13">
      <c r="A17" s="12">
        <v>12</v>
      </c>
      <c r="B17" s="8" t="s">
        <v>34</v>
      </c>
      <c r="C17" s="10">
        <v>0</v>
      </c>
      <c r="D17" s="7">
        <v>0</v>
      </c>
      <c r="E17" s="10">
        <f t="shared" si="1"/>
        <v>0</v>
      </c>
      <c r="F17" s="10" t="s">
        <v>14</v>
      </c>
      <c r="G17" s="10">
        <f>0+2+0+2+0+0+0+0+2+0+0+2+2+0+2+0+2+0+2+0+2+0+2+0+2+0+2+2+0</f>
        <v>26</v>
      </c>
      <c r="H17" s="22"/>
      <c r="I17" s="22">
        <f>G17/(G3*0.1865)</f>
        <v>0.469394571271247</v>
      </c>
      <c r="J17" s="11"/>
      <c r="K17" s="22"/>
      <c r="L17" s="22"/>
      <c r="M17" s="10"/>
    </row>
    <row r="18" s="1" customFormat="1" ht="25" customHeight="1" spans="1:13">
      <c r="A18" s="7">
        <v>13</v>
      </c>
      <c r="B18" s="8" t="s">
        <v>35</v>
      </c>
      <c r="C18" s="10">
        <v>0</v>
      </c>
      <c r="D18" s="7">
        <v>0</v>
      </c>
      <c r="E18" s="10">
        <f t="shared" si="1"/>
        <v>0</v>
      </c>
      <c r="F18" s="10" t="s">
        <v>14</v>
      </c>
      <c r="G18" s="10">
        <f>0+1.5+0+1.5+0+0+0+0+1.5+0+0+1.5+1.5+0+1.5+0+1.5+0+1.5+0+1.5+0+1.5+0+1.5+1+2+2+0</f>
        <v>21.5</v>
      </c>
      <c r="H18" s="22"/>
      <c r="I18" s="22">
        <f>G18/(G3*0.1865)</f>
        <v>0.388153203166608</v>
      </c>
      <c r="J18" s="11"/>
      <c r="K18" s="22"/>
      <c r="L18" s="22"/>
      <c r="M18" s="10"/>
    </row>
    <row r="19" s="1" customFormat="1" ht="25" customHeight="1" spans="1:13">
      <c r="A19" s="7">
        <v>14</v>
      </c>
      <c r="B19" s="8" t="s">
        <v>36</v>
      </c>
      <c r="C19" s="10">
        <v>9</v>
      </c>
      <c r="D19" s="7">
        <v>2</v>
      </c>
      <c r="E19" s="10">
        <f t="shared" si="1"/>
        <v>11</v>
      </c>
      <c r="F19" s="10" t="s">
        <v>37</v>
      </c>
      <c r="G19" s="10">
        <f>12+0+9+0+0+0+0+10+5+3+5+5+6+10+4+9+3+7+0+13+0+7+15+8+7+4+9+10+11</f>
        <v>172</v>
      </c>
      <c r="H19" s="22"/>
      <c r="I19" s="22"/>
      <c r="J19" s="11"/>
      <c r="K19" s="22"/>
      <c r="L19" s="22"/>
      <c r="M19" s="10"/>
    </row>
    <row r="20" s="1" customFormat="1" ht="25" customHeight="1" spans="1:13">
      <c r="A20" s="7">
        <v>15</v>
      </c>
      <c r="B20" s="8" t="s">
        <v>39</v>
      </c>
      <c r="C20" s="7">
        <v>591</v>
      </c>
      <c r="D20" s="7">
        <v>546</v>
      </c>
      <c r="E20" s="10">
        <f t="shared" si="1"/>
        <v>1137</v>
      </c>
      <c r="F20" s="10" t="s">
        <v>27</v>
      </c>
      <c r="G20" s="10">
        <f>1304+1347+838+28+0+0+0+605+1367+931+1037+1080+1094+841+1210+1155+1143+1269+444+1388+1310+1212+1056+876+1171+1094+1127+1178+1137</f>
        <v>27242</v>
      </c>
      <c r="H20" s="23"/>
      <c r="I20" s="10">
        <f>E20/M20</f>
        <v>47.375</v>
      </c>
      <c r="J20" s="18" t="s">
        <v>87</v>
      </c>
      <c r="K20" s="10">
        <f>23.5+24+13.5+0+0+0+0+9+24+16+20+24+24+15.5+24+24+24+24+6+24+24+24+24+19+24+24+24+24+24</f>
        <v>530.5</v>
      </c>
      <c r="L20" s="10">
        <f>G20/K20</f>
        <v>51.3515551366635</v>
      </c>
      <c r="M20" s="10">
        <v>24</v>
      </c>
    </row>
    <row r="21" s="1" customFormat="1" ht="25" customHeight="1" spans="1:13">
      <c r="A21" s="12">
        <v>16</v>
      </c>
      <c r="B21" s="8" t="s">
        <v>41</v>
      </c>
      <c r="C21" s="7">
        <v>774</v>
      </c>
      <c r="D21" s="7">
        <v>709</v>
      </c>
      <c r="E21" s="10">
        <f t="shared" si="1"/>
        <v>1483</v>
      </c>
      <c r="F21" s="10" t="s">
        <v>27</v>
      </c>
      <c r="G21" s="10">
        <f>1466+1706+934+1+0+0+0+774+1606+1121+1327+1431+1457+988+1532+1462+1489+1610+615+1565+1628+1585+1265+1109+1574+1502+1446+1553+1483</f>
        <v>34229</v>
      </c>
      <c r="H21" s="22"/>
      <c r="I21" s="10">
        <f>E21/M20</f>
        <v>61.7916666666667</v>
      </c>
      <c r="J21" s="11"/>
      <c r="K21" s="22"/>
      <c r="L21" s="22"/>
      <c r="M21" s="10"/>
    </row>
    <row r="22" s="1" customFormat="1" ht="25" customHeight="1" spans="1:13">
      <c r="A22" s="7">
        <v>17</v>
      </c>
      <c r="B22" s="8" t="s">
        <v>42</v>
      </c>
      <c r="C22" s="12">
        <v>31.31</v>
      </c>
      <c r="D22" s="12">
        <v>29.29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3">
      <c r="A23" s="7">
        <v>18</v>
      </c>
      <c r="B23" s="26" t="s">
        <v>44</v>
      </c>
      <c r="C23" s="27" t="s">
        <v>143</v>
      </c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3">
      <c r="A24" s="7">
        <v>19</v>
      </c>
      <c r="B24" s="31" t="s">
        <v>46</v>
      </c>
      <c r="C24" s="27" t="s">
        <v>144</v>
      </c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3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3">
      <c r="C26" s="33"/>
      <c r="D26" s="33"/>
      <c r="J26" s="34"/>
    </row>
    <row r="27" s="1" customFormat="1" ht="45" customHeight="1" spans="1:13">
      <c r="A27" s="5" t="s">
        <v>145</v>
      </c>
    </row>
    <row r="28" s="1" customFormat="1" ht="30" customHeight="1" spans="1:13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3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0+0+0+0+0+0+0+0+0+0+0+0+0+0+0+0+0+0+0+0+0+0+0+0+0+0+0+0+0</f>
        <v>0</v>
      </c>
      <c r="H29" s="10"/>
      <c r="I29" s="10"/>
      <c r="J29" s="11"/>
      <c r="K29" s="22"/>
      <c r="L29" s="22"/>
      <c r="M29" s="10"/>
    </row>
    <row r="30" s="1" customFormat="1" ht="25" customHeight="1" spans="1:13">
      <c r="A30" s="7">
        <v>2</v>
      </c>
      <c r="B30" s="8" t="s">
        <v>54</v>
      </c>
      <c r="C30" s="10">
        <v>8.31</v>
      </c>
      <c r="D30" s="10">
        <v>8.31</v>
      </c>
      <c r="E30" s="10">
        <f t="shared" si="2"/>
        <v>16.62</v>
      </c>
      <c r="F30" s="10" t="s">
        <v>27</v>
      </c>
      <c r="G30" s="10">
        <f>16.54+16.48+16.51+8.25+0+0+0+0+0+0+8.28+14.61+0+17.12+16.72+17+8.45+8.39+0+16.75+16.6+16.59+8.34+0+16.66+17.25+16.68+16.72+16.62</f>
        <v>290.56</v>
      </c>
      <c r="H30" s="10"/>
      <c r="I30" s="10"/>
      <c r="J30" s="11"/>
      <c r="K30" s="22"/>
      <c r="L30" s="22"/>
      <c r="M30" s="21"/>
    </row>
    <row r="31" s="1" customFormat="1" ht="25" customHeight="1" spans="1:13">
      <c r="A31" s="7">
        <v>3</v>
      </c>
      <c r="B31" s="8" t="s">
        <v>55</v>
      </c>
      <c r="C31" s="10">
        <v>11</v>
      </c>
      <c r="D31" s="10">
        <v>11</v>
      </c>
      <c r="E31" s="10">
        <f t="shared" si="2"/>
        <v>22</v>
      </c>
      <c r="F31" s="10" t="s">
        <v>27</v>
      </c>
      <c r="G31" s="10">
        <f>27+20+43+14+0+0+0+76+25+12+28+14+23+24+23+26+20+31+12+22+25+25+27+27+41.33+12+22+33+22</f>
        <v>674.33</v>
      </c>
      <c r="H31" s="10"/>
      <c r="I31" s="10"/>
      <c r="J31" s="11"/>
      <c r="K31" s="22"/>
      <c r="L31" s="22"/>
      <c r="M31" s="21"/>
    </row>
    <row r="32" s="1" customFormat="1" ht="25" customHeight="1" spans="1:13">
      <c r="A32" s="7">
        <v>4</v>
      </c>
      <c r="B32" s="8" t="s">
        <v>22</v>
      </c>
      <c r="C32" s="10">
        <v>7.4115</v>
      </c>
      <c r="D32" s="10">
        <v>0</v>
      </c>
      <c r="E32" s="10">
        <f t="shared" si="2"/>
        <v>7.4115</v>
      </c>
      <c r="F32" s="10" t="s">
        <v>14</v>
      </c>
      <c r="G32" s="10">
        <f>0+10.3545+7.7625+8.154+0+0+0+0+0+0+0+0+11.8125+0+7.344+8.1945+8.559+0+0+8.0595+7.83+9.4635+8.667+0+0+8.505+9.504+9.2745+7.4115</f>
        <v>130.896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309</v>
      </c>
      <c r="D34" s="10">
        <v>307</v>
      </c>
      <c r="E34" s="10">
        <f t="shared" si="2"/>
        <v>616</v>
      </c>
      <c r="F34" s="10" t="s">
        <v>27</v>
      </c>
      <c r="G34" s="10">
        <f>0+6+0+0+0+0+0+19+2+51+0+0+8+279+379+365+238+500+630+625+610+574+561+560+565+584+607+636+616</f>
        <v>8415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448</v>
      </c>
      <c r="D35" s="10">
        <v>457</v>
      </c>
      <c r="E35" s="10">
        <f t="shared" si="2"/>
        <v>905</v>
      </c>
      <c r="F35" s="10" t="s">
        <v>27</v>
      </c>
      <c r="G35" s="10">
        <f>599+599+554+284+0+0+0+589+627+644+651+638+681+553+569+557+811+955+728+753+846+942+878+837+860+803+712+833+905</f>
        <v>18408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0+0+0+0+0+0+0+0+0+0+0+0+0+0+0+0+0+0+0+0+0+0+0+0+0+0+0+0+0</f>
        <v>0</v>
      </c>
      <c r="H36" s="22"/>
      <c r="I36" s="7">
        <v>502.5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0+0+0+0+0+0+0+0+0+0+0+0+0+0+0+0+0+0+0+0+0+0+0+0+0+0+0+0+0</f>
        <v>0</v>
      </c>
      <c r="H37" s="22"/>
      <c r="I37" s="7">
        <v>143.319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3</v>
      </c>
      <c r="D38" s="7">
        <v>0</v>
      </c>
      <c r="E38" s="10">
        <f>D38+C38</f>
        <v>3</v>
      </c>
      <c r="F38" s="10" t="s">
        <v>37</v>
      </c>
      <c r="G38" s="10">
        <f>2+3+3+2+0+0+0+0+0+0+0+3+0+4+4+3+0+2+0+3+0+2+0+0+3+2+2+0+3</f>
        <v>41</v>
      </c>
      <c r="H38" s="22"/>
      <c r="I38" s="10">
        <v>16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tabSelected="1" zoomScale="85" zoomScaleNormal="85" workbookViewId="0">
      <selection activeCell="O2" sqref="O2"/>
    </sheetView>
  </sheetViews>
  <sheetFormatPr defaultColWidth="9" defaultRowHeight="13.5"/>
  <cols>
    <col min="1" max="1" width="7" style="2" customWidth="1"/>
    <col min="2" max="2" width="26.625" style="2" customWidth="1"/>
    <col min="3" max="4" width="9.625" style="3" customWidth="1"/>
    <col min="5" max="5" width="12.625" style="2" customWidth="1"/>
    <col min="6" max="6" width="8.625" style="2" customWidth="1"/>
    <col min="7" max="9" width="12.625" style="2" customWidth="1"/>
    <col min="10" max="10" width="30.625" style="4" customWidth="1"/>
    <col min="11" max="13" width="20.625" style="2" customWidth="1"/>
    <col min="14" max="14" width="12.625" style="2" customWidth="1"/>
    <col min="15" max="15" width="12.25" style="2" customWidth="1"/>
    <col min="16" max="17" width="10.375" style="2" customWidth="1"/>
    <col min="18" max="16384" width="9" style="2" customWidth="1"/>
  </cols>
  <sheetData>
    <row r="1" s="1" customFormat="1" ht="45" customHeight="1" spans="1:16">
      <c r="A1" s="5" t="s">
        <v>146</v>
      </c>
    </row>
    <row r="2" s="1" customFormat="1" ht="30" customHeight="1" spans="1:16">
      <c r="A2" s="6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="1" customFormat="1" ht="38" customHeight="1" spans="1:16">
      <c r="A3" s="7">
        <v>1</v>
      </c>
      <c r="B3" s="8" t="s">
        <v>13</v>
      </c>
      <c r="C3" s="9">
        <v>5.5</v>
      </c>
      <c r="D3" s="9">
        <v>7</v>
      </c>
      <c r="E3" s="10">
        <f t="shared" ref="E3:E12" si="0">C3+D3</f>
        <v>12.5</v>
      </c>
      <c r="F3" s="10" t="s">
        <v>14</v>
      </c>
      <c r="G3" s="10">
        <f>2+14.5+12+6+0+0+0+1+10.5+13+9.5+11.5+14+5.5+12.5+14+15.5+15.5+14.5+4.5+14.5+19.5+9.5+8.5+16+15+12+12.5+13.5+12.5</f>
        <v>309.5</v>
      </c>
      <c r="H3" s="10">
        <v>294</v>
      </c>
      <c r="I3" s="10">
        <f>H3-G3</f>
        <v>-15.5</v>
      </c>
      <c r="J3" s="11"/>
      <c r="K3" s="10"/>
      <c r="L3" s="10"/>
      <c r="M3" s="10"/>
    </row>
    <row r="4" s="1" customFormat="1" ht="38" customHeight="1" spans="1:16">
      <c r="A4" s="12">
        <v>2</v>
      </c>
      <c r="B4" s="8" t="s">
        <v>15</v>
      </c>
      <c r="C4" s="9">
        <v>12</v>
      </c>
      <c r="D4" s="9"/>
      <c r="E4" s="10">
        <f t="shared" si="0"/>
        <v>12</v>
      </c>
      <c r="F4" s="10" t="s">
        <v>14</v>
      </c>
      <c r="G4" s="10">
        <f>14+2+14+12+6+0+0+0+0+12+12+10+12+14+4+14+14+18+12+14+6+14+22+6+10+12+18+12+14+12</f>
        <v>310</v>
      </c>
      <c r="H4" s="13"/>
      <c r="I4" s="13"/>
      <c r="J4" s="11"/>
      <c r="K4" s="10"/>
      <c r="L4" s="10"/>
      <c r="M4" s="10"/>
    </row>
    <row r="5" s="1" customFormat="1" ht="38" customHeight="1" spans="1:16">
      <c r="A5" s="12">
        <v>3</v>
      </c>
      <c r="B5" s="8" t="s">
        <v>16</v>
      </c>
      <c r="C5" s="10">
        <v>81</v>
      </c>
      <c r="D5" s="10">
        <v>79</v>
      </c>
      <c r="E5" s="10">
        <f t="shared" si="0"/>
        <v>160</v>
      </c>
      <c r="F5" s="10" t="s">
        <v>14</v>
      </c>
      <c r="G5" s="10">
        <f>0+0+0+0+0+0+0+0+0+42+185+181+182+108+158+178+174+190+46+198+161+200+172+118+167+188+180+176+165+160</f>
        <v>3329</v>
      </c>
      <c r="H5" s="10">
        <v>4346</v>
      </c>
      <c r="I5" s="10">
        <f>H5-G5-G7-G6</f>
        <v>146</v>
      </c>
      <c r="J5" s="14"/>
      <c r="K5" s="10"/>
      <c r="L5" s="10"/>
      <c r="M5" s="10"/>
    </row>
    <row r="6" s="1" customFormat="1" ht="38" customHeight="1" spans="1:16">
      <c r="A6" s="15"/>
      <c r="B6" s="8" t="s">
        <v>17</v>
      </c>
      <c r="C6" s="10">
        <v>0</v>
      </c>
      <c r="D6" s="10">
        <v>0</v>
      </c>
      <c r="E6" s="10">
        <f t="shared" si="0"/>
        <v>0</v>
      </c>
      <c r="F6" s="10" t="s">
        <v>14</v>
      </c>
      <c r="G6" s="10">
        <f>0+0+0+0+0+0+0+0+0+0+0+0+0+0+0+0+0+0+0+0+0+0+0+0+0+0+0+0+0+0</f>
        <v>0</v>
      </c>
      <c r="H6" s="15"/>
      <c r="I6" s="15"/>
      <c r="J6" s="11"/>
      <c r="K6" s="10"/>
      <c r="L6" s="10"/>
      <c r="M6" s="10"/>
    </row>
    <row r="7" s="1" customFormat="1" ht="38" customHeight="1" spans="1:16">
      <c r="A7" s="15"/>
      <c r="B7" s="8" t="s">
        <v>18</v>
      </c>
      <c r="C7" s="10">
        <v>0</v>
      </c>
      <c r="D7" s="10">
        <v>0</v>
      </c>
      <c r="E7" s="10">
        <f t="shared" si="0"/>
        <v>0</v>
      </c>
      <c r="F7" s="10" t="s">
        <v>14</v>
      </c>
      <c r="G7" s="10">
        <f>206+172+152+0+0+0+0+20+219+80+7+1+2+0+0+0+0+12+0+0+0+0+0+0+0+0+0+0+0+0</f>
        <v>871</v>
      </c>
      <c r="H7" s="15"/>
      <c r="I7" s="15"/>
      <c r="J7" s="11"/>
      <c r="K7" s="10"/>
      <c r="L7" s="10"/>
      <c r="M7" s="10"/>
    </row>
    <row r="8" s="1" customFormat="1" ht="38" customHeight="1" spans="1:16">
      <c r="A8" s="15"/>
      <c r="B8" s="8" t="s">
        <v>19</v>
      </c>
      <c r="C8" s="10">
        <v>1</v>
      </c>
      <c r="D8" s="10">
        <v>1</v>
      </c>
      <c r="E8" s="10">
        <f t="shared" si="0"/>
        <v>2</v>
      </c>
      <c r="F8" s="10" t="s">
        <v>14</v>
      </c>
      <c r="G8" s="10">
        <f>0+0+0+0+0+0+0+0+0+0+1+0+0+0+0+1+0+0+0+0+0+0+0+0+0+0+0+2+0+2</f>
        <v>6</v>
      </c>
      <c r="H8" s="16"/>
      <c r="I8" s="16"/>
      <c r="J8" s="11"/>
      <c r="K8" s="10"/>
      <c r="L8" s="10"/>
      <c r="M8" s="10"/>
    </row>
    <row r="9" s="1" customFormat="1" ht="25" customHeight="1" spans="1:16">
      <c r="A9" s="12">
        <v>4</v>
      </c>
      <c r="B9" s="17" t="s">
        <v>20</v>
      </c>
      <c r="C9" s="13">
        <v>37.43</v>
      </c>
      <c r="D9" s="13"/>
      <c r="E9" s="10">
        <f t="shared" si="0"/>
        <v>37.43</v>
      </c>
      <c r="F9" s="13" t="s">
        <v>14</v>
      </c>
      <c r="G9" s="10">
        <f>0+0+39.77+63.15+0+0+0+0+0+0+0+0+31.72+30.91+61.21+61.53+30.69+29.88+0+0+30.79+30.79+0+0+115.61+0+0+75.51+0+37.43</f>
        <v>638.99</v>
      </c>
      <c r="H9" s="13">
        <v>5.42</v>
      </c>
      <c r="I9" s="13">
        <f>H9-K10</f>
        <v>-0.0323090000000006</v>
      </c>
      <c r="J9" s="18" t="s">
        <v>21</v>
      </c>
      <c r="K9" s="13">
        <v>3</v>
      </c>
      <c r="L9" s="13">
        <v>0.88</v>
      </c>
      <c r="M9" s="19"/>
    </row>
    <row r="10" s="1" customFormat="1" ht="25" customHeight="1" spans="1:16">
      <c r="A10" s="7">
        <v>5</v>
      </c>
      <c r="B10" s="8" t="s">
        <v>22</v>
      </c>
      <c r="C10" s="10">
        <v>6.156</v>
      </c>
      <c r="D10" s="10">
        <v>1.8495</v>
      </c>
      <c r="E10" s="10">
        <f t="shared" si="0"/>
        <v>8.0055</v>
      </c>
      <c r="F10" s="10" t="s">
        <v>14</v>
      </c>
      <c r="G10" s="10">
        <f>5.265+7.938+15.8625+3.8745+0+0+0+4.698+14.391+7.0875+8.019+6.777+13.5945+8.7075+8.0325+15.822+8.4375+11.016+18.306+8.019+5.724+14.4855+6.2505+6.3855+7.317+7.6275+11.7045+12.447+7.479+8.0055</f>
        <v>253.2735</v>
      </c>
      <c r="H10" s="10"/>
      <c r="I10" s="10">
        <f>G10/(G3*0.1865)</f>
        <v>4.38783474167017</v>
      </c>
      <c r="J10" s="18" t="s">
        <v>23</v>
      </c>
      <c r="K10" s="20">
        <f>0+0+0.338045+0.55572+0+0+0+0+0+0+0+0+0.279136+0.265826+0.477438+0.486087+0.236313+0.23904+0+0+0.286347+0.280189+0+0+1.052051+0+0+0.626733+0+0.329384</f>
        <v>5.452309</v>
      </c>
      <c r="L10" s="10"/>
      <c r="M10" s="10">
        <f>C9*L9/100</f>
        <v>0.329384</v>
      </c>
    </row>
    <row r="11" s="1" customFormat="1" ht="25" customHeight="1" spans="1:16">
      <c r="A11" s="7">
        <v>6</v>
      </c>
      <c r="B11" s="8" t="s">
        <v>24</v>
      </c>
      <c r="C11" s="10">
        <v>18.5656</v>
      </c>
      <c r="D11" s="10">
        <v>0</v>
      </c>
      <c r="E11" s="10">
        <f t="shared" si="0"/>
        <v>18.5656</v>
      </c>
      <c r="F11" s="10" t="s">
        <v>14</v>
      </c>
      <c r="G11" s="10">
        <f>8.832+2.8336+13.1376+8.9976+0+0+0+10.9664+15.548+10.1384+8.4456+13.5792+21.4176+10.488+11.7576+13.6712+15.7872+18.8232+16.8912+12.8616+14.1312+10.6352+19.1544+16.9464+9.2552+17.3144+14.168+20.7368+13.8736+18.5656</f>
        <v>368.9568</v>
      </c>
      <c r="H11" s="10"/>
      <c r="I11" s="10">
        <f>G11/(G3*0.1865)</f>
        <v>6.39198915486797</v>
      </c>
      <c r="J11" s="11"/>
      <c r="K11" s="10"/>
      <c r="L11" s="10"/>
      <c r="M11" s="21"/>
    </row>
    <row r="12" s="1" customFormat="1" ht="25" customHeight="1" spans="1:16">
      <c r="A12" s="7">
        <v>7</v>
      </c>
      <c r="B12" s="8" t="s">
        <v>25</v>
      </c>
      <c r="C12" s="10">
        <v>221</v>
      </c>
      <c r="D12" s="10">
        <v>316</v>
      </c>
      <c r="E12" s="10">
        <f t="shared" si="0"/>
        <v>537</v>
      </c>
      <c r="F12" s="10"/>
      <c r="G12" s="10">
        <f>256+501+386+182+0+0+0+16+349+326+388+456+495+324+503+482+501+504+347+292+555+563+416+386+535+524+463+489+471+537</f>
        <v>11247</v>
      </c>
      <c r="H12" s="10">
        <f>G12*1.05</f>
        <v>11809.35</v>
      </c>
      <c r="I12" s="10"/>
      <c r="J12" s="11"/>
      <c r="K12" s="10"/>
      <c r="L12" s="10"/>
      <c r="M12" s="21"/>
    </row>
    <row r="13" s="1" customFormat="1" ht="25" customHeight="1" spans="1:16">
      <c r="A13" s="12">
        <v>8</v>
      </c>
      <c r="B13" s="8" t="s">
        <v>26</v>
      </c>
      <c r="C13" s="10">
        <v>165</v>
      </c>
      <c r="D13" s="10">
        <v>216</v>
      </c>
      <c r="E13" s="10">
        <f t="shared" ref="E13:E21" si="1">D13+C13</f>
        <v>381</v>
      </c>
      <c r="F13" s="10" t="s">
        <v>27</v>
      </c>
      <c r="G13" s="10">
        <f>142+478+310+96+0+0+0+135+276+288+363+341+346+192+484+422+480+441+361+176+502+538+265+310+479+474+364+397+421+381</f>
        <v>9462</v>
      </c>
      <c r="H13" s="10"/>
      <c r="I13" s="10"/>
      <c r="J13" s="14"/>
      <c r="K13" s="10"/>
      <c r="L13" s="10"/>
      <c r="M13" s="10"/>
    </row>
    <row r="14" s="1" customFormat="1" ht="25" customHeight="1" spans="1:16">
      <c r="A14" s="7">
        <v>9</v>
      </c>
      <c r="B14" s="8" t="s">
        <v>28</v>
      </c>
      <c r="C14" s="10">
        <v>421.75</v>
      </c>
      <c r="D14" s="10">
        <v>379.81</v>
      </c>
      <c r="E14" s="10">
        <f t="shared" si="1"/>
        <v>801.56</v>
      </c>
      <c r="F14" s="10" t="s">
        <v>27</v>
      </c>
      <c r="G14" s="10">
        <f>852.63+765.27+628.63+67.84+0+0+0+622.22+656.54+537.49+673.12+867.1+934.38+903.03+987.12+946.88+983.47+991.65+722.87+792.72+949.34+855+769.32+784.56+950.84+945.69+1010.5+979.34+934.72+801.56</f>
        <v>21913.83</v>
      </c>
      <c r="H14" s="10"/>
      <c r="I14" s="10"/>
      <c r="J14" s="18" t="s">
        <v>29</v>
      </c>
      <c r="K14" s="10">
        <v>3.09</v>
      </c>
      <c r="L14" s="10">
        <v>3.36</v>
      </c>
      <c r="M14" s="10"/>
    </row>
    <row r="15" s="1" customFormat="1" ht="25" customHeight="1" spans="1:16">
      <c r="A15" s="7">
        <v>10</v>
      </c>
      <c r="B15" s="8" t="s">
        <v>32</v>
      </c>
      <c r="C15" s="10">
        <v>15</v>
      </c>
      <c r="D15" s="10">
        <v>15</v>
      </c>
      <c r="E15" s="10">
        <f t="shared" si="1"/>
        <v>30</v>
      </c>
      <c r="F15" s="10" t="s">
        <v>14</v>
      </c>
      <c r="G15" s="10">
        <f>6+42+24+0+0+0+0+24+18+24+24+30+27+15+33+36+39+33+27+13+39+45+21+21+39+39+27+30+33+30</f>
        <v>739</v>
      </c>
      <c r="H15" s="10"/>
      <c r="I15" s="10">
        <f>G15/(G3*0.1865)</f>
        <v>12.8027996379181</v>
      </c>
      <c r="J15" s="18" t="s">
        <v>31</v>
      </c>
      <c r="K15" s="20">
        <f>2.4676132+2.4190333+2.1010637+0.22048+0+0+0+1.9197875+1.9348016+1.6144511+1.7938333+2.565604+2.867483+2.7733777+3.316842+3.1664201+3.6051183+3.2329205+2.3489953+2.7741398+3.124321+2.904358+2.5606806+2.5611311+3.0049356+3.0776398+3.2816826+2.9322526+2.8263775+2.5793691-0.0026487</f>
        <v>69.9720636</v>
      </c>
      <c r="L15" s="10"/>
      <c r="M15" s="10">
        <f>(C14*K14+L14*D14)/1000</f>
        <v>2.5793691</v>
      </c>
      <c r="O15" s="1" t="s">
        <v>147</v>
      </c>
      <c r="P15" s="1">
        <f>(0.9-0.09)*3.27/1000</f>
        <v>0.0026487</v>
      </c>
    </row>
    <row r="16" s="1" customFormat="1" ht="25" customHeight="1" spans="1:16">
      <c r="A16" s="7">
        <v>11</v>
      </c>
      <c r="B16" s="8" t="s">
        <v>33</v>
      </c>
      <c r="C16" s="7">
        <v>0.05</v>
      </c>
      <c r="D16" s="7">
        <v>0.075</v>
      </c>
      <c r="E16" s="10">
        <f t="shared" si="1"/>
        <v>0.125</v>
      </c>
      <c r="F16" s="10" t="s">
        <v>14</v>
      </c>
      <c r="G16" s="10">
        <f>0.1+0+0+0+0+0+0+0+0+0+0+0.0875+0.0375+0.1125+0+0+0+0+0.0875+0+0+0.15+0.0875+0+0+0.075+0.075+0+0.125</f>
        <v>0.9375</v>
      </c>
      <c r="H16" s="22"/>
      <c r="I16" s="22"/>
      <c r="J16" s="11"/>
      <c r="K16" s="22"/>
      <c r="L16" s="22"/>
      <c r="M16" s="10"/>
    </row>
    <row r="17" s="1" customFormat="1" ht="25" customHeight="1" spans="1:16">
      <c r="A17" s="12">
        <v>12</v>
      </c>
      <c r="B17" s="8" t="s">
        <v>34</v>
      </c>
      <c r="C17" s="10">
        <v>2</v>
      </c>
      <c r="D17" s="7">
        <v>0</v>
      </c>
      <c r="E17" s="10">
        <f t="shared" si="1"/>
        <v>2</v>
      </c>
      <c r="F17" s="10" t="s">
        <v>14</v>
      </c>
      <c r="G17" s="10">
        <f>0+2+0+2+0+0+0+0+2+0+0+2+2+0+2+0+2+0+2+0+2+0+2+0+2+0+2+2+0+2</f>
        <v>28</v>
      </c>
      <c r="H17" s="22"/>
      <c r="I17" s="22">
        <f>G17/(G3*0.1865)</f>
        <v>0.485085777891349</v>
      </c>
      <c r="J17" s="11"/>
      <c r="K17" s="22"/>
      <c r="L17" s="22"/>
      <c r="M17" s="10"/>
    </row>
    <row r="18" s="1" customFormat="1" ht="25" customHeight="1" spans="1:16">
      <c r="A18" s="7">
        <v>13</v>
      </c>
      <c r="B18" s="8" t="s">
        <v>35</v>
      </c>
      <c r="C18" s="10">
        <v>2</v>
      </c>
      <c r="D18" s="7">
        <v>0</v>
      </c>
      <c r="E18" s="10">
        <f t="shared" si="1"/>
        <v>2</v>
      </c>
      <c r="F18" s="10" t="s">
        <v>14</v>
      </c>
      <c r="G18" s="10">
        <f>0+1.5+0+1.5+0+0+0+0+1.5+0+0+1.5+1.5+0+1.5+0+1.5+0+1.5+0+1.5+0+1.5+0+1.5+1+2+2+0+2</f>
        <v>23.5</v>
      </c>
      <c r="H18" s="22"/>
      <c r="I18" s="22">
        <f>G18/(G3*0.1865)</f>
        <v>0.407125563587383</v>
      </c>
      <c r="J18" s="11"/>
      <c r="K18" s="22"/>
      <c r="L18" s="22"/>
      <c r="M18" s="10"/>
    </row>
    <row r="19" s="1" customFormat="1" ht="25" customHeight="1" spans="1:16">
      <c r="A19" s="7">
        <v>14</v>
      </c>
      <c r="B19" s="8" t="s">
        <v>36</v>
      </c>
      <c r="C19" s="10">
        <v>8</v>
      </c>
      <c r="D19" s="7">
        <v>2</v>
      </c>
      <c r="E19" s="10">
        <f t="shared" si="1"/>
        <v>10</v>
      </c>
      <c r="F19" s="10" t="s">
        <v>37</v>
      </c>
      <c r="G19" s="10">
        <f>12+0+9+0+0+0+0+10+5+3+5+5+6+10+4+9+3+7+0+13+0+7+15+8+7+4+9+10+11+10</f>
        <v>182</v>
      </c>
      <c r="H19" s="22"/>
      <c r="I19" s="22"/>
      <c r="J19" s="11"/>
      <c r="K19" s="22"/>
      <c r="L19" s="22"/>
      <c r="M19" s="10"/>
    </row>
    <row r="20" s="1" customFormat="1" ht="25" customHeight="1" spans="1:16">
      <c r="A20" s="7">
        <v>15</v>
      </c>
      <c r="B20" s="8" t="s">
        <v>39</v>
      </c>
      <c r="C20" s="7">
        <v>532</v>
      </c>
      <c r="D20" s="7">
        <v>521</v>
      </c>
      <c r="E20" s="10">
        <f t="shared" si="1"/>
        <v>1053</v>
      </c>
      <c r="F20" s="10" t="s">
        <v>27</v>
      </c>
      <c r="G20" s="10">
        <f>1304+1347+838+28+0+0+0+605+1367+931+1037+1080+1094+841+1210+1155+1143+1269+444+1388+1310+1212+1056+876+1171+1094+1127+1178+1137+1053</f>
        <v>28295</v>
      </c>
      <c r="H20" s="23"/>
      <c r="I20" s="10">
        <f>E20/M20</f>
        <v>43.875</v>
      </c>
      <c r="J20" s="18" t="s">
        <v>87</v>
      </c>
      <c r="K20" s="10">
        <f>23.5+24+13.5+0+0+0+0+9+24+16+20+24+24+15.5+24+24+24+24+6+24+24+24+24+19+24+24+24+24+24+24</f>
        <v>554.5</v>
      </c>
      <c r="L20" s="10">
        <f>G20/K20</f>
        <v>51.0279531109107</v>
      </c>
      <c r="M20" s="10">
        <v>24</v>
      </c>
    </row>
    <row r="21" s="1" customFormat="1" ht="25" customHeight="1" spans="1:16">
      <c r="A21" s="12">
        <v>16</v>
      </c>
      <c r="B21" s="8" t="s">
        <v>41</v>
      </c>
      <c r="C21" s="7">
        <v>685</v>
      </c>
      <c r="D21" s="7">
        <v>631</v>
      </c>
      <c r="E21" s="10">
        <f t="shared" si="1"/>
        <v>1316</v>
      </c>
      <c r="F21" s="10" t="s">
        <v>27</v>
      </c>
      <c r="G21" s="10">
        <f>1466+1706+934+1+0+0+0+774+1606+1121+1327+1431+1457+988+1532+1462+1489+1610+615+1565+1628+1585+1265+1109+1574+1502+1446+1553+1483+1316</f>
        <v>35545</v>
      </c>
      <c r="H21" s="22"/>
      <c r="I21" s="10">
        <f>E21/M20</f>
        <v>54.8333333333333</v>
      </c>
      <c r="J21" s="11"/>
      <c r="K21" s="22"/>
      <c r="L21" s="22"/>
      <c r="M21" s="10"/>
    </row>
    <row r="22" s="1" customFormat="1" ht="25" customHeight="1" spans="1:16">
      <c r="A22" s="7">
        <v>17</v>
      </c>
      <c r="B22" s="8" t="s">
        <v>42</v>
      </c>
      <c r="C22" s="12">
        <v>30.91</v>
      </c>
      <c r="D22" s="12">
        <v>29.29</v>
      </c>
      <c r="E22" s="13"/>
      <c r="F22" s="13" t="s">
        <v>43</v>
      </c>
      <c r="G22" s="13"/>
      <c r="H22" s="24"/>
      <c r="I22" s="24"/>
      <c r="J22" s="25"/>
      <c r="K22" s="24"/>
      <c r="L22" s="24"/>
      <c r="M22" s="10"/>
    </row>
    <row r="23" s="1" customFormat="1" ht="80" customHeight="1" spans="1:16">
      <c r="A23" s="7">
        <v>18</v>
      </c>
      <c r="B23" s="26" t="s">
        <v>44</v>
      </c>
      <c r="C23" s="27" t="s">
        <v>143</v>
      </c>
      <c r="D23" s="28"/>
      <c r="E23" s="28"/>
      <c r="F23" s="28"/>
      <c r="G23" s="28"/>
      <c r="H23" s="28"/>
      <c r="I23" s="28"/>
      <c r="J23" s="28"/>
      <c r="K23" s="28"/>
      <c r="L23" s="29"/>
      <c r="M23" s="30"/>
    </row>
    <row r="24" s="1" customFormat="1" ht="120" customHeight="1" spans="1:16">
      <c r="A24" s="7">
        <v>19</v>
      </c>
      <c r="B24" s="31" t="s">
        <v>46</v>
      </c>
      <c r="C24" s="27" t="s">
        <v>148</v>
      </c>
      <c r="D24" s="28"/>
      <c r="E24" s="28"/>
      <c r="F24" s="28"/>
      <c r="G24" s="28"/>
      <c r="H24" s="28"/>
      <c r="I24" s="28"/>
      <c r="J24" s="28"/>
      <c r="K24" s="28"/>
      <c r="L24" s="29"/>
      <c r="M24" s="32"/>
    </row>
    <row r="25" s="1" customFormat="1" ht="80" customHeight="1" spans="1:16">
      <c r="A25" s="7">
        <v>20</v>
      </c>
      <c r="B25" s="31" t="s">
        <v>48</v>
      </c>
      <c r="C25" s="27" t="s">
        <v>49</v>
      </c>
      <c r="D25" s="28"/>
      <c r="E25" s="28"/>
      <c r="F25" s="28"/>
      <c r="G25" s="28"/>
      <c r="H25" s="28"/>
      <c r="I25" s="28"/>
      <c r="J25" s="28"/>
      <c r="K25" s="28"/>
      <c r="L25" s="29"/>
      <c r="M25" s="30"/>
    </row>
    <row r="26" s="1" customFormat="1" ht="14" customHeight="1" spans="1:16">
      <c r="C26" s="33"/>
      <c r="D26" s="33"/>
      <c r="J26" s="34"/>
    </row>
    <row r="27" s="1" customFormat="1" ht="45" customHeight="1" spans="1:16">
      <c r="A27" s="5" t="s">
        <v>149</v>
      </c>
    </row>
    <row r="28" s="1" customFormat="1" ht="30" customHeight="1" spans="1:16">
      <c r="A28" s="6" t="s">
        <v>51</v>
      </c>
      <c r="B28" s="6" t="s">
        <v>52</v>
      </c>
      <c r="C28" s="6" t="s">
        <v>2</v>
      </c>
      <c r="D28" s="6" t="s">
        <v>3</v>
      </c>
      <c r="E28" s="6" t="s">
        <v>4</v>
      </c>
      <c r="F28" s="6" t="s">
        <v>5</v>
      </c>
      <c r="G28" s="6" t="s">
        <v>6</v>
      </c>
      <c r="H28" s="6" t="s">
        <v>7</v>
      </c>
      <c r="I28" s="6" t="s">
        <v>8</v>
      </c>
      <c r="J28" s="6" t="s">
        <v>9</v>
      </c>
      <c r="K28" s="6" t="s">
        <v>10</v>
      </c>
      <c r="L28" s="6" t="s">
        <v>11</v>
      </c>
      <c r="M28" s="6" t="s">
        <v>12</v>
      </c>
    </row>
    <row r="29" s="1" customFormat="1" ht="25" customHeight="1" spans="1:16">
      <c r="A29" s="7">
        <v>1</v>
      </c>
      <c r="B29" s="8" t="s">
        <v>53</v>
      </c>
      <c r="C29" s="10">
        <v>0</v>
      </c>
      <c r="D29" s="10">
        <v>0</v>
      </c>
      <c r="E29" s="10">
        <f t="shared" ref="E29:E35" si="2">D29+C29</f>
        <v>0</v>
      </c>
      <c r="F29" s="10" t="s">
        <v>27</v>
      </c>
      <c r="G29" s="10">
        <f>0+0+0+0+0+0+0+0+0+0+0+0+0+0+0+0+0+0+0+0+0+0+0+0+0+0+0+0+0+0+20.33</f>
        <v>20.33</v>
      </c>
      <c r="H29" s="10"/>
      <c r="I29" s="10"/>
      <c r="J29" s="11"/>
      <c r="K29" s="22"/>
      <c r="L29" s="22"/>
      <c r="M29" s="10"/>
      <c r="O29" s="1" t="s">
        <v>150</v>
      </c>
      <c r="P29" s="1">
        <v>20.33</v>
      </c>
    </row>
    <row r="30" s="1" customFormat="1" ht="25" customHeight="1" spans="1:16">
      <c r="A30" s="7">
        <v>2</v>
      </c>
      <c r="B30" s="8" t="s">
        <v>54</v>
      </c>
      <c r="C30" s="10">
        <v>8.34</v>
      </c>
      <c r="D30" s="10">
        <v>8.32</v>
      </c>
      <c r="E30" s="10">
        <f t="shared" si="2"/>
        <v>16.66</v>
      </c>
      <c r="F30" s="10" t="s">
        <v>27</v>
      </c>
      <c r="G30" s="10">
        <f>16.54+16.48+16.51+8.25+0+0+0+0+0+0+8.28+14.61+0+17.12+16.72+17+8.45+8.39+0+16.75+16.6+16.59+8.34+0+16.66+17.25+16.68+16.72+16.62+16.66</f>
        <v>307.22</v>
      </c>
      <c r="H30" s="10"/>
      <c r="I30" s="10"/>
      <c r="J30" s="11"/>
      <c r="K30" s="22"/>
      <c r="L30" s="22"/>
      <c r="M30" s="21"/>
    </row>
    <row r="31" s="1" customFormat="1" ht="25" customHeight="1" spans="1:16">
      <c r="A31" s="7">
        <v>3</v>
      </c>
      <c r="B31" s="8" t="s">
        <v>55</v>
      </c>
      <c r="C31" s="10">
        <v>22</v>
      </c>
      <c r="D31" s="10">
        <v>10</v>
      </c>
      <c r="E31" s="10">
        <f t="shared" si="2"/>
        <v>32</v>
      </c>
      <c r="F31" s="10" t="s">
        <v>27</v>
      </c>
      <c r="G31" s="10">
        <f>27+20+43+14+0+0+0+76+25+12+28+14+23+24+23+26+20+31+12+22+25+25+27+27+41.33+12+22+33+22+32</f>
        <v>706.33</v>
      </c>
      <c r="H31" s="10"/>
      <c r="I31" s="10"/>
      <c r="J31" s="11"/>
      <c r="K31" s="22"/>
      <c r="L31" s="22"/>
      <c r="M31" s="21"/>
    </row>
    <row r="32" s="1" customFormat="1" ht="25" customHeight="1" spans="1:16">
      <c r="A32" s="7">
        <v>4</v>
      </c>
      <c r="B32" s="8" t="s">
        <v>22</v>
      </c>
      <c r="C32" s="10">
        <v>11.151</v>
      </c>
      <c r="D32" s="10">
        <v>0</v>
      </c>
      <c r="E32" s="10">
        <f t="shared" si="2"/>
        <v>11.151</v>
      </c>
      <c r="F32" s="10" t="s">
        <v>14</v>
      </c>
      <c r="G32" s="10">
        <f>0+10.3545+7.7625+8.154+0+0+0+0+0+0+0+0+11.8125+0+7.344+8.1945+8.559+0+0+8.0595+7.83+9.4635+8.667+0+0+8.505+9.504+9.2745+7.4115+11.151</f>
        <v>142.047</v>
      </c>
      <c r="H32" s="10"/>
      <c r="J32" s="11"/>
      <c r="K32" s="22"/>
      <c r="L32" s="22"/>
      <c r="M32" s="22"/>
    </row>
    <row r="33" s="1" customFormat="1" ht="25" customHeight="1" spans="1:13">
      <c r="A33" s="7">
        <v>5</v>
      </c>
      <c r="B33" s="8" t="s">
        <v>24</v>
      </c>
      <c r="C33" s="10">
        <v>0</v>
      </c>
      <c r="D33" s="10">
        <v>0</v>
      </c>
      <c r="E33" s="10">
        <f t="shared" si="2"/>
        <v>0</v>
      </c>
      <c r="F33" s="10" t="s">
        <v>14</v>
      </c>
      <c r="G33" s="10">
        <f>0+0+0+0+0+0+0+0+0+0+0+0+0+0+0+0+0+0+0+0+0+0+0+0+0+0+0+0+0+0</f>
        <v>0</v>
      </c>
      <c r="H33" s="10"/>
      <c r="I33" s="10"/>
      <c r="J33" s="14"/>
      <c r="K33" s="22"/>
      <c r="L33" s="22"/>
      <c r="M33" s="22"/>
    </row>
    <row r="34" s="1" customFormat="1" ht="25" customHeight="1" spans="1:13">
      <c r="A34" s="7">
        <v>6</v>
      </c>
      <c r="B34" s="8" t="s">
        <v>57</v>
      </c>
      <c r="C34" s="10">
        <v>305</v>
      </c>
      <c r="D34" s="10">
        <v>307</v>
      </c>
      <c r="E34" s="10">
        <f t="shared" si="2"/>
        <v>612</v>
      </c>
      <c r="F34" s="10" t="s">
        <v>27</v>
      </c>
      <c r="G34" s="10">
        <f>0+6+0+0+0+0+0+19+2+51+0+0+8+279+379+365+238+500+630+625+610+574+561+560+565+584+607+636+616+612</f>
        <v>9027</v>
      </c>
      <c r="H34" s="10"/>
      <c r="I34" s="10"/>
      <c r="J34" s="35"/>
      <c r="K34" s="22"/>
      <c r="L34" s="10"/>
      <c r="M34" s="22"/>
    </row>
    <row r="35" s="1" customFormat="1" ht="25" customHeight="1" spans="1:13">
      <c r="A35" s="7">
        <v>7</v>
      </c>
      <c r="B35" s="8" t="s">
        <v>58</v>
      </c>
      <c r="C35" s="10">
        <v>461</v>
      </c>
      <c r="D35" s="10">
        <v>457</v>
      </c>
      <c r="E35" s="10">
        <f t="shared" si="2"/>
        <v>918</v>
      </c>
      <c r="F35" s="10" t="s">
        <v>27</v>
      </c>
      <c r="G35" s="10">
        <f>599+599+554+284+0+0+0+589+627+644+651+638+681+553+569+557+811+955+728+753+846+942+878+837+860+803+712+833+905+918</f>
        <v>19326</v>
      </c>
      <c r="H35" s="10"/>
      <c r="I35" s="10"/>
      <c r="J35" s="36"/>
      <c r="K35" s="22"/>
      <c r="L35" s="10"/>
      <c r="M35" s="22"/>
    </row>
    <row r="36" s="1" customFormat="1" ht="25" customHeight="1" spans="1:13">
      <c r="A36" s="7">
        <v>8</v>
      </c>
      <c r="B36" s="8" t="s">
        <v>60</v>
      </c>
      <c r="C36" s="10">
        <v>0</v>
      </c>
      <c r="D36" s="10">
        <v>0</v>
      </c>
      <c r="E36" s="10">
        <f>C36+D36</f>
        <v>0</v>
      </c>
      <c r="F36" s="10" t="s">
        <v>27</v>
      </c>
      <c r="G36" s="10">
        <f>0+0+0+0+0+0+0+0+0+0+0+0+0+0+0+0+0+0+0+0+0+0+0+0+0+0+0+0+0+0</f>
        <v>0</v>
      </c>
      <c r="H36" s="22"/>
      <c r="I36" s="7">
        <v>472.5</v>
      </c>
      <c r="J36" s="14"/>
      <c r="K36" s="37"/>
      <c r="L36" s="27"/>
      <c r="M36" s="38"/>
    </row>
    <row r="37" s="1" customFormat="1" ht="25" customHeight="1" spans="1:13">
      <c r="A37" s="7">
        <v>9</v>
      </c>
      <c r="B37" s="8" t="s">
        <v>61</v>
      </c>
      <c r="C37" s="10">
        <v>0</v>
      </c>
      <c r="D37" s="10">
        <v>0</v>
      </c>
      <c r="E37" s="10">
        <f>C37+D37</f>
        <v>0</v>
      </c>
      <c r="F37" s="10" t="s">
        <v>27</v>
      </c>
      <c r="G37" s="10">
        <f>0+0+0+0+0+0+0+0+0+0+0+0+0+0+0+0+0+0+0+0+0+0+0+0+0+0+0+0+0+0</f>
        <v>0</v>
      </c>
      <c r="H37" s="22"/>
      <c r="I37" s="7">
        <v>146.7934</v>
      </c>
      <c r="J37" s="35"/>
      <c r="K37" s="37"/>
      <c r="L37" s="27"/>
      <c r="M37" s="38"/>
    </row>
    <row r="38" s="1" customFormat="1" ht="25" customHeight="1" spans="1:13">
      <c r="A38" s="7">
        <v>10</v>
      </c>
      <c r="B38" s="8" t="s">
        <v>62</v>
      </c>
      <c r="C38" s="7">
        <v>0</v>
      </c>
      <c r="D38" s="7">
        <v>2</v>
      </c>
      <c r="E38" s="10">
        <f>D38+C38</f>
        <v>2</v>
      </c>
      <c r="F38" s="10" t="s">
        <v>37</v>
      </c>
      <c r="G38" s="10">
        <f>2+3+3+2+0+0+0+0+0+0+0+3+0+4+4+3+0+2+0+3+0+2+0+0+3+2+2+0+3+2</f>
        <v>43</v>
      </c>
      <c r="H38" s="22"/>
      <c r="I38" s="10">
        <v>18</v>
      </c>
      <c r="J38" s="35"/>
      <c r="K38" s="27"/>
      <c r="L38" s="27"/>
      <c r="M38" s="38"/>
    </row>
    <row r="39" s="1" customFormat="1" ht="80" customHeight="1" spans="1:13">
      <c r="A39" s="7">
        <v>11</v>
      </c>
      <c r="B39" s="39" t="s">
        <v>48</v>
      </c>
      <c r="C39" s="27" t="s">
        <v>63</v>
      </c>
      <c r="D39" s="28"/>
      <c r="E39" s="28"/>
      <c r="F39" s="28"/>
      <c r="G39" s="28"/>
      <c r="H39" s="28"/>
      <c r="I39" s="28"/>
      <c r="J39" s="28"/>
      <c r="K39" s="28"/>
      <c r="L39" s="29"/>
      <c r="M39" s="39"/>
    </row>
    <row r="47" s="1" customFormat="1" spans="1:13">
      <c r="C47" s="33"/>
      <c r="D47" s="33"/>
      <c r="J47" s="34"/>
    </row>
    <row r="48" spans="1:13">
      <c r="L48" s="1"/>
    </row>
  </sheetData>
  <mergeCells count="9">
    <mergeCell ref="A1:M1"/>
    <mergeCell ref="C23:L23"/>
    <mergeCell ref="C24:L24"/>
    <mergeCell ref="C25:L25"/>
    <mergeCell ref="A27:M27"/>
    <mergeCell ref="C39:L39"/>
    <mergeCell ref="A5:A8"/>
    <mergeCell ref="H5:H8"/>
    <mergeCell ref="I5:I8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3.31</vt:lpstr>
      <vt:lpstr>4.1</vt:lpstr>
      <vt:lpstr>4.2</vt:lpstr>
      <vt:lpstr>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</vt:lpstr>
      <vt:lpstr>4.13</vt:lpstr>
      <vt:lpstr>4.14</vt:lpstr>
      <vt:lpstr>4.15</vt:lpstr>
      <vt:lpstr>4.16</vt:lpstr>
      <vt:lpstr>4.17</vt:lpstr>
      <vt:lpstr>4.18</vt:lpstr>
      <vt:lpstr>4.19</vt:lpstr>
      <vt:lpstr>4.20</vt:lpstr>
      <vt:lpstr>4.21</vt:lpstr>
      <vt:lpstr>4.22</vt:lpstr>
      <vt:lpstr>4.23</vt:lpstr>
      <vt:lpstr>4.24</vt:lpstr>
      <vt:lpstr>4.25</vt:lpstr>
      <vt:lpstr>4.26</vt:lpstr>
      <vt:lpstr>4.27</vt:lpstr>
      <vt:lpstr>4.28</vt:lpstr>
      <vt:lpstr>4.29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103统计员陆春晓</cp:lastModifiedBy>
  <dcterms:created xsi:type="dcterms:W3CDTF">2025-12-26T07:02:00Z</dcterms:created>
  <dcterms:modified xsi:type="dcterms:W3CDTF">2026-05-04T03:40:10Z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0289B297745E4251B3674C9468FB8D1E_13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