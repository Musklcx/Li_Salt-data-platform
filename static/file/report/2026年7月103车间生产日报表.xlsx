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睿勤统计员\1_生产报表\2026\7月\"/>
    </mc:Choice>
  </mc:AlternateContent>
  <bookViews>
    <workbookView windowWidth="27945" windowHeight="12375" firstSheet="25" activeTab="30"/>
  </bookViews>
  <sheets>
    <sheet name="6.30" sheetId="1" r:id="rId1"/>
    <sheet name="7.1" sheetId="2" r:id="rId2"/>
    <sheet name="7.2" sheetId="3" r:id="rId3"/>
    <sheet name="7.3" sheetId="4" r:id="rId4"/>
    <sheet name="7.4" sheetId="5" r:id="rId5"/>
    <sheet name="7.5" sheetId="6" r:id="rId6"/>
    <sheet name="7.6" sheetId="7" r:id="rId7"/>
    <sheet name="7.7" sheetId="8" r:id="rId8"/>
    <sheet name="7.8" sheetId="9" r:id="rId9"/>
    <sheet name="7.9" sheetId="10" r:id="rId10"/>
    <sheet name="7.10" sheetId="11" r:id="rId11"/>
    <sheet name="7.11" sheetId="12" r:id="rId12"/>
    <sheet name="7.12" sheetId="13" r:id="rId13"/>
    <sheet name="7.13" sheetId="14" r:id="rId14"/>
    <sheet name="7.14" sheetId="15" r:id="rId15"/>
    <sheet name="7.15" sheetId="16" r:id="rId16"/>
    <sheet name="7.16" sheetId="17" r:id="rId17"/>
    <sheet name="7.17" sheetId="18" r:id="rId18"/>
    <sheet name="7.18" sheetId="19" r:id="rId19"/>
    <sheet name="7.19" sheetId="20" r:id="rId20"/>
    <sheet name="7.20" sheetId="21" r:id="rId21"/>
    <sheet name="7.21" sheetId="22" r:id="rId22"/>
    <sheet name="7.22" sheetId="23" r:id="rId23"/>
    <sheet name="7.23" sheetId="24" r:id="rId24"/>
    <sheet name="7.24" sheetId="25" r:id="rId25"/>
    <sheet name="7.25" sheetId="26" r:id="rId26"/>
    <sheet name="7.26" sheetId="27" r:id="rId27"/>
    <sheet name="7.27" sheetId="28" r:id="rId28"/>
    <sheet name="7.28" sheetId="29" r:id="rId29"/>
    <sheet name="7.29" sheetId="30" r:id="rId30"/>
    <sheet name="7.30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  <comment ref="I38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I40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I40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I40" authorId="1">
      <text>
        <r>
          <rPr>
            <sz val="10"/>
            <rFont val="宋体"/>
            <charset val="134"/>
          </rPr>
          <t>剩余钴渣量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sharedStrings.xml><?xml version="1.0" encoding="utf-8"?>
<sst xmlns="http://schemas.openxmlformats.org/spreadsheetml/2006/main" count="3477" uniqueCount="175">
  <si>
    <t>103车间6月30日生产情况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</si>
  <si>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</si>
  <si>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</si>
  <si>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</si>
  <si>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</si>
  <si>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</si>
  <si>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</si>
  <si>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</si>
  <si>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</si>
  <si>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</si>
  <si>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</si>
  <si>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</si>
  <si>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</si>
  <si>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</si>
  <si>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</si>
  <si>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</si>
  <si>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</si>
  <si>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</si>
  <si>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</si>
  <si>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</si>
  <si>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外售硫酸锂</t>
  </si>
  <si>
    <t>剩余硫酸锂量（吨）：</t>
  </si>
  <si>
    <t>液碱</t>
  </si>
  <si>
    <t>累计外卖硫酸锂金属量：</t>
  </si>
  <si>
    <t>硫酸</t>
  </si>
  <si>
    <t>除杂退料</t>
  </si>
  <si>
    <t>m³</t>
  </si>
  <si>
    <t>合成前液</t>
  </si>
  <si>
    <t>接102气浮除油后液</t>
  </si>
  <si>
    <t>气浮除油锂金属量：</t>
  </si>
  <si>
    <t>碳酸钠</t>
  </si>
  <si>
    <t>累计接料锂金属量：</t>
  </si>
  <si>
    <t>偏铝酸钠</t>
  </si>
  <si>
    <t>除氟剂</t>
  </si>
  <si>
    <t>活性炭</t>
  </si>
  <si>
    <t>活性炭渣</t>
  </si>
  <si>
    <t>包</t>
  </si>
  <si>
    <t>冷凝水</t>
  </si>
  <si>
    <t>蒸发累计时长\平均蒸发量：</t>
  </si>
  <si>
    <t>蒸发前液进料累计量</t>
  </si>
  <si>
    <t>二效氯离子量</t>
  </si>
  <si>
    <t>g/L</t>
  </si>
  <si>
    <t>设备维护完成情况（白班）</t>
  </si>
  <si>
    <t>104东侧室外设备管道及周边卫生</t>
  </si>
  <si>
    <t>已完成</t>
  </si>
  <si>
    <t>今日设备维护计划（白班）</t>
  </si>
  <si>
    <t>通合成前液进料管路</t>
  </si>
  <si>
    <t>设备维护完成情况（夜班）</t>
  </si>
  <si>
    <t>104室内中间设备管道及墙面卫生</t>
  </si>
  <si>
    <t>今日设备维护计划（夜班）</t>
  </si>
  <si>
    <t>处理综合池及附属泵、管道</t>
  </si>
  <si>
    <t>计划情况</t>
  </si>
  <si>
    <t>1、蒸发开机，关注蒸发量；
2、清理卫生；
3、外协施工时注意安全监护；
4、关注外排水PH、镍指标。</t>
  </si>
  <si>
    <t>需协调事项</t>
  </si>
  <si>
    <t>1、车间需确定元明粉出干料的日期。</t>
  </si>
  <si>
    <t>104车间6月30日生产情况</t>
  </si>
  <si>
    <t>序号</t>
  </si>
  <si>
    <t>内容</t>
  </si>
  <si>
    <t>接102废液</t>
  </si>
  <si>
    <t>接102返镁液</t>
  </si>
  <si>
    <t>接生活废水</t>
  </si>
  <si>
    <t>使用自来水</t>
  </si>
  <si>
    <t>外排水</t>
  </si>
  <si>
    <t>雨水池处理量</t>
  </si>
  <si>
    <t>除COD池处理量</t>
  </si>
  <si>
    <t>钴渣产出</t>
  </si>
  <si>
    <t>104剩余渣总数：</t>
  </si>
  <si>
    <t>1、下雨应急水池关闭，外排打开；
2、104正常处理废水；</t>
  </si>
  <si>
    <t>103车间7月1日生产情况</t>
  </si>
  <si>
    <t>碳酸钠压滤机翻板上结晶物料</t>
  </si>
  <si>
    <t>一次洗液压滤机翻板上结晶物料</t>
  </si>
  <si>
    <t>104车间7月1日生产情况</t>
  </si>
  <si>
    <t>103车间7月2日生产情况</t>
  </si>
  <si>
    <t>除杂A及附属设施卫生清理</t>
  </si>
  <si>
    <t>除重C及附属设施卫生清理</t>
  </si>
  <si>
    <t>104车间7月2日生产情况</t>
  </si>
  <si>
    <t>103车间7月3日生产情况</t>
  </si>
  <si>
    <t>本班所属区域压滤机翻板及下渣斗清理</t>
  </si>
  <si>
    <t>104车间7月3日生产情况</t>
  </si>
  <si>
    <t>103车间7月4日生产情况</t>
  </si>
  <si>
    <t>未完成</t>
  </si>
  <si>
    <t>104车间7月4日生产情况</t>
  </si>
  <si>
    <t>103车间7月5日生产情况</t>
  </si>
  <si>
    <t>104车间7月5日生产情况</t>
  </si>
  <si>
    <t>103车间7月6日生产情况</t>
  </si>
  <si>
    <t>碳酸锂A、B压滤机翻板及下渣斗清理</t>
  </si>
  <si>
    <t>除重A、B压滤机翻板及下渣斗清理</t>
  </si>
  <si>
    <t>104车间7月6日生产情况</t>
  </si>
  <si>
    <t>103车间7月7日生产情况</t>
  </si>
  <si>
    <t>压滤机翻板及下渣斗清理</t>
  </si>
  <si>
    <t>MVR清洗一效、预热器列管</t>
  </si>
  <si>
    <t>104车间7月7日生产情况</t>
  </si>
  <si>
    <t>103车间7月8日生产情况</t>
  </si>
  <si>
    <t>一次浆洗、二次浆洗槽清理</t>
  </si>
  <si>
    <t>碳酸钠管路、碳酸锂母液管路定时打料保持管路畅通</t>
  </si>
  <si>
    <t>1、蒸发停机；
2、清理卫生；
3、外协施工时注意安全监护；
4、关注外排水PH、镍指标。</t>
  </si>
  <si>
    <t>104车间7月8日生产情况</t>
  </si>
  <si>
    <t>103车间7月9日生产情况</t>
  </si>
  <si>
    <t>本班责任区地面漆破损处补漆</t>
  </si>
  <si>
    <t>1、蒸发开机；
2、清理卫生；
3、外协施工时注意安全监护；
4、关注外排水PH、镍指标。</t>
  </si>
  <si>
    <t>104车间7月9日生产情况</t>
  </si>
  <si>
    <t>103车间7月10日生产情况</t>
  </si>
  <si>
    <t>1、蒸发停机退料；
2、清理卫生；
3、外协施工时注意安全监护；
4、关注外排水PH、镍指标。</t>
  </si>
  <si>
    <t>104车间7月10日生产情况</t>
  </si>
  <si>
    <t>103车间7月11日生产情况</t>
  </si>
  <si>
    <t>外售磷酸锂母液</t>
  </si>
  <si>
    <t>磷酸三钠</t>
  </si>
  <si>
    <t>104车间7月11日生产情况</t>
  </si>
  <si>
    <t>103车间7月12日生产情况</t>
  </si>
  <si>
    <t>104车间7月12日生产情况</t>
  </si>
  <si>
    <t>103车间7月13日生产情况</t>
  </si>
  <si>
    <t>104车间7月13日生产情况</t>
  </si>
  <si>
    <t>磷酸锂包数：</t>
  </si>
  <si>
    <t>103车间7月14日生产情况</t>
  </si>
  <si>
    <t>各班组责任区域内电机、控制箱外壳清理清理</t>
  </si>
  <si>
    <t>104车间7月14日生产情况</t>
  </si>
  <si>
    <t>103车间7月15日生产情况</t>
  </si>
  <si>
    <t>104车间7月15日生产情况</t>
  </si>
  <si>
    <t>103车间7月16日生产情况</t>
  </si>
  <si>
    <t>本班组设备、电机风扇通风口卫生清理，含窗台、墙角、罐后卫生</t>
  </si>
  <si>
    <t>104车间7月16日生产情况</t>
  </si>
  <si>
    <t>103车间7月17日生产情况</t>
  </si>
  <si>
    <t>104车间7月17日生产情况</t>
  </si>
  <si>
    <t>103车间7月18日生产情况</t>
  </si>
  <si>
    <t>104车间7月18日生产情况</t>
  </si>
  <si>
    <t>103车间7月19日生产情况</t>
  </si>
  <si>
    <t>104车间7月19日生产情况</t>
  </si>
  <si>
    <t>103车间7月20日生产情况</t>
  </si>
  <si>
    <t>104车间7月20日生产情况</t>
  </si>
  <si>
    <t>103车间7月21日生产情况</t>
  </si>
  <si>
    <t>104车间7月21日生产情况</t>
  </si>
  <si>
    <t>103车间7月22日生产情况</t>
  </si>
  <si>
    <t>除重ABC清理和搅拌检查</t>
  </si>
  <si>
    <t>除重DEF釜电机、泵表面及控制柜清理</t>
  </si>
  <si>
    <t>预调ABCD清理和搅拌检查</t>
  </si>
  <si>
    <t>合成DE釜电机、泵表面及控制柜清理</t>
  </si>
  <si>
    <t>104车间7月22日生产情况</t>
  </si>
  <si>
    <t>103车间7月23日生产情况</t>
  </si>
  <si>
    <t>昨日设备维护完成情况（白班）</t>
  </si>
  <si>
    <t>硫酸钠南侧除锈刷漆</t>
  </si>
  <si>
    <t>昨日设备维护完成情况（夜班）</t>
  </si>
  <si>
    <t>硫酸钠北侧除锈刷漆</t>
  </si>
  <si>
    <t>工作安排</t>
  </si>
  <si>
    <t>1、正常生产；
2、尾气技改；
3、注意安全、预防中暑；
4、遵守劳动纪律，做好岗位卫生。</t>
  </si>
  <si>
    <t>104车间7月23日生产情况</t>
  </si>
  <si>
    <t>103车间7月24日生产情况</t>
  </si>
  <si>
    <t>除杂D、E釜和合成前液储槽搅拌电机及泵 、控制柜清理</t>
  </si>
  <si>
    <t>104车间7月24日生产情况</t>
  </si>
  <si>
    <t>103车间7月25日生产情况</t>
  </si>
  <si>
    <t>蒸发预调、合成区域抹黄油</t>
  </si>
  <si>
    <t>除杂、合成前液区域抹黄油</t>
  </si>
  <si>
    <t>1、正常生产；
2、注意安全、预防中暑；
3、遵守劳动纪律，做好岗位卫生；
4、加强夜间巡检，做好异常处置。</t>
  </si>
  <si>
    <t>104车间7月25日生产情况</t>
  </si>
  <si>
    <t>103车间7月26日生产情况</t>
  </si>
  <si>
    <t>各岗位螺丝抹黄油</t>
  </si>
  <si>
    <t>1、清理合成F釜；
2、配合清理纯水；
3、注意安全、纪律、卫生，加强预防中暑；
4、夜班注意防范暴雨大风。</t>
  </si>
  <si>
    <t>104车间7月26日生产情况</t>
  </si>
  <si>
    <t>103车间7月27日生产情况</t>
  </si>
  <si>
    <t>螺丝抹黄油、硫酸泵恢复</t>
  </si>
  <si>
    <t>合成前液盲板恢复、压滤机卫生</t>
  </si>
  <si>
    <t>1、磷酸锂母液外卖，继续沉磷酸锂；
2、尾气及纯水外来施工监护；
3、加料升温开车；
4、注意安全、纪律卫生。</t>
  </si>
  <si>
    <t>104车间7月27日生产情况</t>
  </si>
  <si>
    <t>103车间7月28日生产情况</t>
  </si>
  <si>
    <t>班组区域螺丝抹黄油</t>
  </si>
  <si>
    <t>1、硫酸管道、硫酸泵放料气动阀维修；
2、MVR地坑泵维修；
3、各工序抓紧向后倒料，蒸发最大频率开；
4、注意安全、遵守纪律，加强巡检。</t>
  </si>
  <si>
    <t>104车间7月28日生产情况</t>
  </si>
  <si>
    <t>103车间7月29日生产情况</t>
  </si>
  <si>
    <t>除重、除氟更换半台压滤机</t>
  </si>
  <si>
    <t>1、正常生产；
2、外协监护；
3、注意安全、遵守纪律、卫生。</t>
  </si>
  <si>
    <t>104车间7月29日生产情况</t>
  </si>
  <si>
    <t>103车间7月30日生产情况</t>
  </si>
  <si>
    <t>压榨水区域清理</t>
  </si>
  <si>
    <t>一楼罐区清理</t>
  </si>
  <si>
    <t>1、正常生产,车间盘点；
2、调试沸腾床;
2、关注二效氯根；
3、注意安全、遵守纪律、卫生。</t>
  </si>
  <si>
    <t>104车间7月30日生产情况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</si>
</sst>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3" borderId="11">
      <alignment vertical="center"/>
    </xf>
    <xf numFmtId="0" fontId="17" fillId="4" borderId="12">
      <alignment vertical="center"/>
    </xf>
    <xf numFmtId="0" fontId="18" fillId="4" borderId="11">
      <alignment vertical="center"/>
    </xf>
    <xf numFmtId="0" fontId="19" fillId="5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3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49" fontId="4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2.5</v>
      </c>
      <c r="D3" s="9">
        <v>6.5</v>
      </c>
      <c r="E3" s="10">
        <f t="shared" ref="E3:E12" si="0">C3+D3</f>
        <v>9</v>
      </c>
      <c r="F3" s="10" t="s">
        <v>14</v>
      </c>
      <c r="G3" s="10">
        <f>9</f>
        <v>9</v>
      </c>
      <c r="H3" s="10">
        <v>320</v>
      </c>
      <c r="I3" s="10">
        <f>H3-G3</f>
        <v>311</v>
      </c>
      <c r="J3" s="11"/>
      <c r="K3" s="10"/>
      <c r="L3" s="10"/>
      <c r="M3" s="10">
        <f>I3/30</f>
        <v>10.3666666666667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6</f>
        <v>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</f>
        <v>0</v>
      </c>
      <c r="H5" s="10">
        <v>4836</v>
      </c>
      <c r="I5" s="10">
        <f>H5-G5-G7-G6</f>
        <v>4634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110</v>
      </c>
      <c r="D6" s="10">
        <v>92</v>
      </c>
      <c r="E6" s="10">
        <f t="shared" si="0"/>
        <v>202</v>
      </c>
      <c r="F6" s="10" t="s">
        <v>14</v>
      </c>
      <c r="G6" s="10">
        <f>202</f>
        <v>202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</f>
        <v>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</f>
        <v>0</v>
      </c>
      <c r="H9" s="13">
        <v>5.91</v>
      </c>
      <c r="I9" s="13">
        <f>H9-K10</f>
        <v>5.91</v>
      </c>
      <c r="J9" s="19" t="s">
        <v>21</v>
      </c>
      <c r="K9" s="10">
        <v>20</v>
      </c>
      <c r="L9" s="10">
        <v>0</v>
      </c>
      <c r="M9" s="20"/>
    </row>
    <row r="10" s="1" customFormat="1" ht="25" customHeight="1" spans="1:13">
      <c r="A10" s="7">
        <v>5</v>
      </c>
      <c r="B10" s="8" t="s">
        <v>22</v>
      </c>
      <c r="C10" s="10">
        <v>8.3295</v>
      </c>
      <c r="D10" s="10">
        <v>2.457</v>
      </c>
      <c r="E10" s="10">
        <f t="shared" si="0"/>
        <v>10.7865</v>
      </c>
      <c r="F10" s="10" t="s">
        <v>14</v>
      </c>
      <c r="G10" s="10">
        <f>10.7865</f>
        <v>10.7865</v>
      </c>
      <c r="H10" s="10"/>
      <c r="I10" s="10">
        <f>G10/(G3*0.1865)</f>
        <v>6.42627345844504</v>
      </c>
      <c r="J10" s="19" t="s">
        <v>23</v>
      </c>
      <c r="K10" s="20">
        <f>0</f>
        <v>0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13.1744</v>
      </c>
      <c r="D11" s="10">
        <v>0</v>
      </c>
      <c r="E11" s="10">
        <f t="shared" si="0"/>
        <v>13.1744</v>
      </c>
      <c r="F11" s="10" t="s">
        <v>14</v>
      </c>
      <c r="G11" s="10">
        <f>13.1744</f>
        <v>13.1744</v>
      </c>
      <c r="H11" s="10"/>
      <c r="I11" s="10">
        <f>G11/(G3*0.1865)</f>
        <v>7.8489127196902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218</v>
      </c>
      <c r="D12" s="10">
        <v>225</v>
      </c>
      <c r="E12" s="10">
        <f t="shared" si="0"/>
        <v>443</v>
      </c>
      <c r="F12" s="10" t="s">
        <v>26</v>
      </c>
      <c r="G12" s="10">
        <f>443</f>
        <v>443</v>
      </c>
      <c r="H12" s="10">
        <f>G12*1.05</f>
        <v>465.15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140</v>
      </c>
      <c r="D13" s="10">
        <v>298</v>
      </c>
      <c r="E13" s="10">
        <f t="shared" ref="E13:E21" si="1">D13+C13</f>
        <v>438</v>
      </c>
      <c r="F13" s="10" t="s">
        <v>26</v>
      </c>
      <c r="G13" s="10">
        <f>438</f>
        <v>438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451.89</v>
      </c>
      <c r="D14" s="10">
        <v>430.4</v>
      </c>
      <c r="E14" s="10">
        <f t="shared" si="1"/>
        <v>882.29</v>
      </c>
      <c r="F14" s="10" t="s">
        <v>26</v>
      </c>
      <c r="G14" s="10">
        <f>882.29</f>
        <v>882.29</v>
      </c>
      <c r="H14" s="10"/>
      <c r="I14" s="10"/>
      <c r="J14" s="19" t="s">
        <v>29</v>
      </c>
      <c r="K14" s="10">
        <v>3.04</v>
      </c>
      <c r="L14" s="10">
        <v>3.03</v>
      </c>
      <c r="M14" s="10"/>
    </row>
    <row r="15" s="1" customFormat="1" ht="25" customHeight="1" spans="1:13">
      <c r="A15" s="7">
        <v>10</v>
      </c>
      <c r="B15" s="8" t="s">
        <v>30</v>
      </c>
      <c r="C15" s="10">
        <v>15</v>
      </c>
      <c r="D15" s="10">
        <v>18</v>
      </c>
      <c r="E15" s="10">
        <f t="shared" si="1"/>
        <v>33</v>
      </c>
      <c r="F15" s="10" t="s">
        <v>14</v>
      </c>
      <c r="G15" s="10">
        <f>33</f>
        <v>33</v>
      </c>
      <c r="H15" s="10"/>
      <c r="I15" s="10">
        <f>G15/(G3*0.1865)</f>
        <v>19.6604110813226</v>
      </c>
      <c r="J15" s="19" t="s">
        <v>31</v>
      </c>
      <c r="K15" s="20">
        <f>2.6778576</f>
        <v>2.6778576</v>
      </c>
      <c r="L15" s="10"/>
      <c r="M15" s="10">
        <f>(C14*K14+L14*D14)/1000</f>
        <v>2.6778576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</f>
        <v>0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</f>
        <v>2</v>
      </c>
      <c r="H17" s="22"/>
      <c r="I17" s="10">
        <f>G17/(G3*0.1865)</f>
        <v>1.1915400655347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</f>
        <v>2</v>
      </c>
      <c r="H18" s="22"/>
      <c r="I18" s="10">
        <f>G18/(G3*0.1865)</f>
        <v>1.1915400655347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5</v>
      </c>
      <c r="D19" s="7">
        <v>2</v>
      </c>
      <c r="E19" s="10">
        <f t="shared" si="1"/>
        <v>7</v>
      </c>
      <c r="F19" s="10" t="s">
        <v>36</v>
      </c>
      <c r="G19" s="10">
        <f>7</f>
        <v>7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663</v>
      </c>
      <c r="D20" s="7">
        <v>664</v>
      </c>
      <c r="E20" s="10">
        <f t="shared" si="1"/>
        <v>1327</v>
      </c>
      <c r="F20" s="10" t="s">
        <v>26</v>
      </c>
      <c r="G20" s="10">
        <f>1327</f>
        <v>1327</v>
      </c>
      <c r="H20" s="23"/>
      <c r="I20" s="10">
        <f>E20/M20</f>
        <v>55.2916666666667</v>
      </c>
      <c r="J20" s="19" t="s">
        <v>38</v>
      </c>
      <c r="K20" s="10">
        <f>24</f>
        <v>24</v>
      </c>
      <c r="L20" s="10">
        <f>G20/K20</f>
        <v>55.2916666666667</v>
      </c>
      <c r="M20" s="10">
        <v>24</v>
      </c>
    </row>
    <row r="21" s="1" customFormat="1" ht="25" customHeight="1" spans="1:13">
      <c r="A21" s="12">
        <v>16</v>
      </c>
      <c r="B21" s="8" t="s">
        <v>39</v>
      </c>
      <c r="C21" s="7">
        <v>848</v>
      </c>
      <c r="D21" s="7">
        <v>871</v>
      </c>
      <c r="E21" s="10">
        <f t="shared" si="1"/>
        <v>1719</v>
      </c>
      <c r="F21" s="10" t="s">
        <v>26</v>
      </c>
      <c r="G21" s="10">
        <f>1719</f>
        <v>1719</v>
      </c>
      <c r="H21" s="22"/>
      <c r="I21" s="10">
        <f>E21/M20</f>
        <v>71.625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23.99</v>
      </c>
      <c r="D22" s="12">
        <v>27.08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43</v>
      </c>
      <c r="D23" s="28"/>
      <c r="E23" s="28"/>
      <c r="F23" s="28"/>
      <c r="G23" s="28"/>
      <c r="H23" s="29"/>
      <c r="I23" s="30" t="s">
        <v>44</v>
      </c>
      <c r="J23" s="26" t="s">
        <v>45</v>
      </c>
      <c r="K23" s="27" t="s">
        <v>46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48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50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55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9.8</v>
      </c>
      <c r="D29" s="10">
        <v>0</v>
      </c>
      <c r="E29" s="10">
        <f t="shared" ref="E29:E35" si="2">D29+C29</f>
        <v>9.8</v>
      </c>
      <c r="F29" s="10" t="s">
        <v>26</v>
      </c>
      <c r="G29" s="10">
        <f>9.8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6.35</v>
      </c>
      <c r="D30" s="10">
        <v>6.34</v>
      </c>
      <c r="E30" s="10">
        <f t="shared" si="2"/>
        <v>12.69</v>
      </c>
      <c r="F30" s="10" t="s">
        <v>26</v>
      </c>
      <c r="G30" s="10">
        <f>12.69</f>
        <v>12.69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10</v>
      </c>
      <c r="D31" s="10">
        <v>0</v>
      </c>
      <c r="E31" s="10">
        <f t="shared" si="2"/>
        <v>10</v>
      </c>
      <c r="F31" s="10" t="s">
        <v>26</v>
      </c>
      <c r="G31" s="10">
        <f>10</f>
        <v>10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7.803</v>
      </c>
      <c r="D32" s="10">
        <v>0</v>
      </c>
      <c r="E32" s="10">
        <f t="shared" si="2"/>
        <v>7.803</v>
      </c>
      <c r="F32" s="10" t="s">
        <v>14</v>
      </c>
      <c r="G32" s="10">
        <f>7.803</f>
        <v>7.803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</f>
        <v>0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496</v>
      </c>
      <c r="D35" s="10">
        <v>493</v>
      </c>
      <c r="E35" s="10">
        <f t="shared" si="2"/>
        <v>989</v>
      </c>
      <c r="F35" s="10" t="s">
        <v>26</v>
      </c>
      <c r="G35" s="10">
        <f>989</f>
        <v>989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</f>
        <v>0</v>
      </c>
      <c r="H36" s="22"/>
      <c r="I36" s="7">
        <v>367.5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</f>
        <v>0</v>
      </c>
      <c r="H37" s="22"/>
      <c r="I37" s="7">
        <v>65.145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2</v>
      </c>
      <c r="D38" s="7">
        <v>5</v>
      </c>
      <c r="E38" s="10">
        <f>D38+C38</f>
        <v>7</v>
      </c>
      <c r="F38" s="10" t="s">
        <v>36</v>
      </c>
      <c r="G38" s="10">
        <f>7</f>
        <v>7</v>
      </c>
      <c r="H38" s="22"/>
      <c r="I38" s="10">
        <v>0</v>
      </c>
      <c r="J38" s="35"/>
      <c r="K38" s="27"/>
      <c r="L38" s="19" t="s">
        <v>66</v>
      </c>
      <c r="M38" s="7">
        <v>5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68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8.5</v>
      </c>
      <c r="D3" s="9">
        <v>9.5</v>
      </c>
      <c r="E3" s="10">
        <f t="shared" ref="E3:E12" si="0">C3+D3</f>
        <v>18</v>
      </c>
      <c r="F3" s="10" t="s">
        <v>14</v>
      </c>
      <c r="G3" s="10">
        <f>9+18</f>
        <v>27</v>
      </c>
      <c r="H3" s="10">
        <v>320</v>
      </c>
      <c r="I3" s="10">
        <f>H3-G3</f>
        <v>293</v>
      </c>
      <c r="J3" s="11"/>
      <c r="K3" s="10"/>
      <c r="L3" s="10"/>
      <c r="M3" s="10">
        <f>I3/29</f>
        <v>10.1034482758621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6+8</f>
        <v>14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</f>
        <v>0</v>
      </c>
      <c r="H5" s="10">
        <v>4836</v>
      </c>
      <c r="I5" s="10">
        <f>H5-G5-G7-G6</f>
        <v>4427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79</v>
      </c>
      <c r="D6" s="10">
        <v>128</v>
      </c>
      <c r="E6" s="10">
        <f t="shared" si="0"/>
        <v>207</v>
      </c>
      <c r="F6" s="10" t="s">
        <v>14</v>
      </c>
      <c r="G6" s="10">
        <f>202+207</f>
        <v>409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</f>
        <v>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</f>
        <v>0</v>
      </c>
      <c r="H9" s="13">
        <v>5.91</v>
      </c>
      <c r="I9" s="13">
        <f>H9-K10</f>
        <v>5.91</v>
      </c>
      <c r="J9" s="19" t="s">
        <v>21</v>
      </c>
      <c r="K9" s="10">
        <v>20</v>
      </c>
      <c r="L9" s="10">
        <v>0</v>
      </c>
      <c r="M9" s="20"/>
    </row>
    <row r="10" s="1" customFormat="1" ht="25" customHeight="1" spans="1:13">
      <c r="A10" s="7">
        <v>5</v>
      </c>
      <c r="B10" s="8" t="s">
        <v>22</v>
      </c>
      <c r="C10" s="10">
        <v>4.914</v>
      </c>
      <c r="D10" s="10">
        <v>3.3075</v>
      </c>
      <c r="E10" s="10">
        <f t="shared" si="0"/>
        <v>8.2215</v>
      </c>
      <c r="F10" s="10" t="s">
        <v>14</v>
      </c>
      <c r="G10" s="10">
        <f>10.7865+8.2215</f>
        <v>19.008</v>
      </c>
      <c r="H10" s="10"/>
      <c r="I10" s="10">
        <f>G10/(G3*0.1865)</f>
        <v>3.77479892761394</v>
      </c>
      <c r="J10" s="19" t="s">
        <v>23</v>
      </c>
      <c r="K10" s="20">
        <f>0+0</f>
        <v>0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10.1568</v>
      </c>
      <c r="D11" s="10">
        <v>0</v>
      </c>
      <c r="E11" s="10">
        <f t="shared" si="0"/>
        <v>10.1568</v>
      </c>
      <c r="F11" s="10" t="s">
        <v>14</v>
      </c>
      <c r="G11" s="10">
        <f>13.1744+10.1568</f>
        <v>23.3312</v>
      </c>
      <c r="H11" s="10"/>
      <c r="I11" s="10">
        <f>G11/(G3*0.1865)</f>
        <v>4.63334326283388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221</v>
      </c>
      <c r="D12" s="10">
        <v>196</v>
      </c>
      <c r="E12" s="10">
        <f t="shared" si="0"/>
        <v>417</v>
      </c>
      <c r="F12" s="10" t="s">
        <v>26</v>
      </c>
      <c r="G12" s="10">
        <f>443+417</f>
        <v>860</v>
      </c>
      <c r="H12" s="10">
        <f>G12*1.05</f>
        <v>903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223</v>
      </c>
      <c r="D13" s="10">
        <v>202</v>
      </c>
      <c r="E13" s="10">
        <f t="shared" ref="E13:E21" si="1">D13+C13</f>
        <v>425</v>
      </c>
      <c r="F13" s="10" t="s">
        <v>26</v>
      </c>
      <c r="G13" s="10">
        <f>438+425</f>
        <v>863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360.02</v>
      </c>
      <c r="D14" s="10">
        <v>442.29</v>
      </c>
      <c r="E14" s="10">
        <f t="shared" si="1"/>
        <v>802.31</v>
      </c>
      <c r="F14" s="10" t="s">
        <v>26</v>
      </c>
      <c r="G14" s="10">
        <f>882.29+802.31</f>
        <v>1684.6</v>
      </c>
      <c r="H14" s="10"/>
      <c r="I14" s="10"/>
      <c r="J14" s="19" t="s">
        <v>29</v>
      </c>
      <c r="K14" s="10">
        <v>3.09</v>
      </c>
      <c r="L14" s="10">
        <v>3.03</v>
      </c>
      <c r="M14" s="10"/>
    </row>
    <row r="15" s="1" customFormat="1" ht="25" customHeight="1" spans="1:13">
      <c r="A15" s="7">
        <v>10</v>
      </c>
      <c r="B15" s="8" t="s">
        <v>30</v>
      </c>
      <c r="C15" s="10">
        <v>21</v>
      </c>
      <c r="D15" s="10">
        <v>12</v>
      </c>
      <c r="E15" s="10">
        <f t="shared" si="1"/>
        <v>33</v>
      </c>
      <c r="F15" s="10" t="s">
        <v>14</v>
      </c>
      <c r="G15" s="10">
        <f>33+33</f>
        <v>66</v>
      </c>
      <c r="H15" s="10"/>
      <c r="I15" s="10">
        <f>G15/(G3*0.1865)</f>
        <v>13.1069407208817</v>
      </c>
      <c r="J15" s="19" t="s">
        <v>31</v>
      </c>
      <c r="K15" s="20">
        <f>2.6778576+2.4526005</f>
        <v>5.1304581</v>
      </c>
      <c r="L15" s="10"/>
      <c r="M15" s="10">
        <f>(C14*K14+L14*D14)/1000</f>
        <v>2.4526005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</f>
        <v>0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</f>
        <v>2</v>
      </c>
      <c r="H17" s="22"/>
      <c r="I17" s="10">
        <f>G17/(G3*0.1865)</f>
        <v>0.397180021844901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</f>
        <v>2</v>
      </c>
      <c r="H18" s="22"/>
      <c r="I18" s="10">
        <f>G18/(G3*0.1865)</f>
        <v>0.397180021844901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3</v>
      </c>
      <c r="D19" s="7">
        <v>5</v>
      </c>
      <c r="E19" s="10">
        <f t="shared" si="1"/>
        <v>8</v>
      </c>
      <c r="F19" s="10" t="s">
        <v>36</v>
      </c>
      <c r="G19" s="10">
        <f>7+8</f>
        <v>15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614</v>
      </c>
      <c r="D20" s="7">
        <v>592</v>
      </c>
      <c r="E20" s="10">
        <f t="shared" si="1"/>
        <v>1206</v>
      </c>
      <c r="F20" s="10" t="s">
        <v>26</v>
      </c>
      <c r="G20" s="10">
        <f>1327+1206</f>
        <v>2533</v>
      </c>
      <c r="H20" s="23"/>
      <c r="I20" s="10">
        <f>E20/M20</f>
        <v>50.25</v>
      </c>
      <c r="J20" s="19" t="s">
        <v>38</v>
      </c>
      <c r="K20" s="10">
        <f>24+24</f>
        <v>48</v>
      </c>
      <c r="L20" s="10">
        <f>G20/K20</f>
        <v>52.7708333333333</v>
      </c>
      <c r="M20" s="10">
        <v>24</v>
      </c>
    </row>
    <row r="21" s="1" customFormat="1" ht="25" customHeight="1" spans="1:13">
      <c r="A21" s="12">
        <v>16</v>
      </c>
      <c r="B21" s="8" t="s">
        <v>39</v>
      </c>
      <c r="C21" s="7">
        <v>753</v>
      </c>
      <c r="D21" s="7">
        <v>762</v>
      </c>
      <c r="E21" s="10">
        <f t="shared" si="1"/>
        <v>1515</v>
      </c>
      <c r="F21" s="10" t="s">
        <v>26</v>
      </c>
      <c r="G21" s="10">
        <f>1719+1515</f>
        <v>3234</v>
      </c>
      <c r="H21" s="22"/>
      <c r="I21" s="10">
        <f>E21/M20</f>
        <v>63.125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21.77</v>
      </c>
      <c r="D22" s="12">
        <v>22.76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46</v>
      </c>
      <c r="D23" s="28"/>
      <c r="E23" s="28"/>
      <c r="F23" s="28"/>
      <c r="G23" s="28"/>
      <c r="H23" s="29"/>
      <c r="I23" s="30" t="s">
        <v>44</v>
      </c>
      <c r="J23" s="26" t="s">
        <v>45</v>
      </c>
      <c r="K23" s="27" t="s">
        <v>69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50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70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71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6.32</v>
      </c>
      <c r="D30" s="10">
        <v>6.35</v>
      </c>
      <c r="E30" s="10">
        <f t="shared" si="2"/>
        <v>12.67</v>
      </c>
      <c r="F30" s="10" t="s">
        <v>26</v>
      </c>
      <c r="G30" s="10">
        <f>12.69+12.67</f>
        <v>25.36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42</v>
      </c>
      <c r="D31" s="10">
        <v>13</v>
      </c>
      <c r="E31" s="10">
        <f t="shared" si="2"/>
        <v>55</v>
      </c>
      <c r="F31" s="10" t="s">
        <v>26</v>
      </c>
      <c r="G31" s="10">
        <f>10+55</f>
        <v>65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</f>
        <v>7.803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66</v>
      </c>
      <c r="E34" s="10">
        <f t="shared" si="2"/>
        <v>66</v>
      </c>
      <c r="F34" s="10" t="s">
        <v>26</v>
      </c>
      <c r="G34" s="10">
        <f>0+66</f>
        <v>66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495</v>
      </c>
      <c r="D35" s="10">
        <v>497</v>
      </c>
      <c r="E35" s="10">
        <f t="shared" si="2"/>
        <v>992</v>
      </c>
      <c r="F35" s="10" t="s">
        <v>26</v>
      </c>
      <c r="G35" s="10">
        <f>989+992</f>
        <v>1981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</f>
        <v>0</v>
      </c>
      <c r="H37" s="22"/>
      <c r="I37" s="7">
        <v>64.2764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0</v>
      </c>
      <c r="D38" s="7">
        <v>3</v>
      </c>
      <c r="E38" s="10">
        <f>D38+C38</f>
        <v>3</v>
      </c>
      <c r="F38" s="10" t="s">
        <v>36</v>
      </c>
      <c r="G38" s="10">
        <f>7+3</f>
        <v>10</v>
      </c>
      <c r="H38" s="22"/>
      <c r="I38" s="10">
        <v>0</v>
      </c>
      <c r="J38" s="35"/>
      <c r="K38" s="27"/>
      <c r="L38" s="19" t="s">
        <v>66</v>
      </c>
      <c r="M38" s="7">
        <v>8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4.5</v>
      </c>
      <c r="E3" s="10">
        <f t="shared" ref="E3:E12" si="0">C3+D3</f>
        <v>11</v>
      </c>
      <c r="F3" s="10" t="s">
        <v>14</v>
      </c>
      <c r="G3" s="10">
        <f>9+18+11</f>
        <v>38</v>
      </c>
      <c r="H3" s="10">
        <v>320</v>
      </c>
      <c r="I3" s="10">
        <f>H3-G3</f>
        <v>282</v>
      </c>
      <c r="J3" s="11"/>
      <c r="K3" s="10"/>
      <c r="L3" s="10"/>
      <c r="M3" s="10">
        <f>I3/28</f>
        <v>10.0714285714286</v>
      </c>
    </row>
    <row r="4" s="1" customFormat="1" ht="35" customHeight="1" spans="1:13">
      <c r="A4" s="12">
        <v>2</v>
      </c>
      <c r="B4" s="8" t="s">
        <v>15</v>
      </c>
      <c r="C4" s="9">
        <v>18</v>
      </c>
      <c r="D4" s="9"/>
      <c r="E4" s="10">
        <f t="shared" si="0"/>
        <v>18</v>
      </c>
      <c r="F4" s="10" t="s">
        <v>14</v>
      </c>
      <c r="G4" s="10">
        <f>6+8+18</f>
        <v>32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</f>
        <v>0</v>
      </c>
      <c r="H5" s="10">
        <v>4836</v>
      </c>
      <c r="I5" s="10">
        <f>H5-G5-G7-G6</f>
        <v>4337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62</v>
      </c>
      <c r="D6" s="10">
        <v>26</v>
      </c>
      <c r="E6" s="10">
        <f t="shared" si="0"/>
        <v>88</v>
      </c>
      <c r="F6" s="10" t="s">
        <v>14</v>
      </c>
      <c r="G6" s="10">
        <f>202+207+88</f>
        <v>497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0+0+2</f>
        <v>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</f>
        <v>0</v>
      </c>
      <c r="H9" s="13">
        <v>5.91</v>
      </c>
      <c r="I9" s="13">
        <f>H9-K10</f>
        <v>5.91</v>
      </c>
      <c r="J9" s="19" t="s">
        <v>21</v>
      </c>
      <c r="K9" s="10">
        <v>90</v>
      </c>
      <c r="L9" s="10">
        <v>0</v>
      </c>
      <c r="M9" s="20"/>
    </row>
    <row r="10" s="1" customFormat="1" ht="25" customHeight="1" spans="1:13">
      <c r="A10" s="7">
        <v>5</v>
      </c>
      <c r="B10" s="8" t="s">
        <v>22</v>
      </c>
      <c r="C10" s="10">
        <v>6.129</v>
      </c>
      <c r="D10" s="10">
        <v>2.295</v>
      </c>
      <c r="E10" s="10">
        <f t="shared" si="0"/>
        <v>8.424</v>
      </c>
      <c r="F10" s="10" t="s">
        <v>14</v>
      </c>
      <c r="G10" s="10">
        <f>10.7865+8.2215+8.424</f>
        <v>27.432</v>
      </c>
      <c r="H10" s="10"/>
      <c r="I10" s="10">
        <f>G10/(G3*0.1865)</f>
        <v>3.870749259207</v>
      </c>
      <c r="J10" s="19" t="s">
        <v>23</v>
      </c>
      <c r="K10" s="20">
        <f>0+0+0</f>
        <v>0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16.4312</v>
      </c>
      <c r="D11" s="10">
        <v>0</v>
      </c>
      <c r="E11" s="10">
        <f t="shared" si="0"/>
        <v>16.4312</v>
      </c>
      <c r="F11" s="10" t="s">
        <v>14</v>
      </c>
      <c r="G11" s="10">
        <f>13.1744+10.1568+16.4312</f>
        <v>39.7624</v>
      </c>
      <c r="H11" s="10"/>
      <c r="I11" s="10">
        <f>G11/(G3*0.1865)</f>
        <v>5.61061097784676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300</v>
      </c>
      <c r="D12" s="10">
        <v>12</v>
      </c>
      <c r="E12" s="10">
        <f t="shared" si="0"/>
        <v>312</v>
      </c>
      <c r="F12" s="10" t="s">
        <v>26</v>
      </c>
      <c r="G12" s="10">
        <f>443+417+312</f>
        <v>1172</v>
      </c>
      <c r="H12" s="10">
        <f>G12*1.05</f>
        <v>1230.6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220</v>
      </c>
      <c r="D13" s="10">
        <v>20</v>
      </c>
      <c r="E13" s="10">
        <f t="shared" ref="E13:E21" si="1">D13+C13</f>
        <v>240</v>
      </c>
      <c r="F13" s="10" t="s">
        <v>26</v>
      </c>
      <c r="G13" s="10">
        <f>438+425+240</f>
        <v>1103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185.29</v>
      </c>
      <c r="D14" s="10">
        <v>92.79</v>
      </c>
      <c r="E14" s="10">
        <f t="shared" si="1"/>
        <v>278.08</v>
      </c>
      <c r="F14" s="10" t="s">
        <v>26</v>
      </c>
      <c r="G14" s="10">
        <f>882.29+802.31+278.08</f>
        <v>1962.68</v>
      </c>
      <c r="H14" s="10"/>
      <c r="I14" s="10"/>
      <c r="J14" s="19" t="s">
        <v>29</v>
      </c>
      <c r="K14" s="10">
        <v>3.39</v>
      </c>
      <c r="L14" s="10">
        <v>3.53</v>
      </c>
      <c r="M14" s="10"/>
    </row>
    <row r="15" s="1" customFormat="1" ht="25" customHeight="1" spans="1:13">
      <c r="A15" s="7">
        <v>10</v>
      </c>
      <c r="B15" s="8" t="s">
        <v>30</v>
      </c>
      <c r="C15" s="10">
        <v>18</v>
      </c>
      <c r="D15" s="10">
        <v>3</v>
      </c>
      <c r="E15" s="10">
        <f t="shared" si="1"/>
        <v>21</v>
      </c>
      <c r="F15" s="10" t="s">
        <v>14</v>
      </c>
      <c r="G15" s="10">
        <f>33+33+21</f>
        <v>87</v>
      </c>
      <c r="H15" s="10"/>
      <c r="I15" s="10">
        <f>G15/(G3*0.1865)</f>
        <v>12.2759983067589</v>
      </c>
      <c r="J15" s="19" t="s">
        <v>31</v>
      </c>
      <c r="K15" s="20">
        <f>2.6778576+2.4526005+0.9556818</f>
        <v>6.0861399</v>
      </c>
      <c r="L15" s="10"/>
      <c r="M15" s="10">
        <f>(C14*K14+L14*D14)/1000</f>
        <v>0.9556818</v>
      </c>
    </row>
    <row r="16" s="1" customFormat="1" ht="25" customHeight="1" spans="1:13">
      <c r="A16" s="7">
        <v>11</v>
      </c>
      <c r="B16" s="8" t="s">
        <v>32</v>
      </c>
      <c r="C16" s="7">
        <v>0.15</v>
      </c>
      <c r="D16" s="7">
        <v>0</v>
      </c>
      <c r="E16" s="10">
        <f t="shared" si="1"/>
        <v>0.15</v>
      </c>
      <c r="F16" s="10" t="s">
        <v>14</v>
      </c>
      <c r="G16" s="10">
        <f>0+0+0.15</f>
        <v>0.15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2+0+2</f>
        <v>4</v>
      </c>
      <c r="H17" s="22"/>
      <c r="I17" s="10">
        <f>G17/(G3*0.1865)</f>
        <v>0.564413715253281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2+0+2</f>
        <v>4</v>
      </c>
      <c r="H18" s="22"/>
      <c r="I18" s="10">
        <f>G18/(G3*0.1865)</f>
        <v>0.564413715253281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3</v>
      </c>
      <c r="D19" s="7">
        <v>0</v>
      </c>
      <c r="E19" s="10">
        <f t="shared" si="1"/>
        <v>3</v>
      </c>
      <c r="F19" s="10" t="s">
        <v>36</v>
      </c>
      <c r="G19" s="10">
        <f>7+8+3</f>
        <v>18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349</v>
      </c>
      <c r="D20" s="7">
        <v>474</v>
      </c>
      <c r="E20" s="10">
        <f t="shared" si="1"/>
        <v>823</v>
      </c>
      <c r="F20" s="10" t="s">
        <v>26</v>
      </c>
      <c r="G20" s="10">
        <f>1327+1206+823</f>
        <v>3356</v>
      </c>
      <c r="H20" s="23"/>
      <c r="I20" s="10">
        <f>E20/M20</f>
        <v>60.962962962963</v>
      </c>
      <c r="J20" s="19" t="s">
        <v>38</v>
      </c>
      <c r="K20" s="10">
        <f>24+24+13.5</f>
        <v>61.5</v>
      </c>
      <c r="L20" s="10">
        <f>G20/K20</f>
        <v>54.5691056910569</v>
      </c>
      <c r="M20" s="10">
        <v>13.5</v>
      </c>
    </row>
    <row r="21" s="1" customFormat="1" ht="25" customHeight="1" spans="1:13">
      <c r="A21" s="12">
        <v>16</v>
      </c>
      <c r="B21" s="8" t="s">
        <v>39</v>
      </c>
      <c r="C21" s="7">
        <v>430</v>
      </c>
      <c r="D21" s="7">
        <v>420</v>
      </c>
      <c r="E21" s="10">
        <f t="shared" si="1"/>
        <v>850</v>
      </c>
      <c r="F21" s="10" t="s">
        <v>26</v>
      </c>
      <c r="G21" s="10">
        <f>1719+1515+850</f>
        <v>4084</v>
      </c>
      <c r="H21" s="22"/>
      <c r="I21" s="10">
        <f>E21/M20</f>
        <v>62.962962962963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31.88</v>
      </c>
      <c r="D22" s="12">
        <v>28.77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69</v>
      </c>
      <c r="D23" s="28"/>
      <c r="E23" s="28"/>
      <c r="F23" s="28"/>
      <c r="G23" s="28"/>
      <c r="H23" s="29"/>
      <c r="I23" s="30" t="s">
        <v>44</v>
      </c>
      <c r="J23" s="26" t="s">
        <v>45</v>
      </c>
      <c r="K23" s="27" t="s">
        <v>73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70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74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75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6.3</v>
      </c>
      <c r="D30" s="10">
        <v>0</v>
      </c>
      <c r="E30" s="10">
        <f t="shared" si="2"/>
        <v>6.3</v>
      </c>
      <c r="F30" s="10" t="s">
        <v>26</v>
      </c>
      <c r="G30" s="10">
        <f>12.69+12.67+6.3</f>
        <v>31.66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9</v>
      </c>
      <c r="D31" s="10">
        <v>9</v>
      </c>
      <c r="E31" s="10">
        <f t="shared" si="2"/>
        <v>18</v>
      </c>
      <c r="F31" s="10" t="s">
        <v>26</v>
      </c>
      <c r="G31" s="10">
        <f>10+55+18</f>
        <v>83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7.776</v>
      </c>
      <c r="D32" s="10">
        <v>0</v>
      </c>
      <c r="E32" s="10">
        <f t="shared" si="2"/>
        <v>7.776</v>
      </c>
      <c r="F32" s="10" t="s">
        <v>14</v>
      </c>
      <c r="G32" s="10">
        <f>7.803+0+7.776</f>
        <v>15.579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295</v>
      </c>
      <c r="D34" s="10">
        <v>186</v>
      </c>
      <c r="E34" s="10">
        <f t="shared" si="2"/>
        <v>481</v>
      </c>
      <c r="F34" s="10" t="s">
        <v>26</v>
      </c>
      <c r="G34" s="10">
        <f>0+66+481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500</v>
      </c>
      <c r="D35" s="10">
        <v>502</v>
      </c>
      <c r="E35" s="10">
        <f t="shared" si="2"/>
        <v>1002</v>
      </c>
      <c r="F35" s="10" t="s">
        <v>26</v>
      </c>
      <c r="G35" s="10">
        <f>989+992+1002</f>
        <v>2983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</f>
        <v>0</v>
      </c>
      <c r="H36" s="22"/>
      <c r="I36" s="7">
        <v>1245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</f>
        <v>0</v>
      </c>
      <c r="H37" s="22"/>
      <c r="I37" s="7">
        <v>59.0648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2</v>
      </c>
      <c r="D38" s="7">
        <v>0</v>
      </c>
      <c r="E38" s="10">
        <f>D38+C38</f>
        <v>2</v>
      </c>
      <c r="F38" s="10" t="s">
        <v>36</v>
      </c>
      <c r="G38" s="10">
        <f>7+3+2</f>
        <v>12</v>
      </c>
      <c r="H38" s="22"/>
      <c r="I38" s="10">
        <v>0</v>
      </c>
      <c r="J38" s="35"/>
      <c r="K38" s="27"/>
      <c r="L38" s="19" t="s">
        <v>66</v>
      </c>
      <c r="M38" s="7">
        <v>10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0.5</v>
      </c>
      <c r="D3" s="9">
        <v>3</v>
      </c>
      <c r="E3" s="10">
        <f t="shared" ref="E3:E12" si="0">C3+D3</f>
        <v>3.5</v>
      </c>
      <c r="F3" s="10" t="s">
        <v>14</v>
      </c>
      <c r="G3" s="10">
        <f>9+18+11+3.5</f>
        <v>41.5</v>
      </c>
      <c r="H3" s="10">
        <v>320</v>
      </c>
      <c r="I3" s="10">
        <f>H3-G3</f>
        <v>278.5</v>
      </c>
      <c r="J3" s="11"/>
      <c r="K3" s="10"/>
      <c r="L3" s="10"/>
      <c r="M3" s="10">
        <f>I3/27</f>
        <v>10.3148148148148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</f>
        <v>44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</f>
        <v>0</v>
      </c>
      <c r="H5" s="10">
        <v>4836</v>
      </c>
      <c r="I5" s="10">
        <f>H5-G5-G7-G6</f>
        <v>4163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106</v>
      </c>
      <c r="D6" s="10">
        <v>66</v>
      </c>
      <c r="E6" s="10">
        <f t="shared" si="0"/>
        <v>172</v>
      </c>
      <c r="F6" s="10" t="s">
        <v>14</v>
      </c>
      <c r="G6" s="10">
        <f>202+207+88+172</f>
        <v>669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0+0+2+2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30.28</v>
      </c>
      <c r="D9" s="13"/>
      <c r="E9" s="10">
        <f t="shared" si="0"/>
        <v>30.28</v>
      </c>
      <c r="F9" s="13" t="s">
        <v>14</v>
      </c>
      <c r="G9" s="10">
        <f>0+0+0+30.28</f>
        <v>30.28</v>
      </c>
      <c r="H9" s="13">
        <v>5.91</v>
      </c>
      <c r="I9" s="13">
        <f>H9-K10</f>
        <v>5.640508</v>
      </c>
      <c r="J9" s="19" t="s">
        <v>21</v>
      </c>
      <c r="K9" s="10">
        <v>120</v>
      </c>
      <c r="L9" s="10">
        <v>0.89</v>
      </c>
      <c r="M9" s="20"/>
    </row>
    <row r="10" s="1" customFormat="1" ht="25" customHeight="1" spans="1:13">
      <c r="A10" s="7">
        <v>5</v>
      </c>
      <c r="B10" s="8" t="s">
        <v>22</v>
      </c>
      <c r="C10" s="10">
        <v>3.5505</v>
      </c>
      <c r="D10" s="10">
        <v>2.268</v>
      </c>
      <c r="E10" s="10">
        <f t="shared" si="0"/>
        <v>5.8185</v>
      </c>
      <c r="F10" s="10" t="s">
        <v>14</v>
      </c>
      <c r="G10" s="10">
        <f>10.7865+8.2215+8.424+5.8185</f>
        <v>33.2505</v>
      </c>
      <c r="H10" s="10"/>
      <c r="I10" s="10">
        <f>G10/(G3*0.1865)</f>
        <v>4.29606899447657</v>
      </c>
      <c r="J10" s="19" t="s">
        <v>23</v>
      </c>
      <c r="K10" s="20">
        <f>0+0+0+0.269492</f>
        <v>0.269492</v>
      </c>
      <c r="L10" s="10"/>
      <c r="M10" s="10">
        <f>C9*L9/100</f>
        <v>0.269492</v>
      </c>
    </row>
    <row r="11" s="1" customFormat="1" ht="25" customHeight="1" spans="1:13">
      <c r="A11" s="7">
        <v>6</v>
      </c>
      <c r="B11" s="8" t="s">
        <v>24</v>
      </c>
      <c r="C11" s="10">
        <v>5.5016</v>
      </c>
      <c r="D11" s="10">
        <v>0</v>
      </c>
      <c r="E11" s="10">
        <f t="shared" si="0"/>
        <v>5.5016</v>
      </c>
      <c r="F11" s="10" t="s">
        <v>14</v>
      </c>
      <c r="G11" s="10">
        <f>13.1744+10.1568+16.4312+5.5016</f>
        <v>45.264</v>
      </c>
      <c r="H11" s="10"/>
      <c r="I11" s="10">
        <f>G11/(G3*0.1865)</f>
        <v>5.84825091249717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135</v>
      </c>
      <c r="D12" s="10">
        <v>141</v>
      </c>
      <c r="E12" s="10">
        <f t="shared" si="0"/>
        <v>276</v>
      </c>
      <c r="F12" s="10" t="s">
        <v>26</v>
      </c>
      <c r="G12" s="10">
        <f>443+417+312+276</f>
        <v>1448</v>
      </c>
      <c r="H12" s="10">
        <f>G12*1.05</f>
        <v>1520.4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115</v>
      </c>
      <c r="D13" s="10">
        <v>93</v>
      </c>
      <c r="E13" s="10">
        <f t="shared" ref="E13:E21" si="1">D13+C13</f>
        <v>208</v>
      </c>
      <c r="F13" s="10" t="s">
        <v>26</v>
      </c>
      <c r="G13" s="10">
        <f>438+425+240+208</f>
        <v>1311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457.17</v>
      </c>
      <c r="D14" s="10">
        <v>382.9</v>
      </c>
      <c r="E14" s="10">
        <f t="shared" si="1"/>
        <v>840.07</v>
      </c>
      <c r="F14" s="10" t="s">
        <v>26</v>
      </c>
      <c r="G14" s="10">
        <f>882.29+802.31+278.08+840.07</f>
        <v>2802.75</v>
      </c>
      <c r="H14" s="10"/>
      <c r="I14" s="10"/>
      <c r="J14" s="19" t="s">
        <v>29</v>
      </c>
      <c r="K14" s="10">
        <v>3.53</v>
      </c>
      <c r="L14" s="10">
        <v>3.36</v>
      </c>
      <c r="M14" s="10"/>
    </row>
    <row r="15" s="1" customFormat="1" ht="25" customHeight="1" spans="1:13">
      <c r="A15" s="7">
        <v>10</v>
      </c>
      <c r="B15" s="8" t="s">
        <v>30</v>
      </c>
      <c r="C15" s="10">
        <v>6</v>
      </c>
      <c r="D15" s="10">
        <v>13</v>
      </c>
      <c r="E15" s="10">
        <f t="shared" si="1"/>
        <v>19</v>
      </c>
      <c r="F15" s="10" t="s">
        <v>14</v>
      </c>
      <c r="G15" s="10">
        <f>33+33+21+19</f>
        <v>106</v>
      </c>
      <c r="H15" s="10"/>
      <c r="I15" s="10">
        <f>G15/(G3*0.1865)</f>
        <v>13.6955328014471</v>
      </c>
      <c r="J15" s="19" t="s">
        <v>31</v>
      </c>
      <c r="K15" s="20">
        <f>2.6778576+2.4526005+0.9556818+2.9003541</f>
        <v>8.986494</v>
      </c>
      <c r="L15" s="10"/>
      <c r="M15" s="10">
        <f>(C14*K14+L14*D14)/1000</f>
        <v>2.9003541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0.0375</v>
      </c>
      <c r="E16" s="10">
        <f t="shared" si="1"/>
        <v>0.0375</v>
      </c>
      <c r="F16" s="10" t="s">
        <v>14</v>
      </c>
      <c r="G16" s="10">
        <f>0+0+0.15+0.0375</f>
        <v>0.1875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2+0+2+0</f>
        <v>4</v>
      </c>
      <c r="H17" s="22"/>
      <c r="I17" s="10">
        <f>G17/(G3*0.1865)</f>
        <v>0.516812558545173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2+0+2+0</f>
        <v>4</v>
      </c>
      <c r="H18" s="22"/>
      <c r="I18" s="10">
        <f>G18/(G3*0.1865)</f>
        <v>0.516812558545173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4</v>
      </c>
      <c r="D19" s="7">
        <v>6</v>
      </c>
      <c r="E19" s="10">
        <f t="shared" si="1"/>
        <v>10</v>
      </c>
      <c r="F19" s="10" t="s">
        <v>36</v>
      </c>
      <c r="G19" s="10">
        <f>7+8+3+10</f>
        <v>28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565</v>
      </c>
      <c r="D20" s="7">
        <v>611</v>
      </c>
      <c r="E20" s="10">
        <f t="shared" si="1"/>
        <v>1176</v>
      </c>
      <c r="F20" s="10" t="s">
        <v>26</v>
      </c>
      <c r="G20" s="10">
        <f>1327+1206+823+1176</f>
        <v>4532</v>
      </c>
      <c r="H20" s="23"/>
      <c r="I20" s="10">
        <f>E20/M20</f>
        <v>49</v>
      </c>
      <c r="J20" s="19" t="s">
        <v>38</v>
      </c>
      <c r="K20" s="10">
        <f>24+24+13.5+24</f>
        <v>85.5</v>
      </c>
      <c r="L20" s="10">
        <f>G20/K20</f>
        <v>53.0058479532164</v>
      </c>
      <c r="M20" s="10">
        <v>24</v>
      </c>
    </row>
    <row r="21" s="1" customFormat="1" ht="25" customHeight="1" spans="1:13">
      <c r="A21" s="12">
        <v>16</v>
      </c>
      <c r="B21" s="8" t="s">
        <v>39</v>
      </c>
      <c r="C21" s="7">
        <v>677</v>
      </c>
      <c r="D21" s="7">
        <v>524</v>
      </c>
      <c r="E21" s="10">
        <f t="shared" si="1"/>
        <v>1201</v>
      </c>
      <c r="F21" s="10" t="s">
        <v>26</v>
      </c>
      <c r="G21" s="10">
        <f>1719+1515+850+1201</f>
        <v>5285</v>
      </c>
      <c r="H21" s="22"/>
      <c r="I21" s="10">
        <f>E21/M20</f>
        <v>50.0416666666667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28.42</v>
      </c>
      <c r="D22" s="12">
        <v>31.56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73</v>
      </c>
      <c r="D23" s="28"/>
      <c r="E23" s="28"/>
      <c r="F23" s="28"/>
      <c r="G23" s="28"/>
      <c r="H23" s="29"/>
      <c r="I23" s="30" t="s">
        <v>44</v>
      </c>
      <c r="J23" s="26" t="s">
        <v>45</v>
      </c>
      <c r="K23" s="27" t="s">
        <v>77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74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77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78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6.27</v>
      </c>
      <c r="D30" s="10">
        <v>6.28</v>
      </c>
      <c r="E30" s="10">
        <f t="shared" si="2"/>
        <v>12.55</v>
      </c>
      <c r="F30" s="10" t="s">
        <v>26</v>
      </c>
      <c r="G30" s="10">
        <f>12.69+12.67+6.3+12.55</f>
        <v>44.21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19</v>
      </c>
      <c r="D31" s="10">
        <v>6</v>
      </c>
      <c r="E31" s="10">
        <f t="shared" si="2"/>
        <v>25</v>
      </c>
      <c r="F31" s="10" t="s">
        <v>26</v>
      </c>
      <c r="G31" s="10">
        <f>10+55+18+25</f>
        <v>108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7.803+0+7.776+0</f>
        <v>15.579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502</v>
      </c>
      <c r="D35" s="10">
        <v>502</v>
      </c>
      <c r="E35" s="10">
        <f t="shared" si="2"/>
        <v>1004</v>
      </c>
      <c r="F35" s="10" t="s">
        <v>26</v>
      </c>
      <c r="G35" s="10">
        <f>989+992+1002+1004</f>
        <v>3987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</f>
        <v>0</v>
      </c>
      <c r="H36" s="22"/>
      <c r="I36" s="7">
        <v>1290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</f>
        <v>0</v>
      </c>
      <c r="H37" s="22"/>
      <c r="I37" s="7">
        <v>65.145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0</v>
      </c>
      <c r="D38" s="7">
        <v>2</v>
      </c>
      <c r="E38" s="10">
        <f>D38+C38</f>
        <v>2</v>
      </c>
      <c r="F38" s="10" t="s">
        <v>36</v>
      </c>
      <c r="G38" s="10">
        <f>7+3+2+2</f>
        <v>14</v>
      </c>
      <c r="H38" s="22"/>
      <c r="I38" s="10">
        <v>0</v>
      </c>
      <c r="J38" s="35"/>
      <c r="K38" s="27"/>
      <c r="L38" s="19" t="s">
        <v>66</v>
      </c>
      <c r="M38" s="7">
        <v>12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6.5</v>
      </c>
      <c r="E3" s="10">
        <f t="shared" ref="E3:E12" si="0">C3+D3</f>
        <v>13</v>
      </c>
      <c r="F3" s="10" t="s">
        <v>14</v>
      </c>
      <c r="G3" s="10">
        <f>9+18+11+3.5+13</f>
        <v>54.5</v>
      </c>
      <c r="H3" s="10">
        <v>320</v>
      </c>
      <c r="I3" s="10">
        <f>H3-G3</f>
        <v>265.5</v>
      </c>
      <c r="J3" s="11"/>
      <c r="K3" s="10"/>
      <c r="L3" s="10"/>
      <c r="M3" s="10">
        <f>I3/26</f>
        <v>10.2115384615385</v>
      </c>
    </row>
    <row r="4" s="1" customFormat="1" ht="35" customHeight="1" spans="1:13">
      <c r="A4" s="12">
        <v>2</v>
      </c>
      <c r="B4" s="8" t="s">
        <v>15</v>
      </c>
      <c r="C4" s="9">
        <v>2</v>
      </c>
      <c r="D4" s="9"/>
      <c r="E4" s="10">
        <f t="shared" si="0"/>
        <v>2</v>
      </c>
      <c r="F4" s="10" t="s">
        <v>14</v>
      </c>
      <c r="G4" s="10">
        <f>6+8+18+12+2</f>
        <v>46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</f>
        <v>0</v>
      </c>
      <c r="H5" s="10">
        <v>4836</v>
      </c>
      <c r="I5" s="10">
        <f>H5-G5-G7-G6</f>
        <v>4004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94</v>
      </c>
      <c r="D6" s="10">
        <v>65</v>
      </c>
      <c r="E6" s="10">
        <f t="shared" si="0"/>
        <v>159</v>
      </c>
      <c r="F6" s="10" t="s">
        <v>14</v>
      </c>
      <c r="G6" s="10">
        <f>202+207+88+172+159</f>
        <v>828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30.9</v>
      </c>
      <c r="D9" s="13"/>
      <c r="E9" s="10">
        <f t="shared" si="0"/>
        <v>30.9</v>
      </c>
      <c r="F9" s="13" t="s">
        <v>14</v>
      </c>
      <c r="G9" s="10">
        <f>0+0+0+30.28+30.9</f>
        <v>61.18</v>
      </c>
      <c r="H9" s="13">
        <v>5.91</v>
      </c>
      <c r="I9" s="13">
        <f>H9-K10</f>
        <v>5.359318</v>
      </c>
      <c r="J9" s="19" t="s">
        <v>21</v>
      </c>
      <c r="K9" s="10">
        <v>120</v>
      </c>
      <c r="L9" s="10">
        <v>0.91</v>
      </c>
      <c r="M9" s="20"/>
    </row>
    <row r="10" s="1" customFormat="1" ht="25" customHeight="1" spans="1:13">
      <c r="A10" s="7">
        <v>5</v>
      </c>
      <c r="B10" s="8" t="s">
        <v>22</v>
      </c>
      <c r="C10" s="10">
        <v>6.1695</v>
      </c>
      <c r="D10" s="10">
        <v>0</v>
      </c>
      <c r="E10" s="10">
        <f t="shared" si="0"/>
        <v>6.1695</v>
      </c>
      <c r="F10" s="10" t="s">
        <v>14</v>
      </c>
      <c r="G10" s="10">
        <f>10.7865+8.2215+8.424+5.8185+6.1695</f>
        <v>39.42</v>
      </c>
      <c r="H10" s="10"/>
      <c r="I10" s="10">
        <f>G10/(G3*0.1865)</f>
        <v>3.87829893991195</v>
      </c>
      <c r="J10" s="19" t="s">
        <v>23</v>
      </c>
      <c r="K10" s="20">
        <f>0+0+0+0.269492+0.28119</f>
        <v>0.550682</v>
      </c>
      <c r="L10" s="10"/>
      <c r="M10" s="10">
        <f>C9*L9/100</f>
        <v>0.28119</v>
      </c>
    </row>
    <row r="11" s="1" customFormat="1" ht="25" customHeight="1" spans="1:13">
      <c r="A11" s="7">
        <v>6</v>
      </c>
      <c r="B11" s="8" t="s">
        <v>24</v>
      </c>
      <c r="C11" s="10">
        <v>16.1552</v>
      </c>
      <c r="D11" s="10">
        <v>0</v>
      </c>
      <c r="E11" s="10">
        <f t="shared" si="0"/>
        <v>16.1552</v>
      </c>
      <c r="F11" s="10" t="s">
        <v>14</v>
      </c>
      <c r="G11" s="10">
        <f>13.1744+10.1568+16.4312+5.5016+16.1552</f>
        <v>61.4192</v>
      </c>
      <c r="H11" s="10"/>
      <c r="I11" s="10">
        <f>G11/(G3*0.1865)</f>
        <v>6.0426691590624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189</v>
      </c>
      <c r="D12" s="10">
        <v>154</v>
      </c>
      <c r="E12" s="10">
        <f t="shared" si="0"/>
        <v>343</v>
      </c>
      <c r="F12" s="10" t="s">
        <v>26</v>
      </c>
      <c r="G12" s="10">
        <f>443+417+312+276+343</f>
        <v>1791</v>
      </c>
      <c r="H12" s="10">
        <f>G12*1.05</f>
        <v>1880.55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192</v>
      </c>
      <c r="D13" s="10">
        <v>158</v>
      </c>
      <c r="E13" s="10">
        <f t="shared" ref="E13:E21" si="1">D13+C13</f>
        <v>350</v>
      </c>
      <c r="F13" s="10" t="s">
        <v>26</v>
      </c>
      <c r="G13" s="10">
        <f>438+425+240+208+350</f>
        <v>1661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268.85</v>
      </c>
      <c r="D14" s="10">
        <v>314.38</v>
      </c>
      <c r="E14" s="10">
        <f t="shared" si="1"/>
        <v>583.23</v>
      </c>
      <c r="F14" s="10" t="s">
        <v>26</v>
      </c>
      <c r="G14" s="10">
        <f>882.29+802.31+278.08+840.07+583.23</f>
        <v>3385.98</v>
      </c>
      <c r="H14" s="10"/>
      <c r="I14" s="10"/>
      <c r="J14" s="19" t="s">
        <v>29</v>
      </c>
      <c r="K14" s="10">
        <v>3.17</v>
      </c>
      <c r="L14" s="10">
        <v>3.13</v>
      </c>
      <c r="M14" s="10"/>
    </row>
    <row r="15" s="1" customFormat="1" ht="25" customHeight="1" spans="1:13">
      <c r="A15" s="7">
        <v>10</v>
      </c>
      <c r="B15" s="8" t="s">
        <v>30</v>
      </c>
      <c r="C15" s="10">
        <v>9</v>
      </c>
      <c r="D15" s="10">
        <v>15</v>
      </c>
      <c r="E15" s="10">
        <f t="shared" si="1"/>
        <v>24</v>
      </c>
      <c r="F15" s="10" t="s">
        <v>14</v>
      </c>
      <c r="G15" s="10">
        <f>33+33+21+19+24</f>
        <v>130</v>
      </c>
      <c r="H15" s="10"/>
      <c r="I15" s="10">
        <f>G15/(G3*0.1865)</f>
        <v>12.7899254740881</v>
      </c>
      <c r="J15" s="19" t="s">
        <v>31</v>
      </c>
      <c r="K15" s="20">
        <f>2.6778576+2.4526005+0.9556818+2.9003541+1.8362639</f>
        <v>10.8227579</v>
      </c>
      <c r="L15" s="10"/>
      <c r="M15" s="10">
        <f>(C14*K14+L14*D14)/1000</f>
        <v>1.8362639</v>
      </c>
    </row>
    <row r="16" s="1" customFormat="1" ht="25" customHeight="1" spans="1:13">
      <c r="A16" s="7">
        <v>11</v>
      </c>
      <c r="B16" s="8" t="s">
        <v>32</v>
      </c>
      <c r="C16" s="7">
        <v>0.0375</v>
      </c>
      <c r="D16" s="7">
        <v>0</v>
      </c>
      <c r="E16" s="10">
        <f t="shared" si="1"/>
        <v>0.0375</v>
      </c>
      <c r="F16" s="10" t="s">
        <v>14</v>
      </c>
      <c r="G16" s="10">
        <f>0+0+0.15+0.0375+0.0375</f>
        <v>0.225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2+0+2+0+2</f>
        <v>6</v>
      </c>
      <c r="H17" s="22"/>
      <c r="I17" s="10">
        <f>G17/(G3*0.1865)</f>
        <v>0.59030425265022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2+0+2+0+2</f>
        <v>6</v>
      </c>
      <c r="H18" s="22"/>
      <c r="I18" s="10">
        <f>G18/(G3*0.1865)</f>
        <v>0.59030425265022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0</v>
      </c>
      <c r="D19" s="7">
        <v>2</v>
      </c>
      <c r="E19" s="10">
        <f t="shared" si="1"/>
        <v>2</v>
      </c>
      <c r="F19" s="10" t="s">
        <v>36</v>
      </c>
      <c r="G19" s="10">
        <f>7+8+3+10+2</f>
        <v>30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590</v>
      </c>
      <c r="D20" s="7">
        <v>549</v>
      </c>
      <c r="E20" s="10">
        <f t="shared" si="1"/>
        <v>1139</v>
      </c>
      <c r="F20" s="10" t="s">
        <v>26</v>
      </c>
      <c r="G20" s="10">
        <f>1327+1206+823+1176+1139</f>
        <v>5671</v>
      </c>
      <c r="H20" s="23"/>
      <c r="I20" s="10">
        <f>E20/M20</f>
        <v>47.4583333333333</v>
      </c>
      <c r="J20" s="19" t="s">
        <v>38</v>
      </c>
      <c r="K20" s="10">
        <f>24+24+13.5+24+24</f>
        <v>109.5</v>
      </c>
      <c r="L20" s="10">
        <f>G20/K20</f>
        <v>51.7899543378995</v>
      </c>
      <c r="M20" s="10">
        <v>24</v>
      </c>
    </row>
    <row r="21" s="1" customFormat="1" ht="25" customHeight="1" spans="1:13">
      <c r="A21" s="12">
        <v>16</v>
      </c>
      <c r="B21" s="8" t="s">
        <v>39</v>
      </c>
      <c r="C21" s="7">
        <v>754</v>
      </c>
      <c r="D21" s="7">
        <v>523</v>
      </c>
      <c r="E21" s="10">
        <f t="shared" si="1"/>
        <v>1277</v>
      </c>
      <c r="F21" s="10" t="s">
        <v>26</v>
      </c>
      <c r="G21" s="10">
        <f>1719+1515+850+1201+1277</f>
        <v>6562</v>
      </c>
      <c r="H21" s="22"/>
      <c r="I21" s="10">
        <f>E21/M20</f>
        <v>53.2083333333333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31.25</v>
      </c>
      <c r="D22" s="12">
        <v>26.88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77</v>
      </c>
      <c r="D23" s="28"/>
      <c r="E23" s="28"/>
      <c r="F23" s="28"/>
      <c r="G23" s="28"/>
      <c r="H23" s="29"/>
      <c r="I23" s="30" t="s">
        <v>80</v>
      </c>
      <c r="J23" s="26" t="s">
        <v>45</v>
      </c>
      <c r="K23" s="27" t="s">
        <v>77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77</v>
      </c>
      <c r="D24" s="28"/>
      <c r="E24" s="28"/>
      <c r="F24" s="28"/>
      <c r="G24" s="28"/>
      <c r="H24" s="29"/>
      <c r="I24" s="30" t="s">
        <v>80</v>
      </c>
      <c r="J24" s="26" t="s">
        <v>49</v>
      </c>
      <c r="K24" s="27" t="s">
        <v>77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81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6.29</v>
      </c>
      <c r="D30" s="10">
        <v>0</v>
      </c>
      <c r="E30" s="10">
        <f t="shared" si="2"/>
        <v>6.29</v>
      </c>
      <c r="F30" s="10" t="s">
        <v>26</v>
      </c>
      <c r="G30" s="10">
        <f>12.69+12.67+6.3+12.55+6.29</f>
        <v>50.5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13.23</v>
      </c>
      <c r="D31" s="10">
        <v>13</v>
      </c>
      <c r="E31" s="10">
        <f t="shared" si="2"/>
        <v>26.23</v>
      </c>
      <c r="F31" s="10" t="s">
        <v>26</v>
      </c>
      <c r="G31" s="10">
        <f>10+55+18+25+26.23</f>
        <v>134.23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11.2725</v>
      </c>
      <c r="D32" s="10">
        <v>0</v>
      </c>
      <c r="E32" s="10">
        <f t="shared" si="2"/>
        <v>11.2725</v>
      </c>
      <c r="F32" s="10" t="s">
        <v>14</v>
      </c>
      <c r="G32" s="10">
        <f>7.803+0+7.776+0+11.2725</f>
        <v>26.8515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502</v>
      </c>
      <c r="D35" s="10">
        <v>503</v>
      </c>
      <c r="E35" s="10">
        <f t="shared" si="2"/>
        <v>1005</v>
      </c>
      <c r="F35" s="10" t="s">
        <v>26</v>
      </c>
      <c r="G35" s="10">
        <f>989+992+1002+1004+1005</f>
        <v>4992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</f>
        <v>0</v>
      </c>
      <c r="H36" s="22"/>
      <c r="I36" s="7">
        <v>1275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</f>
        <v>0</v>
      </c>
      <c r="H37" s="22"/>
      <c r="I37" s="7">
        <v>64.2764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3</v>
      </c>
      <c r="D38" s="7">
        <v>0</v>
      </c>
      <c r="E38" s="10">
        <f>D38+C38</f>
        <v>3</v>
      </c>
      <c r="F38" s="10" t="s">
        <v>36</v>
      </c>
      <c r="G38" s="10">
        <f>7+3+2+2+3</f>
        <v>17</v>
      </c>
      <c r="H38" s="22"/>
      <c r="I38" s="10">
        <v>0</v>
      </c>
      <c r="J38" s="35"/>
      <c r="K38" s="27"/>
      <c r="L38" s="19" t="s">
        <v>66</v>
      </c>
      <c r="M38" s="7">
        <v>15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5.5</v>
      </c>
      <c r="D3" s="9">
        <v>9</v>
      </c>
      <c r="E3" s="10">
        <f t="shared" ref="E3:E12" si="0">C3+D3</f>
        <v>14.5</v>
      </c>
      <c r="F3" s="10" t="s">
        <v>14</v>
      </c>
      <c r="G3" s="10">
        <f>9+18+11+3.5+13+14.5</f>
        <v>69</v>
      </c>
      <c r="H3" s="10">
        <v>320</v>
      </c>
      <c r="I3" s="10">
        <f>H3-G3</f>
        <v>251</v>
      </c>
      <c r="J3" s="11"/>
      <c r="K3" s="10"/>
      <c r="L3" s="10"/>
      <c r="M3" s="10">
        <f>I3/25</f>
        <v>10.04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</f>
        <v>60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</f>
        <v>0</v>
      </c>
      <c r="H5" s="10">
        <v>4836</v>
      </c>
      <c r="I5" s="10">
        <f>H5-G5-G7-G6</f>
        <v>3866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96</v>
      </c>
      <c r="D6" s="10">
        <v>42</v>
      </c>
      <c r="E6" s="10">
        <f t="shared" si="0"/>
        <v>138</v>
      </c>
      <c r="F6" s="10" t="s">
        <v>14</v>
      </c>
      <c r="G6" s="10">
        <f>202+207+88+172+159+138</f>
        <v>966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31.12</v>
      </c>
      <c r="D9" s="13"/>
      <c r="E9" s="10">
        <f t="shared" si="0"/>
        <v>31.12</v>
      </c>
      <c r="F9" s="13" t="s">
        <v>14</v>
      </c>
      <c r="G9" s="10">
        <f>0+0+0+30.28+30.9+31.12</f>
        <v>92.3</v>
      </c>
      <c r="H9" s="13">
        <v>5.91</v>
      </c>
      <c r="I9" s="13">
        <f>H9-K10</f>
        <v>5.076126</v>
      </c>
      <c r="J9" s="19" t="s">
        <v>21</v>
      </c>
      <c r="K9" s="10">
        <v>90</v>
      </c>
      <c r="L9" s="10">
        <v>0.91</v>
      </c>
      <c r="M9" s="20"/>
    </row>
    <row r="10" s="1" customFormat="1" ht="25" customHeight="1" spans="1:13">
      <c r="A10" s="7">
        <v>5</v>
      </c>
      <c r="B10" s="8" t="s">
        <v>22</v>
      </c>
      <c r="C10" s="10">
        <v>7.56</v>
      </c>
      <c r="D10" s="10">
        <v>3.186</v>
      </c>
      <c r="E10" s="10">
        <f t="shared" si="0"/>
        <v>10.746</v>
      </c>
      <c r="F10" s="10" t="s">
        <v>14</v>
      </c>
      <c r="G10" s="10">
        <f>10.7865+8.2215+8.424+5.8185+6.1695+10.746</f>
        <v>50.166</v>
      </c>
      <c r="H10" s="10"/>
      <c r="I10" s="10">
        <f>G10/(G3*0.1865)</f>
        <v>3.89835645180091</v>
      </c>
      <c r="J10" s="19" t="s">
        <v>23</v>
      </c>
      <c r="K10" s="20">
        <f>0+0+0+0.269492+0.28119+0.283192</f>
        <v>0.833874</v>
      </c>
      <c r="L10" s="10"/>
      <c r="M10" s="10">
        <f>C9*L9/100</f>
        <v>0.283192</v>
      </c>
    </row>
    <row r="11" s="1" customFormat="1" ht="25" customHeight="1" spans="1:13">
      <c r="A11" s="7">
        <v>6</v>
      </c>
      <c r="B11" s="8" t="s">
        <v>24</v>
      </c>
      <c r="C11" s="10">
        <v>10.7272</v>
      </c>
      <c r="D11" s="10">
        <v>0</v>
      </c>
      <c r="E11" s="10">
        <f t="shared" si="0"/>
        <v>10.7272</v>
      </c>
      <c r="F11" s="10" t="s">
        <v>14</v>
      </c>
      <c r="G11" s="10">
        <f>13.1744+10.1568+16.4312+5.5016+16.1552+10.7272</f>
        <v>72.1464</v>
      </c>
      <c r="H11" s="10"/>
      <c r="I11" s="10">
        <f>G11/(G3*0.1865)</f>
        <v>5.60643431635389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199</v>
      </c>
      <c r="D12" s="10">
        <v>148</v>
      </c>
      <c r="E12" s="10">
        <f t="shared" si="0"/>
        <v>347</v>
      </c>
      <c r="F12" s="10" t="s">
        <v>26</v>
      </c>
      <c r="G12" s="10">
        <f>443+417+312+276+343+347</f>
        <v>2138</v>
      </c>
      <c r="H12" s="10">
        <f>G12*1.05</f>
        <v>2244.9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194</v>
      </c>
      <c r="D13" s="10">
        <v>195</v>
      </c>
      <c r="E13" s="10">
        <f t="shared" ref="E13:E21" si="1">D13+C13</f>
        <v>389</v>
      </c>
      <c r="F13" s="10" t="s">
        <v>26</v>
      </c>
      <c r="G13" s="10">
        <f>438+425+240+208+350+389</f>
        <v>2050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407.14</v>
      </c>
      <c r="D14" s="10">
        <v>238.31</v>
      </c>
      <c r="E14" s="10">
        <f t="shared" si="1"/>
        <v>645.45</v>
      </c>
      <c r="F14" s="10" t="s">
        <v>26</v>
      </c>
      <c r="G14" s="10">
        <f>882.29+802.31+278.08+840.07+583.23+645.45</f>
        <v>4031.43</v>
      </c>
      <c r="H14" s="10"/>
      <c r="I14" s="10"/>
      <c r="J14" s="19" t="s">
        <v>29</v>
      </c>
      <c r="K14" s="10">
        <v>3.07</v>
      </c>
      <c r="L14" s="10">
        <v>2.99</v>
      </c>
      <c r="M14" s="10"/>
    </row>
    <row r="15" s="1" customFormat="1" ht="25" customHeight="1" spans="1:13">
      <c r="A15" s="7">
        <v>10</v>
      </c>
      <c r="B15" s="8" t="s">
        <v>30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33+33+21+19+24+30</f>
        <v>160</v>
      </c>
      <c r="H15" s="10"/>
      <c r="I15" s="10">
        <f>G15/(G3*0.1865)</f>
        <v>12.4334615534056</v>
      </c>
      <c r="J15" s="19" t="s">
        <v>31</v>
      </c>
      <c r="K15" s="20">
        <f>2.6778576+2.4526005+0.9556818+2.9003541+1.8362639+1.9624667</f>
        <v>12.7852246</v>
      </c>
      <c r="L15" s="10"/>
      <c r="M15" s="10">
        <f>(C14*K14+L14*D14)/1000</f>
        <v>1.9624667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0+0+0.15+0.0375+0.0375+0</f>
        <v>0.225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2+0+2+0+2+0</f>
        <v>6</v>
      </c>
      <c r="H17" s="22"/>
      <c r="I17" s="10">
        <f>G17/(G3*0.1865)</f>
        <v>0.46625480825271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2+0+2+0+2+0</f>
        <v>6</v>
      </c>
      <c r="H18" s="22"/>
      <c r="I18" s="10">
        <f>G18/(G3*0.1865)</f>
        <v>0.46625480825271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5</v>
      </c>
      <c r="D19" s="7">
        <v>1</v>
      </c>
      <c r="E19" s="10">
        <f t="shared" si="1"/>
        <v>6</v>
      </c>
      <c r="F19" s="10" t="s">
        <v>36</v>
      </c>
      <c r="G19" s="10">
        <f>7+8+3+10+2+6</f>
        <v>36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539</v>
      </c>
      <c r="D20" s="7">
        <v>354</v>
      </c>
      <c r="E20" s="10">
        <f t="shared" si="1"/>
        <v>893</v>
      </c>
      <c r="F20" s="10" t="s">
        <v>26</v>
      </c>
      <c r="G20" s="10">
        <f>1327+1206+823+1176+1139+893</f>
        <v>6564</v>
      </c>
      <c r="H20" s="23"/>
      <c r="I20" s="10">
        <f>E20/M20</f>
        <v>48.2702702702703</v>
      </c>
      <c r="J20" s="19" t="s">
        <v>38</v>
      </c>
      <c r="K20" s="10">
        <f>24+24+13.5+24+24+18.5</f>
        <v>128</v>
      </c>
      <c r="L20" s="10">
        <f>G20/K20</f>
        <v>51.28125</v>
      </c>
      <c r="M20" s="10">
        <v>18.5</v>
      </c>
    </row>
    <row r="21" s="1" customFormat="1" ht="25" customHeight="1" spans="1:13">
      <c r="A21" s="12">
        <v>16</v>
      </c>
      <c r="B21" s="8" t="s">
        <v>39</v>
      </c>
      <c r="C21" s="7">
        <v>700</v>
      </c>
      <c r="D21" s="7">
        <v>435</v>
      </c>
      <c r="E21" s="10">
        <f t="shared" si="1"/>
        <v>1135</v>
      </c>
      <c r="F21" s="10" t="s">
        <v>26</v>
      </c>
      <c r="G21" s="10">
        <f>1719+1515+850+1201+1277+1135</f>
        <v>7697</v>
      </c>
      <c r="H21" s="22"/>
      <c r="I21" s="10">
        <f>E21/M20</f>
        <v>61.3513513513514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27.76</v>
      </c>
      <c r="D22" s="12">
        <v>30.2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77</v>
      </c>
      <c r="D23" s="28"/>
      <c r="E23" s="28"/>
      <c r="F23" s="28"/>
      <c r="G23" s="28"/>
      <c r="H23" s="29"/>
      <c r="I23" s="30" t="s">
        <v>80</v>
      </c>
      <c r="J23" s="26" t="s">
        <v>45</v>
      </c>
      <c r="K23" s="27" t="s">
        <v>77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77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77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83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6.25</v>
      </c>
      <c r="D30" s="10">
        <v>0</v>
      </c>
      <c r="E30" s="10">
        <f t="shared" si="2"/>
        <v>6.25</v>
      </c>
      <c r="F30" s="10" t="s">
        <v>26</v>
      </c>
      <c r="G30" s="10">
        <f>12.69+12.67+6.3+12.55+6.29+6.25</f>
        <v>56.75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11</v>
      </c>
      <c r="D31" s="10">
        <v>10</v>
      </c>
      <c r="E31" s="10">
        <f t="shared" si="2"/>
        <v>21</v>
      </c>
      <c r="F31" s="10" t="s">
        <v>26</v>
      </c>
      <c r="G31" s="10">
        <f>10+55+18+25+26.23+21</f>
        <v>155.23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7.803+0+7.776+0+11.2725+0</f>
        <v>26.8515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0+66+481+0+0+0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506</v>
      </c>
      <c r="D35" s="10">
        <v>504</v>
      </c>
      <c r="E35" s="10">
        <f t="shared" si="2"/>
        <v>1010</v>
      </c>
      <c r="F35" s="10" t="s">
        <v>26</v>
      </c>
      <c r="G35" s="10">
        <f>989+992+1002+1004+1005+1010</f>
        <v>6002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0+0+0+0+0+0</f>
        <v>0</v>
      </c>
      <c r="H36" s="22"/>
      <c r="I36" s="7">
        <v>637.5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0+0+0+0+0+0</f>
        <v>0</v>
      </c>
      <c r="H37" s="22"/>
      <c r="I37" s="7">
        <v>66.8822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2</v>
      </c>
      <c r="D38" s="7">
        <v>0</v>
      </c>
      <c r="E38" s="10">
        <f>D38+C38</f>
        <v>2</v>
      </c>
      <c r="F38" s="10" t="s">
        <v>36</v>
      </c>
      <c r="G38" s="10">
        <f>7+3+2+2+3+2</f>
        <v>19</v>
      </c>
      <c r="H38" s="22"/>
      <c r="I38" s="10">
        <v>0</v>
      </c>
      <c r="J38" s="35"/>
      <c r="K38" s="27"/>
      <c r="L38" s="19" t="s">
        <v>66</v>
      </c>
      <c r="M38" s="7">
        <v>17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1.5</v>
      </c>
      <c r="D3" s="9">
        <v>5.5</v>
      </c>
      <c r="E3" s="10">
        <f t="shared" ref="E3:E12" si="0">C3+D3</f>
        <v>7</v>
      </c>
      <c r="F3" s="10" t="s">
        <v>14</v>
      </c>
      <c r="G3" s="10">
        <f>9+18+11+3.5+13+14.5+7</f>
        <v>76</v>
      </c>
      <c r="H3" s="10">
        <v>320</v>
      </c>
      <c r="I3" s="10">
        <f>H3-G3</f>
        <v>244</v>
      </c>
      <c r="J3" s="11"/>
      <c r="K3" s="10"/>
      <c r="L3" s="10"/>
      <c r="M3" s="10">
        <f>I3/24</f>
        <v>10.1666666666667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6+8+18+12+2+14+14</f>
        <v>74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</f>
        <v>0</v>
      </c>
      <c r="H5" s="10">
        <v>4836</v>
      </c>
      <c r="I5" s="10">
        <f>H5-G5-G7-G6</f>
        <v>3719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104</v>
      </c>
      <c r="D6" s="10">
        <v>43</v>
      </c>
      <c r="E6" s="10">
        <f t="shared" si="0"/>
        <v>147</v>
      </c>
      <c r="F6" s="10" t="s">
        <v>14</v>
      </c>
      <c r="G6" s="10">
        <f>202+207+88+172+159+138+147</f>
        <v>1113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30.64</v>
      </c>
      <c r="D9" s="13"/>
      <c r="E9" s="10">
        <f t="shared" si="0"/>
        <v>30.64</v>
      </c>
      <c r="F9" s="13" t="s">
        <v>14</v>
      </c>
      <c r="G9" s="10">
        <f>0+0+0+30.28+30.9+31.12+30.64</f>
        <v>122.94</v>
      </c>
      <c r="H9" s="13">
        <v>5.91</v>
      </c>
      <c r="I9" s="13">
        <f>H9-K10</f>
        <v>4.785046</v>
      </c>
      <c r="J9" s="19" t="s">
        <v>21</v>
      </c>
      <c r="K9" s="10">
        <v>90</v>
      </c>
      <c r="L9" s="10">
        <v>0.95</v>
      </c>
      <c r="M9" s="20"/>
    </row>
    <row r="10" s="1" customFormat="1" ht="25" customHeight="1" spans="1:13">
      <c r="A10" s="7">
        <v>5</v>
      </c>
      <c r="B10" s="8" t="s">
        <v>22</v>
      </c>
      <c r="C10" s="10">
        <v>6.7095</v>
      </c>
      <c r="D10" s="10">
        <v>0</v>
      </c>
      <c r="E10" s="10">
        <f t="shared" si="0"/>
        <v>6.7095</v>
      </c>
      <c r="F10" s="10" t="s">
        <v>14</v>
      </c>
      <c r="G10" s="10">
        <f>10.7865+8.2215+8.424+5.8185+6.1695+10.746+6.7095</f>
        <v>56.8755</v>
      </c>
      <c r="H10" s="10"/>
      <c r="I10" s="10">
        <f>G10/(G3*0.1865)</f>
        <v>4.012664032736</v>
      </c>
      <c r="J10" s="19" t="s">
        <v>23</v>
      </c>
      <c r="K10" s="20">
        <f>0+0+0+0.269492+0.28119+0.283192+0.29108</f>
        <v>1.124954</v>
      </c>
      <c r="L10" s="10"/>
      <c r="M10" s="10">
        <f>C9*L9/100</f>
        <v>0.29108</v>
      </c>
    </row>
    <row r="11" s="1" customFormat="1" ht="25" customHeight="1" spans="1:13">
      <c r="A11" s="7">
        <v>6</v>
      </c>
      <c r="B11" s="8" t="s">
        <v>24</v>
      </c>
      <c r="C11" s="10">
        <v>10.5064</v>
      </c>
      <c r="D11" s="10">
        <v>0</v>
      </c>
      <c r="E11" s="10">
        <f t="shared" si="0"/>
        <v>10.5064</v>
      </c>
      <c r="F11" s="10" t="s">
        <v>14</v>
      </c>
      <c r="G11" s="10">
        <f>13.1744+10.1568+16.4312+5.5016+16.1552+10.7272+10.5064</f>
        <v>82.6528</v>
      </c>
      <c r="H11" s="10"/>
      <c r="I11" s="10">
        <f>G11/(G3*0.1865)</f>
        <v>5.83129674051079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152</v>
      </c>
      <c r="D12" s="10">
        <v>184</v>
      </c>
      <c r="E12" s="10">
        <f t="shared" si="0"/>
        <v>336</v>
      </c>
      <c r="F12" s="10" t="s">
        <v>26</v>
      </c>
      <c r="G12" s="10">
        <f>443+417+312+276+343+347+336</f>
        <v>2474</v>
      </c>
      <c r="H12" s="10">
        <f>G12*1.05</f>
        <v>2597.7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57</v>
      </c>
      <c r="D13" s="10">
        <v>234</v>
      </c>
      <c r="E13" s="10">
        <f t="shared" ref="E13:E21" si="1">D13+C13</f>
        <v>291</v>
      </c>
      <c r="F13" s="10" t="s">
        <v>26</v>
      </c>
      <c r="G13" s="10">
        <f>438+425+240+208+350+389+291</f>
        <v>2341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292</v>
      </c>
      <c r="D14" s="10">
        <v>379.67</v>
      </c>
      <c r="E14" s="10">
        <f t="shared" si="1"/>
        <v>671.67</v>
      </c>
      <c r="F14" s="10" t="s">
        <v>26</v>
      </c>
      <c r="G14" s="10">
        <f>882.29+802.31+278.08+840.07+583.23+645.45+671.67</f>
        <v>4703.1</v>
      </c>
      <c r="H14" s="10"/>
      <c r="I14" s="10"/>
      <c r="J14" s="19" t="s">
        <v>29</v>
      </c>
      <c r="K14" s="10">
        <v>2.87</v>
      </c>
      <c r="L14" s="10">
        <v>2.94</v>
      </c>
      <c r="M14" s="10"/>
    </row>
    <row r="15" s="1" customFormat="1" ht="25" customHeight="1" spans="1:13">
      <c r="A15" s="7">
        <v>10</v>
      </c>
      <c r="B15" s="8" t="s">
        <v>30</v>
      </c>
      <c r="C15" s="10">
        <v>6</v>
      </c>
      <c r="D15" s="10">
        <v>18</v>
      </c>
      <c r="E15" s="10">
        <f t="shared" si="1"/>
        <v>24</v>
      </c>
      <c r="F15" s="10" t="s">
        <v>14</v>
      </c>
      <c r="G15" s="10">
        <f>33+33+21+19+24+30+24</f>
        <v>184</v>
      </c>
      <c r="H15" s="10"/>
      <c r="I15" s="10">
        <f>G15/(G3*0.1865)</f>
        <v>12.9815154508255</v>
      </c>
      <c r="J15" s="19" t="s">
        <v>31</v>
      </c>
      <c r="K15" s="20">
        <f>2.6778576+2.4526005+0.9556818+2.9003541+1.8362639+1.9624667+1.9542698</f>
        <v>14.7394944</v>
      </c>
      <c r="L15" s="10"/>
      <c r="M15" s="10">
        <f>(C14*K14+L14*D14)/1000</f>
        <v>1.9542698</v>
      </c>
    </row>
    <row r="16" s="1" customFormat="1" ht="25" customHeight="1" spans="1:13">
      <c r="A16" s="7">
        <v>11</v>
      </c>
      <c r="B16" s="8" t="s">
        <v>32</v>
      </c>
      <c r="C16" s="7">
        <v>0.075</v>
      </c>
      <c r="D16" s="7">
        <v>0</v>
      </c>
      <c r="E16" s="10">
        <f t="shared" si="1"/>
        <v>0.075</v>
      </c>
      <c r="F16" s="10" t="s">
        <v>14</v>
      </c>
      <c r="G16" s="10">
        <f>0+0+0.15+0.0375+0.0375+0+0.075</f>
        <v>0.3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2+0+2+0+2+0+0</f>
        <v>6</v>
      </c>
      <c r="H17" s="22"/>
      <c r="I17" s="10">
        <f>G17/(G3*0.1865)</f>
        <v>0.42331028643996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2+0+2+0+2+0+0</f>
        <v>6</v>
      </c>
      <c r="H18" s="22"/>
      <c r="I18" s="10">
        <f>G18/(G3*0.1865)</f>
        <v>0.42331028643996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3</v>
      </c>
      <c r="D19" s="7">
        <v>2</v>
      </c>
      <c r="E19" s="10">
        <f t="shared" si="1"/>
        <v>5</v>
      </c>
      <c r="F19" s="10" t="s">
        <v>36</v>
      </c>
      <c r="G19" s="10">
        <f>7+8+3+10+2+6+5</f>
        <v>41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552</v>
      </c>
      <c r="D20" s="7">
        <v>300</v>
      </c>
      <c r="E20" s="10">
        <f t="shared" si="1"/>
        <v>852</v>
      </c>
      <c r="F20" s="10" t="s">
        <v>26</v>
      </c>
      <c r="G20" s="10">
        <f>1327+1206+823+1176+1139+893+852</f>
        <v>7416</v>
      </c>
      <c r="H20" s="23"/>
      <c r="I20" s="10">
        <f>E20/M20</f>
        <v>47.3333333333333</v>
      </c>
      <c r="J20" s="19" t="s">
        <v>38</v>
      </c>
      <c r="K20" s="10">
        <f>24+24+13.5+24+24+18.5+18</f>
        <v>146</v>
      </c>
      <c r="L20" s="10">
        <f>G20/K20</f>
        <v>50.7945205479452</v>
      </c>
      <c r="M20" s="10">
        <v>18</v>
      </c>
    </row>
    <row r="21" s="1" customFormat="1" ht="25" customHeight="1" spans="1:13">
      <c r="A21" s="12">
        <v>16</v>
      </c>
      <c r="B21" s="8" t="s">
        <v>39</v>
      </c>
      <c r="C21" s="7">
        <v>645</v>
      </c>
      <c r="D21" s="7">
        <v>424</v>
      </c>
      <c r="E21" s="10">
        <f t="shared" si="1"/>
        <v>1069</v>
      </c>
      <c r="F21" s="10" t="s">
        <v>26</v>
      </c>
      <c r="G21" s="10">
        <f>1719+1515+850+1201+1277+1135+1069</f>
        <v>8766</v>
      </c>
      <c r="H21" s="22"/>
      <c r="I21" s="10">
        <f>E21/M20</f>
        <v>59.3888888888889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27.71</v>
      </c>
      <c r="D22" s="12">
        <v>32.29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85</v>
      </c>
      <c r="D23" s="28"/>
      <c r="E23" s="28"/>
      <c r="F23" s="28"/>
      <c r="G23" s="28"/>
      <c r="H23" s="29"/>
      <c r="I23" s="30" t="s">
        <v>44</v>
      </c>
      <c r="J23" s="26" t="s">
        <v>45</v>
      </c>
      <c r="K23" s="27" t="s">
        <v>77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86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77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87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0</v>
      </c>
      <c r="D30" s="10">
        <v>6.24</v>
      </c>
      <c r="E30" s="10">
        <f t="shared" si="2"/>
        <v>6.24</v>
      </c>
      <c r="F30" s="10" t="s">
        <v>26</v>
      </c>
      <c r="G30" s="10">
        <f>12.69+12.67+6.3+12.55+6.29+6.25+6.24</f>
        <v>62.99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27</v>
      </c>
      <c r="D31" s="10">
        <v>0</v>
      </c>
      <c r="E31" s="10">
        <f t="shared" si="2"/>
        <v>27</v>
      </c>
      <c r="F31" s="10" t="s">
        <v>26</v>
      </c>
      <c r="G31" s="10">
        <f>10+55+18+25+26.23+21+27</f>
        <v>182.23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7.803+0+7.776+0+11.2725+0+0</f>
        <v>26.8515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0+66+481+0+0+0+0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506</v>
      </c>
      <c r="D35" s="10">
        <v>506</v>
      </c>
      <c r="E35" s="10">
        <f t="shared" si="2"/>
        <v>1012</v>
      </c>
      <c r="F35" s="10" t="s">
        <v>26</v>
      </c>
      <c r="G35" s="10">
        <f>989+992+1002+1004+1005+1010+1012</f>
        <v>7014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0+0+0+0+0+0+0</f>
        <v>0</v>
      </c>
      <c r="H36" s="22"/>
      <c r="I36" s="7">
        <v>1792.5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0+0+0+0+0+0+0</f>
        <v>0</v>
      </c>
      <c r="H37" s="22"/>
      <c r="I37" s="7">
        <v>65.145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0</v>
      </c>
      <c r="D38" s="7">
        <v>2</v>
      </c>
      <c r="E38" s="10">
        <f>D38+C38</f>
        <v>2</v>
      </c>
      <c r="F38" s="10" t="s">
        <v>36</v>
      </c>
      <c r="G38" s="10">
        <f>7+3+2+2+3+2+2</f>
        <v>21</v>
      </c>
      <c r="H38" s="22"/>
      <c r="I38" s="10">
        <v>0</v>
      </c>
      <c r="J38" s="35"/>
      <c r="K38" s="27"/>
      <c r="L38" s="19" t="s">
        <v>66</v>
      </c>
      <c r="M38" s="7">
        <v>19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3.5</v>
      </c>
      <c r="D3" s="9">
        <v>5</v>
      </c>
      <c r="E3" s="10">
        <f t="shared" ref="E3:E12" si="0">C3+D3</f>
        <v>8.5</v>
      </c>
      <c r="F3" s="10" t="s">
        <v>14</v>
      </c>
      <c r="G3" s="10">
        <f>9+18+11+3.5+13+14.5+7+8.5</f>
        <v>84.5</v>
      </c>
      <c r="H3" s="10">
        <v>320</v>
      </c>
      <c r="I3" s="10">
        <f>H3-G3</f>
        <v>235.5</v>
      </c>
      <c r="J3" s="11"/>
      <c r="K3" s="10"/>
      <c r="L3" s="10"/>
      <c r="M3" s="10">
        <f>I3/23</f>
        <v>10.2391304347826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6+8+18+12+2+14+14+8</f>
        <v>82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</f>
        <v>0</v>
      </c>
      <c r="H5" s="10">
        <v>4836</v>
      </c>
      <c r="I5" s="10">
        <f>H5-G5-G7-G6</f>
        <v>3700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19</v>
      </c>
      <c r="D6" s="10">
        <v>0</v>
      </c>
      <c r="E6" s="10">
        <f t="shared" si="0"/>
        <v>19</v>
      </c>
      <c r="F6" s="10" t="s">
        <v>14</v>
      </c>
      <c r="G6" s="10">
        <f>202+207+88+172+159+138+147+19</f>
        <v>1132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30.8</v>
      </c>
      <c r="D9" s="13"/>
      <c r="E9" s="10">
        <f t="shared" si="0"/>
        <v>30.8</v>
      </c>
      <c r="F9" s="13" t="s">
        <v>14</v>
      </c>
      <c r="G9" s="10">
        <f>0+0+0+30.28+30.9+31.12+30.64+30.8</f>
        <v>153.74</v>
      </c>
      <c r="H9" s="13">
        <v>5.91</v>
      </c>
      <c r="I9" s="13">
        <f>H9-K10</f>
        <v>4.520166</v>
      </c>
      <c r="J9" s="19" t="s">
        <v>21</v>
      </c>
      <c r="K9" s="10">
        <v>90</v>
      </c>
      <c r="L9" s="10">
        <v>0.86</v>
      </c>
      <c r="M9" s="20"/>
    </row>
    <row r="10" s="1" customFormat="1" ht="25" customHeight="1" spans="1:13">
      <c r="A10" s="7">
        <v>5</v>
      </c>
      <c r="B10" s="8" t="s">
        <v>22</v>
      </c>
      <c r="C10" s="10">
        <v>8.181</v>
      </c>
      <c r="D10" s="10">
        <v>0</v>
      </c>
      <c r="E10" s="10">
        <f t="shared" si="0"/>
        <v>8.181</v>
      </c>
      <c r="F10" s="10" t="s">
        <v>14</v>
      </c>
      <c r="G10" s="10">
        <f>10.7865+8.2215+8.424+5.8185+6.1695+10.746+6.7095+8.181</f>
        <v>65.0565</v>
      </c>
      <c r="H10" s="10"/>
      <c r="I10" s="10">
        <f>G10/(G3*0.1865)</f>
        <v>4.12814696130844</v>
      </c>
      <c r="J10" s="19" t="s">
        <v>23</v>
      </c>
      <c r="K10" s="20">
        <f>0+0+0+0.269492+0.28119+0.283192+0.29108+0.26488</f>
        <v>1.389834</v>
      </c>
      <c r="L10" s="10"/>
      <c r="M10" s="10">
        <f>C9*L9/100</f>
        <v>0.26488</v>
      </c>
    </row>
    <row r="11" s="1" customFormat="1" ht="25" customHeight="1" spans="1:13">
      <c r="A11" s="7">
        <v>6</v>
      </c>
      <c r="B11" s="8" t="s">
        <v>24</v>
      </c>
      <c r="C11" s="10">
        <v>12.8616</v>
      </c>
      <c r="D11" s="10">
        <v>0</v>
      </c>
      <c r="E11" s="10">
        <f t="shared" si="0"/>
        <v>12.8616</v>
      </c>
      <c r="F11" s="10" t="s">
        <v>14</v>
      </c>
      <c r="G11" s="10">
        <f>13.1744+10.1568+16.4312+5.5016+16.1552+10.7272+10.5064+12.8616</f>
        <v>95.5144</v>
      </c>
      <c r="H11" s="10"/>
      <c r="I11" s="10">
        <f>G11/(G3*0.1865)</f>
        <v>6.06084680425782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113</v>
      </c>
      <c r="D12" s="10">
        <v>88</v>
      </c>
      <c r="E12" s="10">
        <f t="shared" si="0"/>
        <v>201</v>
      </c>
      <c r="F12" s="10" t="s">
        <v>26</v>
      </c>
      <c r="G12" s="10">
        <f>443+417+312+276+343+347+336+201</f>
        <v>2675</v>
      </c>
      <c r="H12" s="10">
        <f>G12*1.05</f>
        <v>2808.75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34</v>
      </c>
      <c r="D13" s="10">
        <v>161</v>
      </c>
      <c r="E13" s="10">
        <f t="shared" ref="E13:E21" si="1">D13+C13</f>
        <v>195</v>
      </c>
      <c r="F13" s="10" t="s">
        <v>26</v>
      </c>
      <c r="G13" s="10">
        <f>438+425+240+208+350+389+291+195</f>
        <v>2536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147.44</v>
      </c>
      <c r="D14" s="10">
        <v>169.13</v>
      </c>
      <c r="E14" s="10">
        <f t="shared" si="1"/>
        <v>316.57</v>
      </c>
      <c r="F14" s="10" t="s">
        <v>26</v>
      </c>
      <c r="G14" s="10">
        <f>882.29+802.31+278.08+840.07+583.23+645.45+671.67+316.57</f>
        <v>5019.67</v>
      </c>
      <c r="H14" s="10"/>
      <c r="I14" s="10"/>
      <c r="J14" s="19" t="s">
        <v>29</v>
      </c>
      <c r="K14" s="10">
        <v>3.08</v>
      </c>
      <c r="L14" s="10">
        <v>3.28</v>
      </c>
      <c r="M14" s="10"/>
    </row>
    <row r="15" s="1" customFormat="1" ht="25" customHeight="1" spans="1:13">
      <c r="A15" s="7">
        <v>10</v>
      </c>
      <c r="B15" s="8" t="s">
        <v>30</v>
      </c>
      <c r="C15" s="10">
        <v>3</v>
      </c>
      <c r="D15" s="10">
        <v>12</v>
      </c>
      <c r="E15" s="10">
        <f t="shared" si="1"/>
        <v>15</v>
      </c>
      <c r="F15" s="10" t="s">
        <v>14</v>
      </c>
      <c r="G15" s="10">
        <f>33+33+21+19+24+30+24+15</f>
        <v>199</v>
      </c>
      <c r="H15" s="10"/>
      <c r="I15" s="10">
        <f>G15/(G3*0.1865)</f>
        <v>12.627504481495</v>
      </c>
      <c r="J15" s="19" t="s">
        <v>31</v>
      </c>
      <c r="K15" s="20">
        <f>2.6778576+2.4526005+0.9556818+2.9003541+1.8362639+1.9624667+1.9542698+1.0088616</f>
        <v>15.748356</v>
      </c>
      <c r="L15" s="10"/>
      <c r="M15" s="10">
        <f>(C14*K14+L14*D14)/1000</f>
        <v>1.0088616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0+0+0.15+0.0375+0.0375+0+0.075+0</f>
        <v>0.3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2+0+2+0+2+0+0+2</f>
        <v>8</v>
      </c>
      <c r="H17" s="22"/>
      <c r="I17" s="10">
        <f>G17/(G3*0.1865)</f>
        <v>0.507638371115377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2+0+2+0+2+0+0+2</f>
        <v>8</v>
      </c>
      <c r="H18" s="22"/>
      <c r="I18" s="10">
        <f>G18/(G3*0.1865)</f>
        <v>0.507638371115377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4</v>
      </c>
      <c r="D19" s="7">
        <v>3</v>
      </c>
      <c r="E19" s="10">
        <f t="shared" si="1"/>
        <v>7</v>
      </c>
      <c r="F19" s="10" t="s">
        <v>36</v>
      </c>
      <c r="G19" s="10">
        <f>7+8+3+10+2+6+5+7</f>
        <v>48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306</v>
      </c>
      <c r="D20" s="7">
        <v>43</v>
      </c>
      <c r="E20" s="10">
        <f t="shared" si="1"/>
        <v>349</v>
      </c>
      <c r="F20" s="10" t="s">
        <v>26</v>
      </c>
      <c r="G20" s="10">
        <f>1327+1206+823+1176+1139+893+852+349</f>
        <v>7765</v>
      </c>
      <c r="H20" s="23"/>
      <c r="I20" s="10">
        <f>E20/M20</f>
        <v>69.8</v>
      </c>
      <c r="J20" s="19" t="s">
        <v>38</v>
      </c>
      <c r="K20" s="10">
        <f>24+24+13.5+24+24+18.5+18+5</f>
        <v>151</v>
      </c>
      <c r="L20" s="10">
        <f>G20/K20</f>
        <v>51.4238410596027</v>
      </c>
      <c r="M20" s="10">
        <v>5</v>
      </c>
    </row>
    <row r="21" s="1" customFormat="1" ht="25" customHeight="1" spans="1:13">
      <c r="A21" s="12">
        <v>16</v>
      </c>
      <c r="B21" s="8" t="s">
        <v>39</v>
      </c>
      <c r="C21" s="7">
        <v>245</v>
      </c>
      <c r="D21" s="7">
        <v>172</v>
      </c>
      <c r="E21" s="10">
        <f t="shared" si="1"/>
        <v>417</v>
      </c>
      <c r="F21" s="10" t="s">
        <v>26</v>
      </c>
      <c r="G21" s="10">
        <f>1719+1515+850+1201+1277+1135+1069+417</f>
        <v>9183</v>
      </c>
      <c r="H21" s="22"/>
      <c r="I21" s="10">
        <f>E21/M20</f>
        <v>83.4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0</v>
      </c>
      <c r="D22" s="12">
        <v>0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89</v>
      </c>
      <c r="D23" s="28"/>
      <c r="E23" s="28"/>
      <c r="F23" s="28"/>
      <c r="G23" s="28"/>
      <c r="H23" s="29"/>
      <c r="I23" s="30" t="s">
        <v>44</v>
      </c>
      <c r="J23" s="26" t="s">
        <v>45</v>
      </c>
      <c r="K23" s="27" t="s">
        <v>90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89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90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52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91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6.29</v>
      </c>
      <c r="D30" s="10">
        <v>6.35</v>
      </c>
      <c r="E30" s="10">
        <f t="shared" si="2"/>
        <v>12.64</v>
      </c>
      <c r="F30" s="10" t="s">
        <v>26</v>
      </c>
      <c r="G30" s="10">
        <f>12.69+12.67+6.3+12.55+6.29+6.25+6.24+12.64</f>
        <v>75.63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40</v>
      </c>
      <c r="D31" s="10">
        <v>13</v>
      </c>
      <c r="E31" s="10">
        <f t="shared" si="2"/>
        <v>53</v>
      </c>
      <c r="F31" s="10" t="s">
        <v>26</v>
      </c>
      <c r="G31" s="10">
        <f>10+55+18+25+26.23+21+27+53</f>
        <v>235.23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7.803+0+7.776+0+11.2725+0+0+0</f>
        <v>26.8515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0+66+481+0+0+0+0+0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505</v>
      </c>
      <c r="D35" s="10">
        <v>505</v>
      </c>
      <c r="E35" s="10">
        <f t="shared" si="2"/>
        <v>1010</v>
      </c>
      <c r="F35" s="10" t="s">
        <v>26</v>
      </c>
      <c r="G35" s="10">
        <f>989+992+1002+1004+1005+1010+1012+1010</f>
        <v>8024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0+0+0+0+0+0+0+0</f>
        <v>0</v>
      </c>
      <c r="H36" s="22"/>
      <c r="I36" s="7">
        <v>1387.5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0+0+0+0+0+0+0+0</f>
        <v>0</v>
      </c>
      <c r="H37" s="22"/>
      <c r="I37" s="7">
        <v>67.7508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2</v>
      </c>
      <c r="D38" s="7">
        <v>2</v>
      </c>
      <c r="E38" s="10">
        <f>D38+C38</f>
        <v>4</v>
      </c>
      <c r="F38" s="10" t="s">
        <v>36</v>
      </c>
      <c r="G38" s="10">
        <f>7+3+2+2+3+2+2+4</f>
        <v>25</v>
      </c>
      <c r="H38" s="22"/>
      <c r="I38" s="10">
        <v>0</v>
      </c>
      <c r="J38" s="35"/>
      <c r="K38" s="27"/>
      <c r="L38" s="19" t="s">
        <v>66</v>
      </c>
      <c r="M38" s="7">
        <v>23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92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9+18+11+3.5+13+14.5+7+8.5+0</f>
        <v>84.5</v>
      </c>
      <c r="H3" s="10">
        <v>320</v>
      </c>
      <c r="I3" s="10">
        <f>H3-G3</f>
        <v>235.5</v>
      </c>
      <c r="J3" s="11"/>
      <c r="K3" s="10"/>
      <c r="L3" s="10"/>
      <c r="M3" s="10">
        <f>I3/22</f>
        <v>10.7045454545455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6+8+18+12+2+14+14+8+8</f>
        <v>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</f>
        <v>0</v>
      </c>
      <c r="H5" s="10">
        <v>4836</v>
      </c>
      <c r="I5" s="10">
        <f>H5-G5-G7-G6</f>
        <v>3700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202+207+88+172+159+138+147+19+0</f>
        <v>1132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0+0+0+30.28+30.9+31.12+30.64+30.8+0</f>
        <v>153.74</v>
      </c>
      <c r="H9" s="13">
        <v>5.91</v>
      </c>
      <c r="I9" s="13">
        <f>H9-K10</f>
        <v>4.520166</v>
      </c>
      <c r="J9" s="19" t="s">
        <v>21</v>
      </c>
      <c r="K9" s="10">
        <v>90</v>
      </c>
      <c r="L9" s="10">
        <v>0</v>
      </c>
      <c r="M9" s="20"/>
    </row>
    <row r="10" s="1" customFormat="1" ht="25" customHeight="1" spans="1:13">
      <c r="A10" s="7">
        <v>5</v>
      </c>
      <c r="B10" s="8" t="s">
        <v>22</v>
      </c>
      <c r="C10" s="10">
        <v>3.699</v>
      </c>
      <c r="D10" s="10">
        <v>0</v>
      </c>
      <c r="E10" s="10">
        <f t="shared" si="0"/>
        <v>3.699</v>
      </c>
      <c r="F10" s="10" t="s">
        <v>14</v>
      </c>
      <c r="G10" s="10">
        <f>10.7865+8.2215+8.424+5.8185+6.1695+10.746+6.7095+8.181+3.699</f>
        <v>68.7555</v>
      </c>
      <c r="H10" s="10"/>
      <c r="I10" s="10">
        <f>G10/(G3*0.1865)</f>
        <v>4.36286625315291</v>
      </c>
      <c r="J10" s="19" t="s">
        <v>23</v>
      </c>
      <c r="K10" s="20">
        <f>0+0+0+0.269492+0.28119+0.283192+0.29108+0.26488+0</f>
        <v>1.389834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13.1744+10.1568+16.4312+5.5016+16.1552+10.7272+10.5064+12.8616+0</f>
        <v>95.5144</v>
      </c>
      <c r="H11" s="10"/>
      <c r="I11" s="10">
        <f>G11/(G3*0.1865)</f>
        <v>6.06084680425782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</v>
      </c>
      <c r="D12" s="10">
        <v>0</v>
      </c>
      <c r="E12" s="10">
        <f t="shared" si="0"/>
        <v>1</v>
      </c>
      <c r="F12" s="10" t="s">
        <v>26</v>
      </c>
      <c r="G12" s="10">
        <f>443+417+312+276+343+347+336+201+1</f>
        <v>2676</v>
      </c>
      <c r="H12" s="10">
        <f>G12*1.05</f>
        <v>2809.8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0</v>
      </c>
      <c r="D13" s="10">
        <v>0</v>
      </c>
      <c r="E13" s="10">
        <f t="shared" ref="E13:E21" si="1">D13+C13</f>
        <v>0</v>
      </c>
      <c r="F13" s="10" t="s">
        <v>26</v>
      </c>
      <c r="G13" s="10">
        <f>438+425+240+208+350+389+291+195+0</f>
        <v>2536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56.84</v>
      </c>
      <c r="D14" s="10">
        <v>0</v>
      </c>
      <c r="E14" s="10">
        <f t="shared" si="1"/>
        <v>56.84</v>
      </c>
      <c r="F14" s="10" t="s">
        <v>26</v>
      </c>
      <c r="G14" s="10">
        <f>882.29+802.31+278.08+840.07+583.23+645.45+671.67+316.57+56.84</f>
        <v>5076.51</v>
      </c>
      <c r="H14" s="10"/>
      <c r="I14" s="10"/>
      <c r="J14" s="19" t="s">
        <v>29</v>
      </c>
      <c r="K14" s="10">
        <v>2.9</v>
      </c>
      <c r="L14" s="10">
        <v>0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33+33+21+19+24+30+24+15+0</f>
        <v>199</v>
      </c>
      <c r="H15" s="10"/>
      <c r="I15" s="10">
        <f>G15/(G3*0.1865)</f>
        <v>12.627504481495</v>
      </c>
      <c r="J15" s="19" t="s">
        <v>31</v>
      </c>
      <c r="K15" s="20">
        <f>2.6778576+2.4526005+0.9556818+2.9003541+1.8362639+1.9624667+1.9542698+1.0088616+0.164836</f>
        <v>15.913192</v>
      </c>
      <c r="L15" s="10"/>
      <c r="M15" s="10">
        <f>(C14*K14+L14*D14)/1000</f>
        <v>0.164836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0+0+0.15+0.0375+0.0375+0+0.075+0+0</f>
        <v>0.3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2+0+2+0+2+0+0+2+0</f>
        <v>8</v>
      </c>
      <c r="H17" s="22"/>
      <c r="I17" s="10">
        <f>G17/(G3*0.1865)</f>
        <v>0.507638371115377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2+0+2+0+2+0+0+2+0</f>
        <v>8</v>
      </c>
      <c r="H18" s="22"/>
      <c r="I18" s="10">
        <f>G18/(G3*0.1865)</f>
        <v>0.507638371115377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36</v>
      </c>
      <c r="G19" s="10">
        <f>7+8+3+10+2+6+5+7+0</f>
        <v>48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4</v>
      </c>
      <c r="D20" s="7">
        <v>1</v>
      </c>
      <c r="E20" s="10">
        <f t="shared" si="1"/>
        <v>5</v>
      </c>
      <c r="F20" s="10" t="s">
        <v>26</v>
      </c>
      <c r="G20" s="10">
        <f>1327+1206+823+1176+1139+893+852+349+5</f>
        <v>7770</v>
      </c>
      <c r="H20" s="23"/>
      <c r="I20" s="10" t="e">
        <f>E20/M20</f>
        <v>#DIV/0!</v>
      </c>
      <c r="J20" s="19" t="s">
        <v>38</v>
      </c>
      <c r="K20" s="10">
        <f>24+24+13.5+24+24+18.5+18+5+0</f>
        <v>151</v>
      </c>
      <c r="L20" s="10">
        <f>G20/K20</f>
        <v>51.4569536423841</v>
      </c>
      <c r="M20" s="10">
        <v>0</v>
      </c>
    </row>
    <row r="21" s="1" customFormat="1" ht="25" customHeight="1" spans="1:13">
      <c r="A21" s="12">
        <v>16</v>
      </c>
      <c r="B21" s="8" t="s">
        <v>39</v>
      </c>
      <c r="C21" s="7">
        <v>6</v>
      </c>
      <c r="D21" s="7">
        <v>5</v>
      </c>
      <c r="E21" s="10">
        <f t="shared" si="1"/>
        <v>11</v>
      </c>
      <c r="F21" s="10" t="s">
        <v>26</v>
      </c>
      <c r="G21" s="10">
        <f>1719+1515+850+1201+1277+1135+1069+417+11</f>
        <v>9194</v>
      </c>
      <c r="H21" s="22"/>
      <c r="I21" s="10" t="e">
        <f>E21/M20</f>
        <v>#DIV/0!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0</v>
      </c>
      <c r="D22" s="12">
        <v>0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90</v>
      </c>
      <c r="D23" s="28"/>
      <c r="E23" s="28"/>
      <c r="F23" s="28"/>
      <c r="G23" s="28"/>
      <c r="H23" s="29"/>
      <c r="I23" s="30" t="s">
        <v>80</v>
      </c>
      <c r="J23" s="26" t="s">
        <v>45</v>
      </c>
      <c r="K23" s="27" t="s">
        <v>93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90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94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95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96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6.33</v>
      </c>
      <c r="D30" s="10">
        <v>0</v>
      </c>
      <c r="E30" s="10">
        <f t="shared" si="2"/>
        <v>6.33</v>
      </c>
      <c r="F30" s="10" t="s">
        <v>26</v>
      </c>
      <c r="G30" s="10">
        <f>12.69+12.67+6.3+12.55+6.29+6.25+6.24+12.64+6.33</f>
        <v>81.96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14</v>
      </c>
      <c r="D31" s="10">
        <v>0</v>
      </c>
      <c r="E31" s="10">
        <f t="shared" si="2"/>
        <v>14</v>
      </c>
      <c r="F31" s="10" t="s">
        <v>26</v>
      </c>
      <c r="G31" s="10">
        <f>10+55+18+25+26.23+21+27+53+14</f>
        <v>249.23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9.855</v>
      </c>
      <c r="D32" s="10">
        <v>0</v>
      </c>
      <c r="E32" s="10">
        <f t="shared" si="2"/>
        <v>9.855</v>
      </c>
      <c r="F32" s="10" t="s">
        <v>14</v>
      </c>
      <c r="G32" s="10">
        <f>7.803+0+7.776+0+11.2725+0+0+0+9.855</f>
        <v>36.7065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0+66+481+0+0+0+0+0+0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505</v>
      </c>
      <c r="D35" s="10">
        <v>0</v>
      </c>
      <c r="E35" s="10">
        <f t="shared" si="2"/>
        <v>505</v>
      </c>
      <c r="F35" s="10" t="s">
        <v>26</v>
      </c>
      <c r="G35" s="10">
        <f>989+992+1002+1004+1005+1010+1012+1010+505</f>
        <v>8529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0+0+0+0+0+0+0+0+0</f>
        <v>0</v>
      </c>
      <c r="H36" s="22"/>
      <c r="I36" s="7">
        <v>1050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0+0+0+0+0+0+0+0+0</f>
        <v>0</v>
      </c>
      <c r="H37" s="22"/>
      <c r="I37" s="7">
        <v>67.7508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2</v>
      </c>
      <c r="D38" s="7">
        <v>0</v>
      </c>
      <c r="E38" s="10">
        <f>D38+C38</f>
        <v>2</v>
      </c>
      <c r="F38" s="10" t="s">
        <v>36</v>
      </c>
      <c r="G38" s="10">
        <f>7+3+2+2+3+2+2+4+2</f>
        <v>27</v>
      </c>
      <c r="H38" s="22"/>
      <c r="I38" s="10">
        <v>0</v>
      </c>
      <c r="J38" s="35"/>
      <c r="K38" s="27"/>
      <c r="L38" s="19" t="s">
        <v>66</v>
      </c>
      <c r="M38" s="7">
        <v>25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97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9+18+11+3.5+13+14.5+7+8.5+0+0</f>
        <v>84.5</v>
      </c>
      <c r="H3" s="10">
        <v>320</v>
      </c>
      <c r="I3" s="10">
        <f>H3-G3</f>
        <v>235.5</v>
      </c>
      <c r="J3" s="11"/>
      <c r="K3" s="10"/>
      <c r="L3" s="10"/>
      <c r="M3" s="10">
        <f>I3/21</f>
        <v>11.2142857142857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6+8+18+12+2+14+14+8+8+0</f>
        <v>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</f>
        <v>0</v>
      </c>
      <c r="H5" s="10">
        <v>4836</v>
      </c>
      <c r="I5" s="10">
        <f>H5-G5-G7-G6</f>
        <v>3700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202+207+88+172+159+138+147+19+0+0</f>
        <v>1132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</f>
        <v>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0+0+0+30.28+30.9+31.12+30.64+30.8+0+0</f>
        <v>153.74</v>
      </c>
      <c r="H9" s="13">
        <v>5.91</v>
      </c>
      <c r="I9" s="13">
        <f>H9-K10</f>
        <v>4.520166</v>
      </c>
      <c r="J9" s="19" t="s">
        <v>21</v>
      </c>
      <c r="K9" s="10">
        <v>90</v>
      </c>
      <c r="L9" s="10">
        <v>0</v>
      </c>
      <c r="M9" s="20"/>
    </row>
    <row r="10" s="1" customFormat="1" ht="25" customHeight="1" spans="1:13">
      <c r="A10" s="7">
        <v>5</v>
      </c>
      <c r="B10" s="8" t="s">
        <v>22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10.7865+8.2215+8.424+5.8185+6.1695+10.746+6.7095+8.181+3.699+0</f>
        <v>68.7555</v>
      </c>
      <c r="H10" s="10"/>
      <c r="I10" s="10">
        <f>G10/(G3*0.1865)</f>
        <v>4.36286625315291</v>
      </c>
      <c r="J10" s="19" t="s">
        <v>23</v>
      </c>
      <c r="K10" s="20">
        <f>0+0+0+0.269492+0.28119+0.283192+0.29108+0.26488+0+0</f>
        <v>1.389834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13.1744+10.1568+16.4312+5.5016+16.1552+10.7272+10.5064+12.8616+0+0</f>
        <v>95.5144</v>
      </c>
      <c r="H11" s="10"/>
      <c r="I11" s="10">
        <f>G11/(G3*0.1865)</f>
        <v>6.06084680425782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0</v>
      </c>
      <c r="D12" s="10">
        <v>10</v>
      </c>
      <c r="E12" s="10">
        <f t="shared" si="0"/>
        <v>10</v>
      </c>
      <c r="F12" s="10" t="s">
        <v>26</v>
      </c>
      <c r="G12" s="10">
        <f>443+417+312+276+343+347+336+201+1+10</f>
        <v>2686</v>
      </c>
      <c r="H12" s="10">
        <f>G12*1.05</f>
        <v>2820.3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0</v>
      </c>
      <c r="D13" s="10">
        <v>0</v>
      </c>
      <c r="E13" s="10">
        <f t="shared" ref="E13:E21" si="1">D13+C13</f>
        <v>0</v>
      </c>
      <c r="F13" s="10" t="s">
        <v>26</v>
      </c>
      <c r="G13" s="10">
        <f>438+425+240+208+350+389+291+195+0+0</f>
        <v>2536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0</v>
      </c>
      <c r="D14" s="10">
        <v>0</v>
      </c>
      <c r="E14" s="10">
        <f t="shared" si="1"/>
        <v>0</v>
      </c>
      <c r="F14" s="10" t="s">
        <v>26</v>
      </c>
      <c r="G14" s="10">
        <f>882.29+802.31+278.08+840.07+583.23+645.45+671.67+316.57+56.84+0</f>
        <v>5076.51</v>
      </c>
      <c r="H14" s="10"/>
      <c r="I14" s="10"/>
      <c r="J14" s="19" t="s">
        <v>29</v>
      </c>
      <c r="K14" s="10">
        <v>0</v>
      </c>
      <c r="L14" s="10">
        <v>0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33+33+21+19+24+30+24+15+0+0</f>
        <v>199</v>
      </c>
      <c r="H15" s="10"/>
      <c r="I15" s="10">
        <f>G15/(G3*0.1865)</f>
        <v>12.627504481495</v>
      </c>
      <c r="J15" s="19" t="s">
        <v>31</v>
      </c>
      <c r="K15" s="20">
        <f>2.6778576+2.4526005+0.9556818+2.9003541+1.8362639+1.9624667+1.9542698+1.0088616+0.164836+0</f>
        <v>15.913192</v>
      </c>
      <c r="L15" s="10"/>
      <c r="M15" s="10">
        <f>(C14*K14+L14*D14)/1000</f>
        <v>0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0+0+0.15+0.0375+0.0375+0+0.075+0+0+0</f>
        <v>0.3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2+0+2+0+2+0+0+2+0+0</f>
        <v>8</v>
      </c>
      <c r="H17" s="22"/>
      <c r="I17" s="10">
        <f>G17/(G3*0.1865)</f>
        <v>0.507638371115377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2+0+2+0+2+0+0+2+0+0</f>
        <v>8</v>
      </c>
      <c r="H18" s="22"/>
      <c r="I18" s="10">
        <f>G18/(G3*0.1865)</f>
        <v>0.507638371115377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36</v>
      </c>
      <c r="G19" s="10">
        <f>7+8+3+10+2+6+5+7+0+0</f>
        <v>48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0</v>
      </c>
      <c r="D20" s="7">
        <v>72</v>
      </c>
      <c r="E20" s="10">
        <f t="shared" si="1"/>
        <v>72</v>
      </c>
      <c r="F20" s="10" t="s">
        <v>26</v>
      </c>
      <c r="G20" s="10">
        <f>1327+1206+823+1176+1139+893+852+349+5+72</f>
        <v>7842</v>
      </c>
      <c r="H20" s="23"/>
      <c r="I20" s="10" t="e">
        <f>E20/M20</f>
        <v>#DIV/0!</v>
      </c>
      <c r="J20" s="19" t="s">
        <v>38</v>
      </c>
      <c r="K20" s="10">
        <f>24+24+13.5+24+24+18.5+18+5+0+0</f>
        <v>151</v>
      </c>
      <c r="L20" s="10">
        <f>G20/K20</f>
        <v>51.9337748344371</v>
      </c>
      <c r="M20" s="10">
        <v>0</v>
      </c>
    </row>
    <row r="21" s="1" customFormat="1" ht="25" customHeight="1" spans="1:13">
      <c r="A21" s="12">
        <v>16</v>
      </c>
      <c r="B21" s="8" t="s">
        <v>39</v>
      </c>
      <c r="C21" s="7">
        <v>0</v>
      </c>
      <c r="D21" s="7">
        <v>221</v>
      </c>
      <c r="E21" s="10">
        <f t="shared" si="1"/>
        <v>221</v>
      </c>
      <c r="F21" s="10" t="s">
        <v>26</v>
      </c>
      <c r="G21" s="10">
        <f>1719+1515+850+1201+1277+1135+1069+417+11+221</f>
        <v>9415</v>
      </c>
      <c r="H21" s="22"/>
      <c r="I21" s="10" t="e">
        <f>E21/M20</f>
        <v>#DIV/0!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0</v>
      </c>
      <c r="D22" s="12">
        <v>0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93</v>
      </c>
      <c r="D23" s="28"/>
      <c r="E23" s="28"/>
      <c r="F23" s="28"/>
      <c r="G23" s="28"/>
      <c r="H23" s="29"/>
      <c r="I23" s="30" t="s">
        <v>80</v>
      </c>
      <c r="J23" s="26" t="s">
        <v>45</v>
      </c>
      <c r="K23" s="27" t="s">
        <v>98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94</v>
      </c>
      <c r="D24" s="28"/>
      <c r="E24" s="28"/>
      <c r="F24" s="28"/>
      <c r="G24" s="28"/>
      <c r="H24" s="29"/>
      <c r="I24" s="30" t="s">
        <v>44</v>
      </c>
      <c r="J24" s="26" t="s">
        <v>49</v>
      </c>
      <c r="K24" s="27" t="s">
        <v>98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99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100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9.8+0+0+0+0+0+0+0+0+0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0</v>
      </c>
      <c r="D30" s="10">
        <v>0</v>
      </c>
      <c r="E30" s="10">
        <f t="shared" si="2"/>
        <v>0</v>
      </c>
      <c r="F30" s="10" t="s">
        <v>26</v>
      </c>
      <c r="G30" s="10">
        <f>12.69+12.67+6.3+12.55+6.29+6.25+6.24+12.64+6.33+0</f>
        <v>81.96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0</v>
      </c>
      <c r="D31" s="10">
        <v>0</v>
      </c>
      <c r="E31" s="10">
        <f t="shared" si="2"/>
        <v>0</v>
      </c>
      <c r="F31" s="10" t="s">
        <v>26</v>
      </c>
      <c r="G31" s="10">
        <f>10+55+18+25+26.23+21+27+53+14+0</f>
        <v>249.23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7.803+0+7.776+0+11.2725+0+0+0+9.855+0</f>
        <v>36.7065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0</v>
      </c>
      <c r="E34" s="10">
        <f t="shared" si="2"/>
        <v>0</v>
      </c>
      <c r="F34" s="10" t="s">
        <v>26</v>
      </c>
      <c r="G34" s="10">
        <f>0+66+481+0+0+0+0+0+0+0</f>
        <v>547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0</v>
      </c>
      <c r="D35" s="10">
        <v>0</v>
      </c>
      <c r="E35" s="10">
        <f t="shared" si="2"/>
        <v>0</v>
      </c>
      <c r="F35" s="10" t="s">
        <v>26</v>
      </c>
      <c r="G35" s="10">
        <f>989+992+1002+1004+1005+1010+1012+1010+505+0</f>
        <v>8529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0+0+0+0+0+0+0+0+0+0</f>
        <v>0</v>
      </c>
      <c r="H36" s="22"/>
      <c r="I36" s="7">
        <v>1132.5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0+0+0+0+0+0+0+0+0+0</f>
        <v>0</v>
      </c>
      <c r="H37" s="22"/>
      <c r="I37" s="7">
        <v>67.7508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0</v>
      </c>
      <c r="D38" s="7">
        <v>0</v>
      </c>
      <c r="E38" s="10">
        <f>D38+C38</f>
        <v>0</v>
      </c>
      <c r="F38" s="10" t="s">
        <v>36</v>
      </c>
      <c r="G38" s="10">
        <f>7+3+2+2+3+2+2+4+2+0</f>
        <v>27</v>
      </c>
      <c r="H38" s="22"/>
      <c r="I38" s="10">
        <v>0</v>
      </c>
      <c r="J38" s="35"/>
      <c r="K38" s="27"/>
      <c r="L38" s="19" t="s">
        <v>66</v>
      </c>
      <c r="M38" s="7">
        <v>25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5</v>
      </c>
      <c r="E3" s="10">
        <f t="shared" ref="E3:E12" si="0">C3+D3</f>
        <v>5</v>
      </c>
      <c r="F3" s="10" t="s">
        <v>14</v>
      </c>
      <c r="G3" s="10">
        <f>9+18+11+3.5+13+14.5+7+8.5+0+0+5</f>
        <v>89.5</v>
      </c>
      <c r="H3" s="10">
        <v>320</v>
      </c>
      <c r="I3" s="10">
        <f>H3-G3</f>
        <v>230.5</v>
      </c>
      <c r="J3" s="11"/>
      <c r="K3" s="10"/>
      <c r="L3" s="10"/>
      <c r="M3" s="10">
        <f>I3/20</f>
        <v>11.525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6+8+18+12+2+14+14+8+8+0+0</f>
        <v>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</f>
        <v>0</v>
      </c>
      <c r="H5" s="10">
        <v>4836</v>
      </c>
      <c r="I5" s="10">
        <f>H5-G5-G7-G6</f>
        <v>3512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66</v>
      </c>
      <c r="D6" s="10">
        <v>121</v>
      </c>
      <c r="E6" s="10">
        <f t="shared" si="0"/>
        <v>187</v>
      </c>
      <c r="F6" s="10" t="s">
        <v>14</v>
      </c>
      <c r="G6" s="10">
        <f>202+207+88+172+159+138+147+19+0+0+187</f>
        <v>1319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0+0+2+2+0+0+0+0+0+0+1</f>
        <v>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0+0+0+30.28+30.9+31.12+30.64+30.8+0+0+0</f>
        <v>153.74</v>
      </c>
      <c r="H9" s="13">
        <v>5.91</v>
      </c>
      <c r="I9" s="13">
        <f>H9-K10</f>
        <v>4.520166</v>
      </c>
      <c r="J9" s="19" t="s">
        <v>21</v>
      </c>
      <c r="K9" s="10">
        <v>120</v>
      </c>
      <c r="L9" s="10">
        <v>0</v>
      </c>
      <c r="M9" s="20"/>
    </row>
    <row r="10" s="1" customFormat="1" ht="25" customHeight="1" spans="1:13">
      <c r="A10" s="7">
        <v>5</v>
      </c>
      <c r="B10" s="8" t="s">
        <v>22</v>
      </c>
      <c r="C10" s="10">
        <v>3.0375</v>
      </c>
      <c r="D10" s="10">
        <v>1.782</v>
      </c>
      <c r="E10" s="10">
        <f t="shared" si="0"/>
        <v>4.8195</v>
      </c>
      <c r="F10" s="10" t="s">
        <v>14</v>
      </c>
      <c r="G10" s="10">
        <f>10.7865+8.2215+8.424+5.8185+6.1695+10.746+6.7095+8.181+3.699+0+4.8195</f>
        <v>73.575</v>
      </c>
      <c r="H10" s="10"/>
      <c r="I10" s="10">
        <f>G10/(G3*0.1865)</f>
        <v>4.40786616142705</v>
      </c>
      <c r="J10" s="19" t="s">
        <v>23</v>
      </c>
      <c r="K10" s="20">
        <f>0+0+0+0.269492+0.28119+0.283192+0.29108+0.26488+0+0+0</f>
        <v>1.389834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16.192</v>
      </c>
      <c r="D11" s="10">
        <v>0</v>
      </c>
      <c r="E11" s="10">
        <f t="shared" si="0"/>
        <v>16.192</v>
      </c>
      <c r="F11" s="10" t="s">
        <v>14</v>
      </c>
      <c r="G11" s="10">
        <f>13.1744+10.1568+16.4312+5.5016+16.1552+10.7272+10.5064+12.8616+0+0+16.192</f>
        <v>111.7064</v>
      </c>
      <c r="H11" s="10"/>
      <c r="I11" s="10">
        <f>G11/(G3*0.1865)</f>
        <v>6.69231207033415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48</v>
      </c>
      <c r="D12" s="10">
        <v>259</v>
      </c>
      <c r="E12" s="10">
        <f t="shared" si="0"/>
        <v>307</v>
      </c>
      <c r="F12" s="10" t="s">
        <v>26</v>
      </c>
      <c r="G12" s="10">
        <f>443+417+312+276+343+347+336+201+1+10+307</f>
        <v>2993</v>
      </c>
      <c r="H12" s="10">
        <f>G12*1.05</f>
        <v>3142.65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27</v>
      </c>
      <c r="C13" s="10">
        <v>0</v>
      </c>
      <c r="D13" s="10">
        <v>217</v>
      </c>
      <c r="E13" s="10">
        <f t="shared" ref="E13:E21" si="1">D13+C13</f>
        <v>217</v>
      </c>
      <c r="F13" s="10" t="s">
        <v>26</v>
      </c>
      <c r="G13" s="10">
        <f>438+425+240+208+350+389+291+195+0+0+217</f>
        <v>2753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290.2</v>
      </c>
      <c r="D14" s="10">
        <v>356.35</v>
      </c>
      <c r="E14" s="10">
        <f t="shared" si="1"/>
        <v>646.55</v>
      </c>
      <c r="F14" s="10" t="s">
        <v>26</v>
      </c>
      <c r="G14" s="10">
        <f>882.29+802.31+278.08+840.07+583.23+645.45+671.67+316.57+56.84+0+646.55</f>
        <v>5723.06</v>
      </c>
      <c r="H14" s="10"/>
      <c r="I14" s="10"/>
      <c r="J14" s="19" t="s">
        <v>29</v>
      </c>
      <c r="K14" s="10">
        <v>2.9</v>
      </c>
      <c r="L14" s="10">
        <v>3.1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12</v>
      </c>
      <c r="E15" s="10">
        <f t="shared" si="1"/>
        <v>12</v>
      </c>
      <c r="F15" s="10" t="s">
        <v>14</v>
      </c>
      <c r="G15" s="10">
        <f>33+33+21+19+24+30+24+15+0+0+12</f>
        <v>211</v>
      </c>
      <c r="H15" s="10"/>
      <c r="I15" s="10">
        <f>G15/(G3*0.1865)</f>
        <v>12.6409753321252</v>
      </c>
      <c r="J15" s="19" t="s">
        <v>31</v>
      </c>
      <c r="K15" s="20">
        <f>2.6778576+2.4526005+0.9556818+2.9003541+1.8362639+1.9624667+1.9542698+1.0088616+0.164836+0+1.946265</f>
        <v>17.859457</v>
      </c>
      <c r="L15" s="10"/>
      <c r="M15" s="10">
        <f>(C14*K14+L14*D14)/1000</f>
        <v>1.946265</v>
      </c>
    </row>
    <row r="16" s="1" customFormat="1" ht="25" customHeight="1" spans="1:13">
      <c r="A16" s="7">
        <v>11</v>
      </c>
      <c r="B16" s="8" t="s">
        <v>32</v>
      </c>
      <c r="C16" s="7">
        <v>0</v>
      </c>
      <c r="D16" s="7">
        <v>0.025</v>
      </c>
      <c r="E16" s="10">
        <f t="shared" si="1"/>
        <v>0.025</v>
      </c>
      <c r="F16" s="10" t="s">
        <v>14</v>
      </c>
      <c r="G16" s="10">
        <f>0+0+0.15+0.0375+0.0375+0+0.075+0+0+0+0.025</f>
        <v>0.325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33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2+0+2+0+2+0+0+2+0+0+0</f>
        <v>8</v>
      </c>
      <c r="H17" s="22"/>
      <c r="I17" s="10">
        <f>G17/(G3*0.1865)</f>
        <v>0.479278685578205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2+0+2+0+2+0+0+2+0+0+0</f>
        <v>8</v>
      </c>
      <c r="H18" s="22"/>
      <c r="I18" s="10">
        <f>G18/(G3*0.1865)</f>
        <v>0.479278685578205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35</v>
      </c>
      <c r="C19" s="10">
        <v>2</v>
      </c>
      <c r="D19" s="7">
        <v>5</v>
      </c>
      <c r="E19" s="10">
        <f t="shared" si="1"/>
        <v>7</v>
      </c>
      <c r="F19" s="10" t="s">
        <v>36</v>
      </c>
      <c r="G19" s="10">
        <f>7+8+3+10+2+6+5+7+0+0+7</f>
        <v>55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37</v>
      </c>
      <c r="C20" s="7">
        <v>570</v>
      </c>
      <c r="D20" s="7">
        <v>582</v>
      </c>
      <c r="E20" s="10">
        <f t="shared" si="1"/>
        <v>1152</v>
      </c>
      <c r="F20" s="10" t="s">
        <v>26</v>
      </c>
      <c r="G20" s="10">
        <f>1327+1206+823+1176+1139+893+852+349+5+72+1152</f>
        <v>8994</v>
      </c>
      <c r="H20" s="23"/>
      <c r="I20" s="10">
        <f>E20/M20</f>
        <v>49.0212765957447</v>
      </c>
      <c r="J20" s="19" t="s">
        <v>38</v>
      </c>
      <c r="K20" s="10">
        <f>24+24+13.5+24+24+18.5+18+5+0+0+23.5</f>
        <v>174.5</v>
      </c>
      <c r="L20" s="10">
        <f>G20/K20</f>
        <v>51.541547277937</v>
      </c>
      <c r="M20" s="10">
        <v>23.5</v>
      </c>
    </row>
    <row r="21" s="1" customFormat="1" ht="25" customHeight="1" spans="1:13">
      <c r="A21" s="12">
        <v>16</v>
      </c>
      <c r="B21" s="8" t="s">
        <v>39</v>
      </c>
      <c r="C21" s="7">
        <v>619</v>
      </c>
      <c r="D21" s="7">
        <v>831</v>
      </c>
      <c r="E21" s="10">
        <f t="shared" si="1"/>
        <v>1450</v>
      </c>
      <c r="F21" s="10" t="s">
        <v>26</v>
      </c>
      <c r="G21" s="10">
        <f>1719+1515+850+1201+1277+1135+1069+417+11+221+1450</f>
        <v>10865</v>
      </c>
      <c r="H21" s="22"/>
      <c r="I21" s="10">
        <f>E21/M20</f>
        <v>61.7021276595745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40</v>
      </c>
      <c r="C22" s="12">
        <v>36.88</v>
      </c>
      <c r="D22" s="12">
        <v>36.13</v>
      </c>
      <c r="E22" s="13"/>
      <c r="F22" s="13" t="s">
        <v>41</v>
      </c>
      <c r="G22" s="13"/>
      <c r="H22" s="24"/>
      <c r="I22" s="24"/>
      <c r="J22" s="25"/>
      <c r="K22" s="24"/>
      <c r="L22" s="24"/>
      <c r="M22" s="10"/>
    </row>
    <row r="23" s="1" customFormat="1" ht="32" customHeight="1" spans="1:13">
      <c r="A23" s="7">
        <v>18</v>
      </c>
      <c r="B23" s="26" t="s">
        <v>42</v>
      </c>
      <c r="C23" s="27" t="s">
        <v>98</v>
      </c>
      <c r="D23" s="28"/>
      <c r="E23" s="28"/>
      <c r="F23" s="28"/>
      <c r="G23" s="28"/>
      <c r="H23" s="29"/>
      <c r="I23" s="30" t="s">
        <v>80</v>
      </c>
      <c r="J23" s="26" t="s">
        <v>45</v>
      </c>
      <c r="K23" s="27" t="s">
        <v>98</v>
      </c>
      <c r="L23" s="28"/>
      <c r="M23" s="29"/>
    </row>
    <row r="24" s="1" customFormat="1" ht="32" customHeight="1" spans="1:13">
      <c r="A24" s="7">
        <v>19</v>
      </c>
      <c r="B24" s="26" t="s">
        <v>47</v>
      </c>
      <c r="C24" s="27" t="s">
        <v>98</v>
      </c>
      <c r="D24" s="28"/>
      <c r="E24" s="28"/>
      <c r="F24" s="28"/>
      <c r="G24" s="28"/>
      <c r="H24" s="29"/>
      <c r="I24" s="30" t="s">
        <v>80</v>
      </c>
      <c r="J24" s="26" t="s">
        <v>49</v>
      </c>
      <c r="K24" s="27" t="s">
        <v>98</v>
      </c>
      <c r="L24" s="28"/>
      <c r="M24" s="29"/>
    </row>
    <row r="25" s="1" customFormat="1" ht="80" customHeight="1" spans="1:13">
      <c r="A25" s="7">
        <v>20</v>
      </c>
      <c r="B25" s="31" t="s">
        <v>51</v>
      </c>
      <c r="C25" s="27" t="s">
        <v>102</v>
      </c>
      <c r="D25" s="28"/>
      <c r="E25" s="28"/>
      <c r="F25" s="28"/>
      <c r="G25" s="28"/>
      <c r="H25" s="28"/>
      <c r="I25" s="29"/>
      <c r="J25" s="32" t="s">
        <v>53</v>
      </c>
      <c r="K25" s="27" t="s">
        <v>54</v>
      </c>
      <c r="L25" s="28"/>
      <c r="M25" s="29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103</v>
      </c>
    </row>
    <row r="28" s="1" customFormat="1" ht="30" customHeight="1" spans="1:13">
      <c r="A28" s="6" t="s">
        <v>56</v>
      </c>
      <c r="B28" s="6" t="s">
        <v>57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58</v>
      </c>
      <c r="C29" s="10">
        <v>0</v>
      </c>
      <c r="D29" s="10">
        <v>0</v>
      </c>
      <c r="E29" s="10">
        <f t="shared" ref="E29:E35" si="2">D29+C29</f>
        <v>0</v>
      </c>
      <c r="F29" s="10" t="s">
        <v>26</v>
      </c>
      <c r="G29" s="10">
        <f>9.8+0+0+0+0+0+0+0+0+0+0</f>
        <v>9.8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59</v>
      </c>
      <c r="C30" s="10">
        <v>6.37</v>
      </c>
      <c r="D30" s="10">
        <v>0</v>
      </c>
      <c r="E30" s="10">
        <f t="shared" si="2"/>
        <v>6.37</v>
      </c>
      <c r="F30" s="10" t="s">
        <v>26</v>
      </c>
      <c r="G30" s="10">
        <f>12.69+12.67+6.3+12.55+6.29+6.25+6.24+12.64+6.33+0+6.37</f>
        <v>88.33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60</v>
      </c>
      <c r="C31" s="10">
        <v>51</v>
      </c>
      <c r="D31" s="10">
        <v>10</v>
      </c>
      <c r="E31" s="10">
        <f t="shared" si="2"/>
        <v>61</v>
      </c>
      <c r="F31" s="10" t="s">
        <v>26</v>
      </c>
      <c r="G31" s="10">
        <f>10+55+18+25+26.23+21+27+53+14+0+61</f>
        <v>310.23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7.803+0+7.776+0+11.2725+0+0+0+9.855+0+0</f>
        <v>36.7065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61</v>
      </c>
      <c r="C34" s="10">
        <v>0</v>
      </c>
      <c r="D34" s="10">
        <v>4</v>
      </c>
      <c r="E34" s="10">
        <f t="shared" si="2"/>
        <v>4</v>
      </c>
      <c r="F34" s="10" t="s">
        <v>26</v>
      </c>
      <c r="G34" s="10">
        <f>0+66+481+0+0+0+0+0+0+0+4</f>
        <v>551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62</v>
      </c>
      <c r="C35" s="10">
        <v>481</v>
      </c>
      <c r="D35" s="10">
        <v>505</v>
      </c>
      <c r="E35" s="10">
        <f t="shared" si="2"/>
        <v>986</v>
      </c>
      <c r="F35" s="10" t="s">
        <v>26</v>
      </c>
      <c r="G35" s="10">
        <f>989+992+1002+1004+1005+1010+1012+1010+505+0+986</f>
        <v>9515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63</v>
      </c>
      <c r="C36" s="10">
        <v>0</v>
      </c>
      <c r="D36" s="10">
        <v>0</v>
      </c>
      <c r="E36" s="10">
        <f>C36+D36</f>
        <v>0</v>
      </c>
      <c r="F36" s="10" t="s">
        <v>26</v>
      </c>
      <c r="G36" s="10">
        <f>0+0+0+0+0+0+0+0+0+0+0</f>
        <v>0</v>
      </c>
      <c r="H36" s="22"/>
      <c r="I36" s="7">
        <v>675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64</v>
      </c>
      <c r="C37" s="10">
        <v>0</v>
      </c>
      <c r="D37" s="10">
        <v>0</v>
      </c>
      <c r="E37" s="10">
        <f>C37+D37</f>
        <v>0</v>
      </c>
      <c r="F37" s="10" t="s">
        <v>26</v>
      </c>
      <c r="G37" s="10">
        <f>0+0+0+0+0+0+0+0+0+0+0</f>
        <v>0</v>
      </c>
      <c r="H37" s="22"/>
      <c r="I37" s="7">
        <v>66.8822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65</v>
      </c>
      <c r="C38" s="7">
        <v>0</v>
      </c>
      <c r="D38" s="7">
        <v>2</v>
      </c>
      <c r="E38" s="10">
        <f>D38+C38</f>
        <v>2</v>
      </c>
      <c r="F38" s="10" t="s">
        <v>36</v>
      </c>
      <c r="G38" s="10">
        <f>7+3+2+2+3+2+2+4+2+0+2</f>
        <v>29</v>
      </c>
      <c r="H38" s="22"/>
      <c r="I38" s="10">
        <v>27</v>
      </c>
      <c r="J38" s="35"/>
      <c r="K38" s="27"/>
      <c r="L38" s="19" t="s">
        <v>66</v>
      </c>
      <c r="M38" s="7">
        <v>27</v>
      </c>
    </row>
    <row r="39" s="1" customFormat="1" ht="80" customHeight="1" spans="1:13">
      <c r="A39" s="7">
        <v>11</v>
      </c>
      <c r="B39" s="32" t="s">
        <v>51</v>
      </c>
      <c r="C39" s="27" t="s">
        <v>67</v>
      </c>
      <c r="D39" s="28"/>
      <c r="E39" s="28"/>
      <c r="F39" s="28"/>
      <c r="G39" s="28"/>
      <c r="H39" s="28"/>
      <c r="I39" s="28"/>
      <c r="J39" s="28"/>
      <c r="K39" s="28"/>
      <c r="L39" s="28"/>
      <c r="M39" s="29"/>
    </row>
    <row r="47" s="1" customFormat="1" spans="1:13">
      <c r="C47" s="33"/>
      <c r="D47" s="33"/>
      <c r="J47" s="34"/>
    </row>
    <row r="48" spans="1:13">
      <c r="L48" s="1"/>
    </row>
  </sheetData>
  <mergeCells count="12">
    <mergeCell ref="A1:M1"/>
    <mergeCell ref="C23:H23"/>
    <mergeCell ref="K23:M23"/>
    <mergeCell ref="C24:H24"/>
    <mergeCell ref="K24:M24"/>
    <mergeCell ref="C25:I25"/>
    <mergeCell ref="K25:M25"/>
    <mergeCell ref="A27:M27"/>
    <mergeCell ref="C39:M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</v>
      </c>
      <c r="D3" s="9">
        <v>5</v>
      </c>
      <c r="E3" s="10">
        <f t="shared" ref="E3:E13" si="0">C3+D3</f>
        <v>11</v>
      </c>
      <c r="F3" s="10" t="s">
        <v>14</v>
      </c>
      <c r="G3" s="10">
        <f>9+18+11+3.5+13+14.5+7+8.5+0+0+5+11</f>
        <v>100.5</v>
      </c>
      <c r="H3" s="10">
        <v>320</v>
      </c>
      <c r="I3" s="10">
        <f>H3-G3</f>
        <v>219.5</v>
      </c>
      <c r="J3" s="11"/>
      <c r="K3" s="10"/>
      <c r="L3" s="10"/>
      <c r="M3" s="10">
        <f>I3/19</f>
        <v>11.5526315789474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6+8+18+12+2+14+14+8+8+0+0+0</f>
        <v>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</f>
        <v>0</v>
      </c>
      <c r="H5" s="10">
        <v>4836</v>
      </c>
      <c r="I5" s="10">
        <f>H5-G5-G7-G6</f>
        <v>3384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34</v>
      </c>
      <c r="D6" s="10">
        <v>92</v>
      </c>
      <c r="E6" s="10">
        <f t="shared" si="0"/>
        <v>126</v>
      </c>
      <c r="F6" s="10" t="s">
        <v>14</v>
      </c>
      <c r="G6" s="10">
        <f>202+207+88+172+159+138+147+19+0+0+187+126</f>
        <v>1445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1</v>
      </c>
      <c r="E7" s="10">
        <f t="shared" si="0"/>
        <v>2</v>
      </c>
      <c r="F7" s="10" t="s">
        <v>14</v>
      </c>
      <c r="G7" s="10">
        <f>0+0+2+2+0+0+0+0+0+0+1+2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</f>
        <v>153.74</v>
      </c>
      <c r="H10" s="13">
        <v>5.91</v>
      </c>
      <c r="I10" s="13">
        <f>H10-K11</f>
        <v>4.520166</v>
      </c>
      <c r="J10" s="19" t="s">
        <v>21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6.8445</v>
      </c>
      <c r="D11" s="10">
        <v>2.2005</v>
      </c>
      <c r="E11" s="10">
        <f t="shared" si="0"/>
        <v>9.045</v>
      </c>
      <c r="F11" s="10" t="s">
        <v>14</v>
      </c>
      <c r="G11" s="10">
        <f>10.7865+8.2215+8.424+5.8185+6.1695+10.746+6.7095+8.181+3.699+0+4.8195+9.045</f>
        <v>82.62</v>
      </c>
      <c r="H11" s="10"/>
      <c r="I11" s="10">
        <f>G11/(G3*0.1865)</f>
        <v>4.4079868752751</v>
      </c>
      <c r="J11" s="19" t="s">
        <v>23</v>
      </c>
      <c r="K11" s="20">
        <f>0+0+0+0.269492+0.28119+0.283192+0.29108+0.26488+0+0+0+0</f>
        <v>1.389834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8.1696</v>
      </c>
      <c r="D12" s="10">
        <v>0</v>
      </c>
      <c r="E12" s="10">
        <f t="shared" si="0"/>
        <v>8.1696</v>
      </c>
      <c r="F12" s="10" t="s">
        <v>14</v>
      </c>
      <c r="G12" s="10">
        <f>13.1744+10.1568+16.4312+5.5016+16.1552+10.7272+10.5064+12.8616+0+0+16.192+8.1696</f>
        <v>119.876</v>
      </c>
      <c r="H12" s="10"/>
      <c r="I12" s="10">
        <f>G12/(G3*0.1865)</f>
        <v>6.39568911474798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73</v>
      </c>
      <c r="D13" s="10">
        <v>225</v>
      </c>
      <c r="E13" s="10">
        <f t="shared" si="0"/>
        <v>298</v>
      </c>
      <c r="F13" s="10" t="s">
        <v>26</v>
      </c>
      <c r="G13" s="10">
        <f>443+417+312+276+343+347+336+201+1+10+307+298</f>
        <v>3291</v>
      </c>
      <c r="H13" s="10">
        <f>G13*1.05</f>
        <v>3455.55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122</v>
      </c>
      <c r="D14" s="10">
        <v>194</v>
      </c>
      <c r="E14" s="10">
        <f t="shared" ref="E14:E23" si="1">D14+C14</f>
        <v>316</v>
      </c>
      <c r="F14" s="10" t="s">
        <v>26</v>
      </c>
      <c r="G14" s="10">
        <f>438+425+240+208+350+389+291+195+0+0+217+316</f>
        <v>3069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336.98</v>
      </c>
      <c r="D15" s="10">
        <v>329.16</v>
      </c>
      <c r="E15" s="10">
        <f t="shared" si="1"/>
        <v>666.14</v>
      </c>
      <c r="F15" s="10" t="s">
        <v>26</v>
      </c>
      <c r="G15" s="10">
        <f>882.29+802.31+278.08+840.07+583.23+645.45+671.67+316.57+56.84+0+646.55+666.14</f>
        <v>6389.2</v>
      </c>
      <c r="H15" s="10"/>
      <c r="I15" s="10"/>
      <c r="J15" s="19" t="s">
        <v>29</v>
      </c>
      <c r="K15" s="10">
        <v>3.15</v>
      </c>
      <c r="L15" s="10">
        <v>2.95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12</v>
      </c>
      <c r="E16" s="10">
        <f t="shared" si="1"/>
        <v>27</v>
      </c>
      <c r="F16" s="10" t="s">
        <v>14</v>
      </c>
      <c r="G16" s="10">
        <f>33+33+21+19+24+30+24+15+0+0+12+27</f>
        <v>238</v>
      </c>
      <c r="H16" s="10"/>
      <c r="I16" s="10">
        <f>G16/(G3*0.1865)</f>
        <v>12.6979045789818</v>
      </c>
      <c r="J16" s="19" t="s">
        <v>31</v>
      </c>
      <c r="K16" s="20">
        <f>2.6778576+2.4526005+0.9556818+2.9003541+1.8362639+1.9624667+1.9542698+1.0088616+0.164836+0+1.946265+2.032509</f>
        <v>19.891966</v>
      </c>
      <c r="L16" s="10"/>
      <c r="M16" s="10">
        <f>(C15*K15+L15*D15)/1000</f>
        <v>2.032509</v>
      </c>
    </row>
    <row r="17" s="1" customFormat="1" ht="25" customHeight="1" spans="1:13">
      <c r="A17" s="12">
        <v>12</v>
      </c>
      <c r="B17" s="8" t="s">
        <v>32</v>
      </c>
      <c r="C17" s="7">
        <v>0.0875</v>
      </c>
      <c r="D17" s="7">
        <v>0</v>
      </c>
      <c r="E17" s="10">
        <f t="shared" si="1"/>
        <v>0.0875</v>
      </c>
      <c r="F17" s="10" t="s">
        <v>14</v>
      </c>
      <c r="G17" s="10">
        <f>0+0+0.15+0.0375+0.0375+0+0.075+0+0+0+0.025+0.0875</f>
        <v>0.4125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0.85</v>
      </c>
      <c r="D18" s="7">
        <v>0.85</v>
      </c>
      <c r="E18" s="10">
        <f t="shared" si="1"/>
        <v>1.7</v>
      </c>
      <c r="F18" s="10" t="s">
        <v>14</v>
      </c>
      <c r="G18" s="10">
        <f>1.7</f>
        <v>1.7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</f>
        <v>10</v>
      </c>
      <c r="H19" s="22"/>
      <c r="I19" s="10">
        <f>G19/(G3*0.1865)</f>
        <v>0.533525402478226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</f>
        <v>10</v>
      </c>
      <c r="H20" s="22"/>
      <c r="I20" s="10">
        <f>G20/(G3*0.1865)</f>
        <v>0.533525402478226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2</v>
      </c>
      <c r="D21" s="7">
        <v>3</v>
      </c>
      <c r="E21" s="10">
        <f t="shared" si="1"/>
        <v>5</v>
      </c>
      <c r="F21" s="10" t="s">
        <v>36</v>
      </c>
      <c r="G21" s="10">
        <f>7+8+3+10+2+6+5+7+0+0+7+5</f>
        <v>60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276</v>
      </c>
      <c r="D22" s="7">
        <v>538</v>
      </c>
      <c r="E22" s="10">
        <f t="shared" si="1"/>
        <v>814</v>
      </c>
      <c r="F22" s="10" t="s">
        <v>26</v>
      </c>
      <c r="G22" s="10">
        <f>1327+1206+823+1176+1139+893+852+349+5+72+1152+814</f>
        <v>9808</v>
      </c>
      <c r="H22" s="23"/>
      <c r="I22" s="10">
        <f>E22/M22</f>
        <v>44</v>
      </c>
      <c r="J22" s="19" t="s">
        <v>38</v>
      </c>
      <c r="K22" s="10">
        <f>24+24+13.5+24+24+18.5+18+5+0+0+23.5+18.5</f>
        <v>193</v>
      </c>
      <c r="L22" s="10">
        <f>G22/K22</f>
        <v>50.8186528497409</v>
      </c>
      <c r="M22" s="10">
        <v>18.5</v>
      </c>
    </row>
    <row r="23" s="1" customFormat="1" ht="25" customHeight="1" spans="1:13">
      <c r="A23" s="12">
        <v>18</v>
      </c>
      <c r="B23" s="8" t="s">
        <v>39</v>
      </c>
      <c r="C23" s="7">
        <v>339</v>
      </c>
      <c r="D23" s="7">
        <v>732</v>
      </c>
      <c r="E23" s="10">
        <f t="shared" si="1"/>
        <v>1071</v>
      </c>
      <c r="F23" s="10" t="s">
        <v>26</v>
      </c>
      <c r="G23" s="10">
        <f>1719+1515+850+1201+1277+1135+1069+417+11+221+1450+1071</f>
        <v>11936</v>
      </c>
      <c r="H23" s="22"/>
      <c r="I23" s="10">
        <f>E23/M22</f>
        <v>57.8918918918919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36.04</v>
      </c>
      <c r="D24" s="12">
        <v>32.29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98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98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98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98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107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</f>
        <v>9.8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6.39</v>
      </c>
      <c r="D32" s="10">
        <v>0</v>
      </c>
      <c r="E32" s="10">
        <f t="shared" si="2"/>
        <v>6.39</v>
      </c>
      <c r="F32" s="10" t="s">
        <v>26</v>
      </c>
      <c r="G32" s="10">
        <f>12.69+12.67+6.3+12.55+6.29+6.25+6.24+12.64+6.33+0+6.37+6.39</f>
        <v>94.72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18</v>
      </c>
      <c r="D33" s="10">
        <v>10</v>
      </c>
      <c r="E33" s="10">
        <f t="shared" si="2"/>
        <v>28</v>
      </c>
      <c r="F33" s="10" t="s">
        <v>26</v>
      </c>
      <c r="G33" s="10">
        <f>10+55+18+25+26.23+21+27+53+14+0+61+28</f>
        <v>338.23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</f>
        <v>36.7065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22</v>
      </c>
      <c r="D36" s="10">
        <v>0</v>
      </c>
      <c r="E36" s="10">
        <f t="shared" si="2"/>
        <v>22</v>
      </c>
      <c r="F36" s="10" t="s">
        <v>26</v>
      </c>
      <c r="G36" s="10">
        <f>0+66+481+0+0+0+0+0+0+0+4+22</f>
        <v>573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509</v>
      </c>
      <c r="D37" s="10">
        <v>509</v>
      </c>
      <c r="E37" s="10">
        <f t="shared" si="2"/>
        <v>1018</v>
      </c>
      <c r="F37" s="10" t="s">
        <v>26</v>
      </c>
      <c r="G37" s="10">
        <f>989+992+1002+1004+1005+1010+1012+1010+505+0+986+1018</f>
        <v>10533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</f>
        <v>0</v>
      </c>
      <c r="H38" s="22"/>
      <c r="I38" s="7">
        <v>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</f>
        <v>0</v>
      </c>
      <c r="H39" s="22"/>
      <c r="I39" s="7">
        <v>61.6706</v>
      </c>
      <c r="J39" s="35"/>
      <c r="K39" s="37"/>
      <c r="L39" s="27"/>
      <c r="M39" s="38"/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0</v>
      </c>
      <c r="E40" s="10">
        <f>D40+C40</f>
        <v>2</v>
      </c>
      <c r="F40" s="10" t="s">
        <v>36</v>
      </c>
      <c r="G40" s="10">
        <f>7+3+2+2+3+2+2+4+2+0+2+2</f>
        <v>31</v>
      </c>
      <c r="H40" s="22"/>
      <c r="I40" s="10">
        <v>27</v>
      </c>
      <c r="J40" s="35"/>
      <c r="K40" s="27"/>
      <c r="L40" s="19" t="s">
        <v>66</v>
      </c>
      <c r="M40" s="7">
        <v>29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5.5</v>
      </c>
      <c r="D3" s="9">
        <v>6</v>
      </c>
      <c r="E3" s="10">
        <f t="shared" ref="E3:E13" si="0">C3+D3</f>
        <v>11.5</v>
      </c>
      <c r="F3" s="10" t="s">
        <v>14</v>
      </c>
      <c r="G3" s="10">
        <f>9+18+11+3.5+13+14.5+7+8.5+0+0+5+11+11.5</f>
        <v>112</v>
      </c>
      <c r="H3" s="10">
        <v>320</v>
      </c>
      <c r="I3" s="10">
        <f>H3-G3</f>
        <v>208</v>
      </c>
      <c r="J3" s="11"/>
      <c r="K3" s="10"/>
      <c r="L3" s="10"/>
      <c r="M3" s="10">
        <f>I3/18</f>
        <v>11.5555555555556</v>
      </c>
    </row>
    <row r="4" s="1" customFormat="1" ht="35" customHeight="1" spans="1:13">
      <c r="A4" s="12">
        <v>2</v>
      </c>
      <c r="B4" s="8" t="s">
        <v>15</v>
      </c>
      <c r="C4" s="9">
        <v>16</v>
      </c>
      <c r="D4" s="9"/>
      <c r="E4" s="10">
        <f t="shared" si="0"/>
        <v>16</v>
      </c>
      <c r="F4" s="10" t="s">
        <v>14</v>
      </c>
      <c r="G4" s="10">
        <f>6+8+18+12+2+14+14+8+8+0+0+0+16</f>
        <v>106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</f>
        <v>0</v>
      </c>
      <c r="H5" s="10">
        <v>4836</v>
      </c>
      <c r="I5" s="10">
        <f>H5-G5-G7-G6</f>
        <v>3239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57</v>
      </c>
      <c r="D6" s="10">
        <v>88</v>
      </c>
      <c r="E6" s="10">
        <f t="shared" si="0"/>
        <v>145</v>
      </c>
      <c r="F6" s="10" t="s">
        <v>14</v>
      </c>
      <c r="G6" s="10">
        <f>202+207+88+172+159+138+147+19+0+0+187+126+145</f>
        <v>1590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30.27</v>
      </c>
      <c r="D9" s="13"/>
      <c r="E9" s="10">
        <f t="shared" si="0"/>
        <v>30.27</v>
      </c>
      <c r="F9" s="13" t="s">
        <v>14</v>
      </c>
      <c r="G9" s="10">
        <f>0+30.27</f>
        <v>30.27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</f>
        <v>153.74</v>
      </c>
      <c r="H10" s="13">
        <v>5.91</v>
      </c>
      <c r="I10" s="13">
        <f>H10-K11</f>
        <v>4.520166</v>
      </c>
      <c r="J10" s="19" t="s">
        <v>21</v>
      </c>
      <c r="K10" s="10">
        <v>30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7.9515</v>
      </c>
      <c r="D11" s="10">
        <v>0</v>
      </c>
      <c r="E11" s="10">
        <f t="shared" si="0"/>
        <v>7.9515</v>
      </c>
      <c r="F11" s="10" t="s">
        <v>14</v>
      </c>
      <c r="G11" s="10">
        <f>10.7865+8.2215+8.424+5.8185+6.1695+10.746+6.7095+8.181+3.699+0+4.8195+9.045+7.9515</f>
        <v>90.5715</v>
      </c>
      <c r="H11" s="10"/>
      <c r="I11" s="10">
        <f>G11/(G3*0.1865)</f>
        <v>4.33605419379548</v>
      </c>
      <c r="J11" s="19" t="s">
        <v>23</v>
      </c>
      <c r="K11" s="20">
        <f>0+0+0+0.269492+0.28119+0.283192+0.29108+0.26488+0+0+0+0+0</f>
        <v>1.389834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8.7584</v>
      </c>
      <c r="D12" s="10">
        <v>0</v>
      </c>
      <c r="E12" s="10">
        <f t="shared" si="0"/>
        <v>8.7584</v>
      </c>
      <c r="F12" s="10" t="s">
        <v>14</v>
      </c>
      <c r="G12" s="10">
        <f>13.1744+10.1568+16.4312+5.5016+16.1552+10.7272+10.5064+12.8616+0+0+16.192+8.1696+8.7584</f>
        <v>128.6344</v>
      </c>
      <c r="H12" s="10"/>
      <c r="I12" s="10">
        <f>G12/(G3*0.1865)</f>
        <v>6.15829184220605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147</v>
      </c>
      <c r="D13" s="10">
        <v>186</v>
      </c>
      <c r="E13" s="10">
        <f t="shared" si="0"/>
        <v>333</v>
      </c>
      <c r="F13" s="10" t="s">
        <v>26</v>
      </c>
      <c r="G13" s="10">
        <f>443+417+312+276+343+347+336+201+1+10+307+298+333</f>
        <v>3624</v>
      </c>
      <c r="H13" s="10">
        <f>G13*1.05</f>
        <v>3805.2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183</v>
      </c>
      <c r="D14" s="10">
        <v>193</v>
      </c>
      <c r="E14" s="10">
        <f t="shared" ref="E14:E23" si="1">D14+C14</f>
        <v>376</v>
      </c>
      <c r="F14" s="10" t="s">
        <v>26</v>
      </c>
      <c r="G14" s="10">
        <f>438+425+240+208+350+389+291+195+0+0+217+316+376</f>
        <v>3445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382.42</v>
      </c>
      <c r="D15" s="10">
        <v>368.47</v>
      </c>
      <c r="E15" s="10">
        <f t="shared" si="1"/>
        <v>750.89</v>
      </c>
      <c r="F15" s="10" t="s">
        <v>26</v>
      </c>
      <c r="G15" s="10">
        <f>882.29+802.31+278.08+840.07+583.23+645.45+671.67+316.57+56.84+0+646.55+666.14+750.89</f>
        <v>7140.09</v>
      </c>
      <c r="H15" s="10"/>
      <c r="I15" s="10"/>
      <c r="J15" s="19" t="s">
        <v>29</v>
      </c>
      <c r="K15" s="10">
        <v>3.1</v>
      </c>
      <c r="L15" s="10">
        <v>3.17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33+33+21+19+24+30+24+15+0+0+12+27+30</f>
        <v>268</v>
      </c>
      <c r="H16" s="10"/>
      <c r="I16" s="10">
        <f>G16/(G3*0.1865)</f>
        <v>12.8303332056683</v>
      </c>
      <c r="J16" s="19" t="s">
        <v>31</v>
      </c>
      <c r="K16" s="20">
        <f>2.6778576+2.4526005+0.9556818+2.9003541+1.8362639+1.9624667+1.9542698+1.0088616+0.164836+0+1.946265+2.032509+2.3535519</f>
        <v>22.2455179</v>
      </c>
      <c r="L16" s="10"/>
      <c r="M16" s="10">
        <f>(C15*K15+L15*D15)/1000</f>
        <v>2.3535519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</f>
        <v>0.4125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0.85</v>
      </c>
      <c r="D18" s="7">
        <v>0.85</v>
      </c>
      <c r="E18" s="10">
        <f t="shared" si="1"/>
        <v>1.7</v>
      </c>
      <c r="F18" s="10" t="s">
        <v>14</v>
      </c>
      <c r="G18" s="10">
        <f>1.7+1.7</f>
        <v>3.4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</f>
        <v>10</v>
      </c>
      <c r="H19" s="22"/>
      <c r="I19" s="10">
        <f>G19/(G3*0.1865)</f>
        <v>0.478743776330908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</f>
        <v>10</v>
      </c>
      <c r="H20" s="22"/>
      <c r="I20" s="10">
        <f>G20/(G3*0.1865)</f>
        <v>0.478743776330908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2</v>
      </c>
      <c r="D21" s="7">
        <v>5</v>
      </c>
      <c r="E21" s="10">
        <f t="shared" si="1"/>
        <v>7</v>
      </c>
      <c r="F21" s="10" t="s">
        <v>36</v>
      </c>
      <c r="G21" s="10">
        <f>7+8+3+10+2+6+5+7+0+0+7+5+7</f>
        <v>67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538</v>
      </c>
      <c r="D22" s="7">
        <v>517</v>
      </c>
      <c r="E22" s="10">
        <f t="shared" si="1"/>
        <v>1055</v>
      </c>
      <c r="F22" s="10" t="s">
        <v>26</v>
      </c>
      <c r="G22" s="10">
        <f>1327+1206+823+1176+1139+893+852+349+5+72+1152+814+1055</f>
        <v>10863</v>
      </c>
      <c r="H22" s="23"/>
      <c r="I22" s="10">
        <f>E22/M22</f>
        <v>43.9583333333333</v>
      </c>
      <c r="J22" s="19" t="s">
        <v>38</v>
      </c>
      <c r="K22" s="10">
        <f>24+24+13.5+24+24+18.5+18+5+0+0+23.5+18.5+24</f>
        <v>217</v>
      </c>
      <c r="L22" s="10">
        <f>G22/K22</f>
        <v>50.0599078341014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525</v>
      </c>
      <c r="D23" s="7">
        <v>695</v>
      </c>
      <c r="E23" s="10">
        <f t="shared" si="1"/>
        <v>1220</v>
      </c>
      <c r="F23" s="10" t="s">
        <v>26</v>
      </c>
      <c r="G23" s="10">
        <f>1719+1515+850+1201+1277+1135+1069+417+11+221+1450+1071+1220</f>
        <v>13156</v>
      </c>
      <c r="H23" s="22"/>
      <c r="I23" s="10">
        <f>E23/M22</f>
        <v>50.8333333333333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27.19</v>
      </c>
      <c r="D24" s="12">
        <v>30.2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98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98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98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98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109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</f>
        <v>9.8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6.29</v>
      </c>
      <c r="D32" s="10">
        <v>6.29</v>
      </c>
      <c r="E32" s="10">
        <f t="shared" si="2"/>
        <v>12.58</v>
      </c>
      <c r="F32" s="10" t="s">
        <v>26</v>
      </c>
      <c r="G32" s="10">
        <f>12.69+12.67+6.3+12.55+6.29+6.25+6.24+12.64+6.33+0+6.37+6.39+12.58</f>
        <v>107.3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18</v>
      </c>
      <c r="D33" s="10">
        <v>23.85</v>
      </c>
      <c r="E33" s="10">
        <f t="shared" si="2"/>
        <v>41.85</v>
      </c>
      <c r="F33" s="10" t="s">
        <v>26</v>
      </c>
      <c r="G33" s="10">
        <f>10+55+18+25+26.23+21+27+53+14+0+61+28+41.85</f>
        <v>380.08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</f>
        <v>36.7065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296</v>
      </c>
      <c r="D36" s="10">
        <v>297</v>
      </c>
      <c r="E36" s="10">
        <f t="shared" si="2"/>
        <v>593</v>
      </c>
      <c r="F36" s="10" t="s">
        <v>26</v>
      </c>
      <c r="G36" s="10">
        <f>0+66+481+0+0+0+0+0+0+0+4+22+593</f>
        <v>1166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508</v>
      </c>
      <c r="D37" s="10">
        <v>452</v>
      </c>
      <c r="E37" s="10">
        <f t="shared" si="2"/>
        <v>960</v>
      </c>
      <c r="F37" s="10" t="s">
        <v>26</v>
      </c>
      <c r="G37" s="10">
        <f>989+992+1002+1004+1005+1010+1012+1010+505+0+986+1018+960</f>
        <v>11493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</f>
        <v>0</v>
      </c>
      <c r="H38" s="22"/>
      <c r="I38" s="7">
        <v>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</f>
        <v>0</v>
      </c>
      <c r="H39" s="22"/>
      <c r="I39" s="7">
        <v>61.6706</v>
      </c>
      <c r="J39" s="35"/>
      <c r="K39" s="37"/>
      <c r="L39" s="27"/>
      <c r="M39" s="38"/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0</v>
      </c>
      <c r="E40" s="10">
        <f>D40+C40</f>
        <v>2</v>
      </c>
      <c r="F40" s="10" t="s">
        <v>36</v>
      </c>
      <c r="G40" s="10">
        <f>7+3+2+2+3+2+2+4+2+0+2+2+2</f>
        <v>33</v>
      </c>
      <c r="H40" s="22"/>
      <c r="I40" s="10">
        <v>29</v>
      </c>
      <c r="J40" s="35"/>
      <c r="K40" s="27"/>
      <c r="L40" s="19" t="s">
        <v>66</v>
      </c>
      <c r="M40" s="7">
        <v>31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</v>
      </c>
      <c r="D3" s="9">
        <v>6</v>
      </c>
      <c r="E3" s="10">
        <f t="shared" ref="E3:E13" si="0">C3+D3</f>
        <v>12</v>
      </c>
      <c r="F3" s="10" t="s">
        <v>14</v>
      </c>
      <c r="G3" s="10">
        <f>9+18+11+3.5+13+14.5+7+8.5+0+0+5+11+11.5+12</f>
        <v>124</v>
      </c>
      <c r="H3" s="10">
        <v>320</v>
      </c>
      <c r="I3" s="10">
        <f>H3-G3</f>
        <v>196</v>
      </c>
      <c r="J3" s="11"/>
      <c r="K3" s="10"/>
      <c r="L3" s="10"/>
      <c r="M3" s="10">
        <f>I3/17</f>
        <v>11.5294117647059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6+8+18+12+2+14+14+8+8+0+0+0+16+12</f>
        <v>118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</f>
        <v>0</v>
      </c>
      <c r="H5" s="10">
        <v>4836</v>
      </c>
      <c r="I5" s="10">
        <f>H5-G5-G7-G6</f>
        <v>3072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63</v>
      </c>
      <c r="D6" s="10">
        <v>104</v>
      </c>
      <c r="E6" s="10">
        <f t="shared" si="0"/>
        <v>167</v>
      </c>
      <c r="F6" s="10" t="s">
        <v>14</v>
      </c>
      <c r="G6" s="10">
        <f>202+207+88+172+159+138+147+19+0+0+187+126+145+167</f>
        <v>1757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</f>
        <v>30.27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31</v>
      </c>
      <c r="D10" s="13"/>
      <c r="E10" s="10">
        <f t="shared" si="0"/>
        <v>31</v>
      </c>
      <c r="F10" s="13" t="s">
        <v>14</v>
      </c>
      <c r="G10" s="10">
        <f>0+0+0+30.28+30.9+31.12+30.64+30.8+0+0+0+0+0+31</f>
        <v>184.74</v>
      </c>
      <c r="H10" s="13">
        <v>5.91</v>
      </c>
      <c r="I10" s="13">
        <f>H10-K11</f>
        <v>4.265966</v>
      </c>
      <c r="J10" s="19" t="s">
        <v>21</v>
      </c>
      <c r="K10" s="10">
        <v>30</v>
      </c>
      <c r="L10" s="10">
        <v>0.82</v>
      </c>
      <c r="M10" s="20"/>
    </row>
    <row r="11" s="1" customFormat="1" ht="25" customHeight="1" spans="1:13">
      <c r="A11" s="12">
        <v>6</v>
      </c>
      <c r="B11" s="8" t="s">
        <v>22</v>
      </c>
      <c r="C11" s="10">
        <v>7.0605</v>
      </c>
      <c r="D11" s="10">
        <v>3.3345</v>
      </c>
      <c r="E11" s="10">
        <f t="shared" si="0"/>
        <v>10.395</v>
      </c>
      <c r="F11" s="10" t="s">
        <v>14</v>
      </c>
      <c r="G11" s="10">
        <f>10.7865+8.2215+8.424+5.8185+6.1695+10.746+6.7095+8.181+3.699+0+4.8195+9.045+7.9515+10.395</f>
        <v>100.9665</v>
      </c>
      <c r="H11" s="10"/>
      <c r="I11" s="10">
        <f>G11/(G3*0.1865)</f>
        <v>4.36593012194067</v>
      </c>
      <c r="J11" s="19" t="s">
        <v>23</v>
      </c>
      <c r="K11" s="20">
        <f>0+0+0+0.269492+0.28119+0.283192+0.29108+0.26488+0+0+0+0+0+0.2542</f>
        <v>1.644034</v>
      </c>
      <c r="L11" s="10"/>
      <c r="M11" s="10">
        <f>C10*L10/100</f>
        <v>0.2542</v>
      </c>
    </row>
    <row r="12" s="1" customFormat="1" ht="25" customHeight="1" spans="1:13">
      <c r="A12" s="12">
        <v>7</v>
      </c>
      <c r="B12" s="8" t="s">
        <v>24</v>
      </c>
      <c r="C12" s="10">
        <v>13.2112</v>
      </c>
      <c r="D12" s="10">
        <v>0</v>
      </c>
      <c r="E12" s="10">
        <f t="shared" si="0"/>
        <v>13.2112</v>
      </c>
      <c r="F12" s="10" t="s">
        <v>14</v>
      </c>
      <c r="G12" s="10">
        <f>13.1744+10.1568+16.4312+5.5016+16.1552+10.7272+10.5064+12.8616+0+0+16.192+8.1696+8.7584+13.2112</f>
        <v>141.8456</v>
      </c>
      <c r="H12" s="10"/>
      <c r="I12" s="10">
        <f>G12/(G3*0.1865)</f>
        <v>6.13359854708985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197</v>
      </c>
      <c r="D13" s="10">
        <v>192</v>
      </c>
      <c r="E13" s="10">
        <f t="shared" si="0"/>
        <v>389</v>
      </c>
      <c r="F13" s="10" t="s">
        <v>26</v>
      </c>
      <c r="G13" s="10">
        <f>443+417+312+276+343+347+336+201+1+10+307+298+333+389</f>
        <v>4013</v>
      </c>
      <c r="H13" s="10">
        <f>G13*1.05</f>
        <v>4213.65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186</v>
      </c>
      <c r="D14" s="10">
        <v>186</v>
      </c>
      <c r="E14" s="10">
        <f t="shared" ref="E14:E23" si="1">D14+C14</f>
        <v>372</v>
      </c>
      <c r="F14" s="10" t="s">
        <v>26</v>
      </c>
      <c r="G14" s="10">
        <f>438+425+240+208+350+389+291+195+0+0+217+316+376+372</f>
        <v>3817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404.23</v>
      </c>
      <c r="D15" s="10">
        <v>359.4</v>
      </c>
      <c r="E15" s="10">
        <f t="shared" si="1"/>
        <v>763.63</v>
      </c>
      <c r="F15" s="10" t="s">
        <v>26</v>
      </c>
      <c r="G15" s="10">
        <f>882.29+802.31+278.08+840.07+583.23+645.45+671.67+316.57+56.84+0+646.55+666.14+750.89+763.63</f>
        <v>7903.72</v>
      </c>
      <c r="H15" s="10"/>
      <c r="I15" s="10"/>
      <c r="J15" s="19" t="s">
        <v>29</v>
      </c>
      <c r="K15" s="10">
        <v>3.03</v>
      </c>
      <c r="L15" s="10">
        <v>3.01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12</v>
      </c>
      <c r="D16" s="10">
        <v>17</v>
      </c>
      <c r="E16" s="10">
        <f t="shared" si="1"/>
        <v>29</v>
      </c>
      <c r="F16" s="10" t="s">
        <v>14</v>
      </c>
      <c r="G16" s="10">
        <f>33+33+21+19+24+30+24+15+0+0+12+27+30+29</f>
        <v>297</v>
      </c>
      <c r="H16" s="10"/>
      <c r="I16" s="10">
        <f>G16/(G3*0.1865)</f>
        <v>12.8426878837672</v>
      </c>
      <c r="J16" s="19" t="s">
        <v>31</v>
      </c>
      <c r="K16" s="20">
        <f>2.6778576+2.4526005+0.9556818+2.9003541+1.8362639+1.9624667+1.9542698+1.0088616+0.164836+0+1.946265+2.032509+2.3535519+2.3066109</f>
        <v>24.5521288</v>
      </c>
      <c r="L16" s="10"/>
      <c r="M16" s="10">
        <f>(C15*K15+L15*D15)/1000</f>
        <v>2.3066109</v>
      </c>
    </row>
    <row r="17" s="1" customFormat="1" ht="25" customHeight="1" spans="1:13">
      <c r="A17" s="12">
        <v>12</v>
      </c>
      <c r="B17" s="8" t="s">
        <v>32</v>
      </c>
      <c r="C17" s="7">
        <v>0.0375</v>
      </c>
      <c r="D17" s="7">
        <v>0</v>
      </c>
      <c r="E17" s="10">
        <f t="shared" si="1"/>
        <v>0.0375</v>
      </c>
      <c r="F17" s="10" t="s">
        <v>14</v>
      </c>
      <c r="G17" s="10">
        <f>0+0+0.15+0.0375+0.0375+0+0.075+0+0+0+0.025+0.0875+0+0.0375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</f>
        <v>3.4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</f>
        <v>12</v>
      </c>
      <c r="H19" s="22"/>
      <c r="I19" s="10">
        <f>G19/(G3*0.1865)</f>
        <v>0.51889648015221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</f>
        <v>12</v>
      </c>
      <c r="H20" s="22"/>
      <c r="I20" s="10">
        <f>G20/(G3*0.1865)</f>
        <v>0.51889648015221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3</v>
      </c>
      <c r="D21" s="7">
        <v>1</v>
      </c>
      <c r="E21" s="10">
        <f t="shared" si="1"/>
        <v>4</v>
      </c>
      <c r="F21" s="10" t="s">
        <v>36</v>
      </c>
      <c r="G21" s="10">
        <f>7+8+3+10+2+6+5+7+0+0+7+5+7+4</f>
        <v>71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515</v>
      </c>
      <c r="D22" s="7">
        <v>513</v>
      </c>
      <c r="E22" s="10">
        <f t="shared" si="1"/>
        <v>1028</v>
      </c>
      <c r="F22" s="10" t="s">
        <v>26</v>
      </c>
      <c r="G22" s="10">
        <f>1327+1206+823+1176+1139+893+852+349+5+72+1152+814+1055+1028</f>
        <v>11891</v>
      </c>
      <c r="H22" s="23"/>
      <c r="I22" s="10">
        <f>E22/M22</f>
        <v>42.8333333333333</v>
      </c>
      <c r="J22" s="19" t="s">
        <v>38</v>
      </c>
      <c r="K22" s="10">
        <f>24+24+13.5+24+24+18.5+18+5+0+0+23.5+18.5+24+24</f>
        <v>241</v>
      </c>
      <c r="L22" s="10">
        <f>G22/K22</f>
        <v>49.3402489626556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685</v>
      </c>
      <c r="D23" s="7">
        <v>694</v>
      </c>
      <c r="E23" s="10">
        <f t="shared" si="1"/>
        <v>1379</v>
      </c>
      <c r="F23" s="10" t="s">
        <v>26</v>
      </c>
      <c r="G23" s="10">
        <f>1719+1515+850+1201+1277+1135+1069+417+11+221+1450+1071+1220+1379</f>
        <v>14535</v>
      </c>
      <c r="H23" s="22"/>
      <c r="I23" s="10">
        <f>E23/M22</f>
        <v>57.4583333333333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31.15</v>
      </c>
      <c r="D24" s="12">
        <v>31.67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98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98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98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98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111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</f>
        <v>9.8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</v>
      </c>
      <c r="D32" s="10">
        <v>6.35</v>
      </c>
      <c r="E32" s="10">
        <f t="shared" si="2"/>
        <v>12.65</v>
      </c>
      <c r="F32" s="10" t="s">
        <v>26</v>
      </c>
      <c r="G32" s="10">
        <f>12.69+12.67+6.3+12.55+6.29+6.25+6.24+12.64+6.33+0+6.37+6.39+12.58+12.65</f>
        <v>119.95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10</v>
      </c>
      <c r="D33" s="10">
        <v>10</v>
      </c>
      <c r="E33" s="10">
        <f t="shared" si="2"/>
        <v>20</v>
      </c>
      <c r="F33" s="10" t="s">
        <v>26</v>
      </c>
      <c r="G33" s="10">
        <f>10+55+18+25+26.23+21+27+53+14+0+61+28+41.85+20</f>
        <v>400.08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9.72</v>
      </c>
      <c r="D34" s="10">
        <v>0</v>
      </c>
      <c r="E34" s="10">
        <f t="shared" si="2"/>
        <v>9.72</v>
      </c>
      <c r="F34" s="10" t="s">
        <v>14</v>
      </c>
      <c r="G34" s="10">
        <f>7.803+0+7.776+0+11.2725+0+0+0+9.855+0+0+0+0+9.72</f>
        <v>46.4265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297</v>
      </c>
      <c r="D36" s="10">
        <v>46</v>
      </c>
      <c r="E36" s="10">
        <f t="shared" si="2"/>
        <v>343</v>
      </c>
      <c r="F36" s="10" t="s">
        <v>26</v>
      </c>
      <c r="G36" s="10">
        <f>0+66+481+0+0+0+0+0+0+0+4+22+593+343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416</v>
      </c>
      <c r="D37" s="10">
        <v>501</v>
      </c>
      <c r="E37" s="10">
        <f t="shared" si="2"/>
        <v>917</v>
      </c>
      <c r="F37" s="10" t="s">
        <v>26</v>
      </c>
      <c r="G37" s="10">
        <f>989+992+1002+1004+1005+1010+1012+1010+505+0+986+1018+960+917</f>
        <v>12410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</f>
        <v>0</v>
      </c>
      <c r="H38" s="22"/>
      <c r="I38" s="7">
        <v>1350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</f>
        <v>0</v>
      </c>
      <c r="H39" s="22"/>
      <c r="I39" s="7">
        <v>63.4078</v>
      </c>
      <c r="J39" s="35"/>
      <c r="K39" s="37"/>
      <c r="L39" s="19" t="s">
        <v>112</v>
      </c>
      <c r="M39" s="7">
        <f>2</f>
        <v>2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3</v>
      </c>
      <c r="E40" s="10">
        <f>D40+C40</f>
        <v>5</v>
      </c>
      <c r="F40" s="10" t="s">
        <v>36</v>
      </c>
      <c r="G40" s="10">
        <f>7+3+2+2+3+2+2+4+2+0+2+2+2+5</f>
        <v>38</v>
      </c>
      <c r="H40" s="22"/>
      <c r="I40" s="10">
        <v>36</v>
      </c>
      <c r="J40" s="35"/>
      <c r="K40" s="27"/>
      <c r="L40" s="19" t="s">
        <v>66</v>
      </c>
      <c r="M40" s="7">
        <v>40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7.5</v>
      </c>
      <c r="D3" s="9">
        <v>6.5</v>
      </c>
      <c r="E3" s="10">
        <f t="shared" ref="E3:E13" si="0">C3+D3</f>
        <v>14</v>
      </c>
      <c r="F3" s="10" t="s">
        <v>14</v>
      </c>
      <c r="G3" s="10">
        <f>9+18+11+3.5+13+14.5+7+8.5+0+0+5+11+11.5+12+14</f>
        <v>138</v>
      </c>
      <c r="H3" s="10">
        <v>320</v>
      </c>
      <c r="I3" s="10">
        <f>H3-G3</f>
        <v>182</v>
      </c>
      <c r="J3" s="11"/>
      <c r="K3" s="10"/>
      <c r="L3" s="10"/>
      <c r="M3" s="10">
        <f>I3/16</f>
        <v>11.375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6+8+18+12+2+14+14+8+8+0+0+0+16+12+12</f>
        <v>130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</f>
        <v>0</v>
      </c>
      <c r="H5" s="10">
        <v>4836</v>
      </c>
      <c r="I5" s="10">
        <f>H5-G5-G7-G6</f>
        <v>2904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78</v>
      </c>
      <c r="D6" s="10">
        <v>90</v>
      </c>
      <c r="E6" s="10">
        <f t="shared" si="0"/>
        <v>168</v>
      </c>
      <c r="F6" s="10" t="s">
        <v>14</v>
      </c>
      <c r="G6" s="10">
        <f>202+207+88+172+159+138+147+19+0+0+187+126+145+167+168</f>
        <v>1925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35.09</v>
      </c>
      <c r="D9" s="13"/>
      <c r="E9" s="10">
        <f t="shared" si="0"/>
        <v>35.09</v>
      </c>
      <c r="F9" s="13" t="s">
        <v>14</v>
      </c>
      <c r="G9" s="10">
        <f>0+30.27+0+35.09</f>
        <v>65.36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31.12</v>
      </c>
      <c r="D10" s="13"/>
      <c r="E10" s="10">
        <f t="shared" si="0"/>
        <v>31.12</v>
      </c>
      <c r="F10" s="13" t="s">
        <v>14</v>
      </c>
      <c r="G10" s="10">
        <f>0+0+0+30.28+30.9+31.12+30.64+30.8+0+0+0+0+0+31+31.12</f>
        <v>215.86</v>
      </c>
      <c r="H10" s="13">
        <v>5.91</v>
      </c>
      <c r="I10" s="13">
        <f>H10-K11</f>
        <v>4.004558</v>
      </c>
      <c r="J10" s="19" t="s">
        <v>21</v>
      </c>
      <c r="K10" s="10">
        <v>0</v>
      </c>
      <c r="L10" s="10">
        <v>0.84</v>
      </c>
      <c r="M10" s="20"/>
    </row>
    <row r="11" s="1" customFormat="1" ht="25" customHeight="1" spans="1:13">
      <c r="A11" s="12">
        <v>6</v>
      </c>
      <c r="B11" s="8" t="s">
        <v>22</v>
      </c>
      <c r="C11" s="10">
        <v>10.341</v>
      </c>
      <c r="D11" s="10">
        <v>1.809</v>
      </c>
      <c r="E11" s="10">
        <f t="shared" si="0"/>
        <v>12.15</v>
      </c>
      <c r="F11" s="10" t="s">
        <v>14</v>
      </c>
      <c r="G11" s="10">
        <f>10.7865+8.2215+8.424+5.8185+6.1695+10.746+6.7095+8.181+3.699+0+4.8195+9.045+7.9515+10.395+12.15</f>
        <v>113.1165</v>
      </c>
      <c r="H11" s="10"/>
      <c r="I11" s="10">
        <f>G11/(G3*0.1865)</f>
        <v>4.39509266814314</v>
      </c>
      <c r="J11" s="19" t="s">
        <v>23</v>
      </c>
      <c r="K11" s="20">
        <f>0+0+0+0.269492+0.28119+0.283192+0.29108+0.26488+0+0+0+0+0+0.2542+0.261408</f>
        <v>1.905442</v>
      </c>
      <c r="L11" s="10"/>
      <c r="M11" s="10">
        <f>C10*L10/100</f>
        <v>0.261408</v>
      </c>
    </row>
    <row r="12" s="1" customFormat="1" ht="25" customHeight="1" spans="1:13">
      <c r="A12" s="12">
        <v>7</v>
      </c>
      <c r="B12" s="8" t="s">
        <v>24</v>
      </c>
      <c r="C12" s="10">
        <v>14.4624</v>
      </c>
      <c r="D12" s="10">
        <v>0</v>
      </c>
      <c r="E12" s="10">
        <f t="shared" si="0"/>
        <v>14.4624</v>
      </c>
      <c r="F12" s="10" t="s">
        <v>14</v>
      </c>
      <c r="G12" s="10">
        <f>13.1744+10.1568+16.4312+5.5016+16.1552+10.7272+10.5064+12.8616+0+0+16.192+8.1696+8.7584+13.2112+14.4624</f>
        <v>156.308</v>
      </c>
      <c r="H12" s="10"/>
      <c r="I12" s="10">
        <f>G12/(G3*0.1865)</f>
        <v>6.07327971403038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203</v>
      </c>
      <c r="D13" s="10">
        <v>182</v>
      </c>
      <c r="E13" s="10">
        <f t="shared" si="0"/>
        <v>385</v>
      </c>
      <c r="F13" s="10" t="s">
        <v>26</v>
      </c>
      <c r="G13" s="10">
        <f>443+417+312+276+343+347+336+201+1+10+307+298+333+389+385</f>
        <v>4398</v>
      </c>
      <c r="H13" s="10">
        <f>G13*1.05</f>
        <v>4617.9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278</v>
      </c>
      <c r="D14" s="10">
        <v>133</v>
      </c>
      <c r="E14" s="10">
        <f t="shared" ref="E14:E23" si="1">D14+C14</f>
        <v>411</v>
      </c>
      <c r="F14" s="10" t="s">
        <v>26</v>
      </c>
      <c r="G14" s="10">
        <f>438+425+240+208+350+389+291+195+0+0+217+316+376+372+411</f>
        <v>4228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373.77</v>
      </c>
      <c r="D15" s="10">
        <v>365.63</v>
      </c>
      <c r="E15" s="10">
        <f t="shared" si="1"/>
        <v>739.4</v>
      </c>
      <c r="F15" s="10" t="s">
        <v>26</v>
      </c>
      <c r="G15" s="10">
        <f>882.29+802.31+278.08+840.07+583.23+645.45+671.67+316.57+56.84+0+646.55+666.14+750.89+763.63+739.4</f>
        <v>8643.12</v>
      </c>
      <c r="H15" s="10"/>
      <c r="I15" s="10"/>
      <c r="J15" s="19" t="s">
        <v>29</v>
      </c>
      <c r="K15" s="10">
        <v>3.19</v>
      </c>
      <c r="L15" s="10">
        <v>3.09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18</v>
      </c>
      <c r="D16" s="10">
        <v>12</v>
      </c>
      <c r="E16" s="10">
        <f t="shared" si="1"/>
        <v>30</v>
      </c>
      <c r="F16" s="10" t="s">
        <v>14</v>
      </c>
      <c r="G16" s="10">
        <f>33+33+21+19+24+30+24+15+0+0+12+27+30+29+30</f>
        <v>327</v>
      </c>
      <c r="H16" s="10"/>
      <c r="I16" s="10">
        <f>G16/(G3*0.1865)</f>
        <v>12.7054435248864</v>
      </c>
      <c r="J16" s="19" t="s">
        <v>31</v>
      </c>
      <c r="K16" s="20">
        <f>2.6778576+2.4526005+0.9556818+2.9003541+1.8362639+1.9624667+1.9542698+1.0088616+0.164836+0+1.946265+2.032509+2.3535519+2.3066109+2.322123</f>
        <v>26.8742518</v>
      </c>
      <c r="L16" s="10"/>
      <c r="M16" s="10">
        <f>(C15*K15+L15*D15)/1000</f>
        <v>2.322123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0.85</v>
      </c>
      <c r="D18" s="7">
        <v>0.85</v>
      </c>
      <c r="E18" s="10">
        <f t="shared" si="1"/>
        <v>1.7</v>
      </c>
      <c r="F18" s="10" t="s">
        <v>14</v>
      </c>
      <c r="G18" s="10">
        <f>1.7+1.7+0+1.7</f>
        <v>5.1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</f>
        <v>12</v>
      </c>
      <c r="H19" s="22"/>
      <c r="I19" s="10">
        <f>G19/(G3*0.1865)</f>
        <v>0.46625480825271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</f>
        <v>12</v>
      </c>
      <c r="H20" s="22"/>
      <c r="I20" s="10">
        <f>G20/(G3*0.1865)</f>
        <v>0.46625480825271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7</v>
      </c>
      <c r="D21" s="7">
        <v>3</v>
      </c>
      <c r="E21" s="10">
        <f t="shared" si="1"/>
        <v>10</v>
      </c>
      <c r="F21" s="10" t="s">
        <v>36</v>
      </c>
      <c r="G21" s="10">
        <f>7+8+3+10+2+6+5+7+0+0+7+5+7+4+10</f>
        <v>81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519</v>
      </c>
      <c r="D22" s="7">
        <v>503</v>
      </c>
      <c r="E22" s="10">
        <f t="shared" si="1"/>
        <v>1022</v>
      </c>
      <c r="F22" s="10" t="s">
        <v>26</v>
      </c>
      <c r="G22" s="10">
        <f>1327+1206+823+1176+1139+893+852+349+5+72+1152+814+1055+1028+1022</f>
        <v>12913</v>
      </c>
      <c r="H22" s="23"/>
      <c r="I22" s="10">
        <f>E22/M22</f>
        <v>42.5833333333333</v>
      </c>
      <c r="J22" s="19" t="s">
        <v>38</v>
      </c>
      <c r="K22" s="10">
        <f>24+24+13.5+24+24+18.5+18+5+0+0+23.5+18.5+24+24+24</f>
        <v>265</v>
      </c>
      <c r="L22" s="10">
        <f>G22/K22</f>
        <v>48.7283018867925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663</v>
      </c>
      <c r="D23" s="7">
        <v>652</v>
      </c>
      <c r="E23" s="10">
        <f t="shared" si="1"/>
        <v>1315</v>
      </c>
      <c r="F23" s="10" t="s">
        <v>26</v>
      </c>
      <c r="G23" s="10">
        <f>1719+1515+850+1201+1277+1135+1069+417+11+221+1450+1071+1220+1379+1315</f>
        <v>15850</v>
      </c>
      <c r="H23" s="22"/>
      <c r="I23" s="10">
        <f>E23/M22</f>
        <v>54.7916666666667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30.94</v>
      </c>
      <c r="D24" s="12">
        <v>31.72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98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114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98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114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115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</f>
        <v>9.8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0</v>
      </c>
      <c r="D32" s="10">
        <v>6.22</v>
      </c>
      <c r="E32" s="10">
        <f t="shared" si="2"/>
        <v>6.22</v>
      </c>
      <c r="F32" s="10" t="s">
        <v>26</v>
      </c>
      <c r="G32" s="10">
        <f>12.69+12.67+6.3+12.55+6.29+6.25+6.24+12.64+6.33+0+6.37+6.39+12.58+12.65+6.22</f>
        <v>126.17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10</v>
      </c>
      <c r="D33" s="10">
        <v>6</v>
      </c>
      <c r="E33" s="10">
        <f t="shared" si="2"/>
        <v>16</v>
      </c>
      <c r="F33" s="10" t="s">
        <v>26</v>
      </c>
      <c r="G33" s="10">
        <f>10+55+18+25+26.23+21+27+53+14+0+61+28+41.85+20+16</f>
        <v>416.08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</f>
        <v>46.4265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503</v>
      </c>
      <c r="D37" s="10">
        <v>349</v>
      </c>
      <c r="E37" s="10">
        <f t="shared" si="2"/>
        <v>852</v>
      </c>
      <c r="F37" s="10" t="s">
        <v>26</v>
      </c>
      <c r="G37" s="10">
        <f>989+992+1002+1004+1005+1010+1012+1010+505+0+986+1018+960+917+852</f>
        <v>13262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</f>
        <v>0</v>
      </c>
      <c r="H38" s="22"/>
      <c r="I38" s="7">
        <v>817.5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</f>
        <v>0</v>
      </c>
      <c r="H39" s="22"/>
      <c r="I39" s="7">
        <v>59.9334</v>
      </c>
      <c r="J39" s="35"/>
      <c r="K39" s="37"/>
      <c r="L39" s="19" t="s">
        <v>112</v>
      </c>
      <c r="M39" s="7">
        <v>3</v>
      </c>
    </row>
    <row r="40" s="1" customFormat="1" ht="25" customHeight="1" spans="1:13">
      <c r="A40" s="7">
        <v>10</v>
      </c>
      <c r="B40" s="8" t="s">
        <v>65</v>
      </c>
      <c r="C40" s="7">
        <v>0</v>
      </c>
      <c r="D40" s="7">
        <v>0</v>
      </c>
      <c r="E40" s="10">
        <f>D40+C40</f>
        <v>0</v>
      </c>
      <c r="F40" s="10" t="s">
        <v>36</v>
      </c>
      <c r="G40" s="10">
        <f>7+3+2+2+3+2+2+4+2+0+2+2+2+5+0</f>
        <v>38</v>
      </c>
      <c r="H40" s="22"/>
      <c r="I40" s="10"/>
      <c r="J40" s="35"/>
      <c r="K40" s="27"/>
      <c r="L40" s="19" t="s">
        <v>66</v>
      </c>
      <c r="M40" s="7">
        <v>35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4</v>
      </c>
      <c r="E3" s="10">
        <f t="shared" ref="E3:E13" si="0">C3+D3</f>
        <v>10.5</v>
      </c>
      <c r="F3" s="10" t="s">
        <v>14</v>
      </c>
      <c r="G3" s="10">
        <f>9+18+11+3.5+13+14.5+7+8.5+0+0+5+11+11.5+12+14+10.5</f>
        <v>148.5</v>
      </c>
      <c r="H3" s="10">
        <v>320</v>
      </c>
      <c r="I3" s="10">
        <f>H3-G3</f>
        <v>171.5</v>
      </c>
      <c r="J3" s="11"/>
      <c r="K3" s="10"/>
      <c r="L3" s="10"/>
      <c r="M3" s="10">
        <f>I3/15</f>
        <v>11.4333333333333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6+8+18+12+2+14+14+8+8+0+0+0+16+12+12+14</f>
        <v>144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</f>
        <v>0</v>
      </c>
      <c r="H5" s="10">
        <v>4836</v>
      </c>
      <c r="I5" s="10">
        <f>H5-G5-G7-G6</f>
        <v>2838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20</v>
      </c>
      <c r="D6" s="10">
        <v>46</v>
      </c>
      <c r="E6" s="10">
        <f t="shared" si="0"/>
        <v>66</v>
      </c>
      <c r="F6" s="10" t="s">
        <v>14</v>
      </c>
      <c r="G6" s="10">
        <f>202+207+88+172+159+138+147+19+0+0+187+126+145+167+168+66</f>
        <v>1991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29.27</v>
      </c>
      <c r="D9" s="13"/>
      <c r="E9" s="10">
        <f t="shared" si="0"/>
        <v>29.27</v>
      </c>
      <c r="F9" s="13" t="s">
        <v>14</v>
      </c>
      <c r="G9" s="10">
        <f>0+30.27+0+35.09+29.27</f>
        <v>94.63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</f>
        <v>215.86</v>
      </c>
      <c r="H10" s="13">
        <v>5.91</v>
      </c>
      <c r="I10" s="13">
        <f>H10-K11</f>
        <v>4.004558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8.073</v>
      </c>
      <c r="D11" s="10">
        <v>1.08</v>
      </c>
      <c r="E11" s="10">
        <f t="shared" si="0"/>
        <v>9.153</v>
      </c>
      <c r="F11" s="10" t="s">
        <v>14</v>
      </c>
      <c r="G11" s="10">
        <f>10.7865+8.2215+8.424+5.8185+6.1695+10.746+6.7095+8.181+3.699+0+4.8195+9.045+7.9515+10.395+12.15+9.153</f>
        <v>122.2695</v>
      </c>
      <c r="H11" s="10"/>
      <c r="I11" s="10">
        <f>G11/(G3*0.1865)</f>
        <v>4.41481842554229</v>
      </c>
      <c r="J11" s="19" t="s">
        <v>23</v>
      </c>
      <c r="K11" s="20">
        <f>0+0+0+0.269492+0.28119+0.283192+0.29108+0.26488+0+0+0+0+0+0.2542+0.261408+0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13.0456</v>
      </c>
      <c r="D12" s="10">
        <v>0</v>
      </c>
      <c r="E12" s="10">
        <f t="shared" si="0"/>
        <v>13.0456</v>
      </c>
      <c r="F12" s="10" t="s">
        <v>14</v>
      </c>
      <c r="G12" s="10">
        <f>13.1744+10.1568+16.4312+5.5016+16.1552+10.7272+10.5064+12.8616+0+0+16.192+8.1696+8.7584+13.2112+14.4624+13.0456</f>
        <v>169.3536</v>
      </c>
      <c r="H12" s="10"/>
      <c r="I12" s="10">
        <f>G12/(G3*0.1865)</f>
        <v>6.11489695886479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230</v>
      </c>
      <c r="D13" s="10">
        <v>10</v>
      </c>
      <c r="E13" s="10">
        <f t="shared" si="0"/>
        <v>240</v>
      </c>
      <c r="F13" s="10" t="s">
        <v>26</v>
      </c>
      <c r="G13" s="10">
        <f>443+417+312+276+343+347+336+201+1+10+307+298+333+389+385+240</f>
        <v>4638</v>
      </c>
      <c r="H13" s="10">
        <f>G13*1.05</f>
        <v>4869.9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251</v>
      </c>
      <c r="D14" s="10">
        <v>34</v>
      </c>
      <c r="E14" s="10">
        <f t="shared" ref="E14:E23" si="1">D14+C14</f>
        <v>285</v>
      </c>
      <c r="F14" s="10" t="s">
        <v>26</v>
      </c>
      <c r="G14" s="10">
        <f>438+425+240+208+350+389+291+195+0+0+217+316+376+372+411+285</f>
        <v>4513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277.2</v>
      </c>
      <c r="D15" s="10">
        <v>377.52</v>
      </c>
      <c r="E15" s="10">
        <f t="shared" si="1"/>
        <v>654.72</v>
      </c>
      <c r="F15" s="10" t="s">
        <v>26</v>
      </c>
      <c r="G15" s="10">
        <f>882.29+802.31+278.08+840.07+583.23+645.45+671.67+316.57+56.84+0+646.55+666.14+750.89+763.63+739.4+654.72</f>
        <v>9297.84</v>
      </c>
      <c r="H15" s="10"/>
      <c r="I15" s="10"/>
      <c r="J15" s="19" t="s">
        <v>29</v>
      </c>
      <c r="K15" s="10">
        <v>3.1</v>
      </c>
      <c r="L15" s="10">
        <v>3.12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3</v>
      </c>
      <c r="E16" s="10">
        <f t="shared" si="1"/>
        <v>18</v>
      </c>
      <c r="F16" s="10" t="s">
        <v>14</v>
      </c>
      <c r="G16" s="10">
        <f>33+33+21+19+24+30+24+15+0+0+12+27+30+29+30+18</f>
        <v>345</v>
      </c>
      <c r="H16" s="10"/>
      <c r="I16" s="10">
        <f>G16/(G3*0.1865)</f>
        <v>12.4570097760446</v>
      </c>
      <c r="J16" s="19" t="s">
        <v>31</v>
      </c>
      <c r="K16" s="20">
        <f>2.6778576+2.4526005+0.9556818+2.9003541+1.8362639+1.9624667+1.9542698+1.0088616+0.164836+0+1.946265+2.032509+2.3535519+2.3066109+2.322123+2.0371824</f>
        <v>28.9114342</v>
      </c>
      <c r="L16" s="10"/>
      <c r="M16" s="10">
        <f>(C15*K15+L15*D15)/1000</f>
        <v>2.0371824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0.85</v>
      </c>
      <c r="D18" s="7">
        <v>1.7</v>
      </c>
      <c r="E18" s="10">
        <f t="shared" si="1"/>
        <v>2.55</v>
      </c>
      <c r="F18" s="10" t="s">
        <v>14</v>
      </c>
      <c r="G18" s="10">
        <f>1.7+1.7+0+1.7+2.55</f>
        <v>7.65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</f>
        <v>14</v>
      </c>
      <c r="H19" s="22"/>
      <c r="I19" s="10">
        <f>G19/(G3*0.1865)</f>
        <v>0.50550184598442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</f>
        <v>14</v>
      </c>
      <c r="H20" s="22"/>
      <c r="I20" s="10">
        <f>G20/(G3*0.1865)</f>
        <v>0.50550184598442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0</v>
      </c>
      <c r="D21" s="7">
        <v>2</v>
      </c>
      <c r="E21" s="10">
        <f t="shared" si="1"/>
        <v>2</v>
      </c>
      <c r="F21" s="10" t="s">
        <v>36</v>
      </c>
      <c r="G21" s="10">
        <f>7+8+3+10+2+6+5+7+0+0+7+5+7+4+10+2</f>
        <v>83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137</v>
      </c>
      <c r="D22" s="7">
        <v>470</v>
      </c>
      <c r="E22" s="10">
        <f t="shared" si="1"/>
        <v>607</v>
      </c>
      <c r="F22" s="10" t="s">
        <v>26</v>
      </c>
      <c r="G22" s="10">
        <f>1327+1206+823+1176+1139+893+852+349+5+72+1152+814+1055+1028+1022+607</f>
        <v>13520</v>
      </c>
      <c r="H22" s="23"/>
      <c r="I22" s="10">
        <f>E22/M22</f>
        <v>46.6923076923077</v>
      </c>
      <c r="J22" s="19" t="s">
        <v>38</v>
      </c>
      <c r="K22" s="10">
        <f>24+24+13.5+24+24+18.5+18+5+0+0+23.5+18.5+24+24+24+13</f>
        <v>278</v>
      </c>
      <c r="L22" s="10">
        <f>G22/K22</f>
        <v>48.6330935251799</v>
      </c>
      <c r="M22" s="10">
        <v>13</v>
      </c>
    </row>
    <row r="23" s="1" customFormat="1" ht="25" customHeight="1" spans="1:13">
      <c r="A23" s="12">
        <v>18</v>
      </c>
      <c r="B23" s="8" t="s">
        <v>39</v>
      </c>
      <c r="C23" s="7">
        <v>308</v>
      </c>
      <c r="D23" s="7">
        <v>467</v>
      </c>
      <c r="E23" s="10">
        <f t="shared" si="1"/>
        <v>775</v>
      </c>
      <c r="F23" s="10" t="s">
        <v>26</v>
      </c>
      <c r="G23" s="10">
        <f>1719+1515+850+1201+1277+1135+1069+417+11+221+1450+1071+1220+1379+1315+775</f>
        <v>16625</v>
      </c>
      <c r="H23" s="22"/>
      <c r="I23" s="10">
        <f>E23/M22</f>
        <v>59.6153846153846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35.41</v>
      </c>
      <c r="D24" s="12">
        <v>30.27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114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114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114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114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117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10.59</v>
      </c>
      <c r="D31" s="10">
        <v>0</v>
      </c>
      <c r="E31" s="10">
        <f t="shared" ref="E31:E37" si="2">D31+C31</f>
        <v>10.59</v>
      </c>
      <c r="F31" s="10" t="s">
        <v>26</v>
      </c>
      <c r="G31" s="10">
        <f>9.8+0+0+0+0+0+0+0+0+0+0+0+0+0+0+10.59</f>
        <v>20.39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6.32</v>
      </c>
      <c r="D32" s="10">
        <v>6.26</v>
      </c>
      <c r="E32" s="10">
        <f t="shared" si="2"/>
        <v>12.58</v>
      </c>
      <c r="F32" s="10" t="s">
        <v>26</v>
      </c>
      <c r="G32" s="10">
        <f>12.69+12.67+6.3+12.55+6.29+6.25+6.24+12.64+6.33+0+6.37+6.39+12.58+12.65+6.22+12.58</f>
        <v>138.75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13</v>
      </c>
      <c r="D33" s="10">
        <v>7</v>
      </c>
      <c r="E33" s="10">
        <f t="shared" si="2"/>
        <v>20</v>
      </c>
      <c r="F33" s="10" t="s">
        <v>26</v>
      </c>
      <c r="G33" s="10">
        <f>10+55+18+25+26.23+21+27+53+14+0+61+28+41.85+20+16+20</f>
        <v>436.08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4.887</v>
      </c>
      <c r="D34" s="10">
        <v>0</v>
      </c>
      <c r="E34" s="10">
        <f t="shared" si="2"/>
        <v>4.887</v>
      </c>
      <c r="F34" s="10" t="s">
        <v>14</v>
      </c>
      <c r="G34" s="10">
        <f>7.803+0+7.776+0+11.2725+0+0+0+9.855+0+0+0+0+9.72+0+4.887</f>
        <v>51.3135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324</v>
      </c>
      <c r="D37" s="10">
        <v>506</v>
      </c>
      <c r="E37" s="10">
        <f t="shared" si="2"/>
        <v>830</v>
      </c>
      <c r="F37" s="10" t="s">
        <v>26</v>
      </c>
      <c r="G37" s="10">
        <f>989+992+1002+1004+1005+1010+1012+1010+505+0+986+1018+960+917+852+830</f>
        <v>14092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</f>
        <v>0</v>
      </c>
      <c r="H38" s="22"/>
      <c r="I38" s="7">
        <v>487.5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</f>
        <v>0</v>
      </c>
      <c r="H39" s="22"/>
      <c r="I39" s="7">
        <v>60.802</v>
      </c>
      <c r="J39" s="35"/>
      <c r="K39" s="37"/>
      <c r="L39" s="19" t="s">
        <v>112</v>
      </c>
      <c r="M39" s="7">
        <v>6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3</v>
      </c>
      <c r="E40" s="10">
        <f>D40+C40</f>
        <v>5</v>
      </c>
      <c r="F40" s="10" t="s">
        <v>36</v>
      </c>
      <c r="G40" s="10">
        <f>7+3+2+2+3+2+2+4+2+0+2+2+2+5+0+5</f>
        <v>43</v>
      </c>
      <c r="H40" s="22"/>
      <c r="I40" s="10"/>
      <c r="J40" s="35"/>
      <c r="K40" s="27"/>
      <c r="L40" s="19" t="s">
        <v>66</v>
      </c>
      <c r="M40" s="7">
        <v>30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0.5</v>
      </c>
      <c r="D3" s="9">
        <v>5.5</v>
      </c>
      <c r="E3" s="10">
        <f t="shared" ref="E3:E13" si="0">C3+D3</f>
        <v>6</v>
      </c>
      <c r="F3" s="10" t="s">
        <v>14</v>
      </c>
      <c r="G3" s="10">
        <f>9+18+11+3.5+13+14.5+7+8.5+0+0+5+11+11.5+12+14+10.5+6</f>
        <v>154.5</v>
      </c>
      <c r="H3" s="10">
        <v>320</v>
      </c>
      <c r="I3" s="10">
        <f>H3-G3</f>
        <v>165.5</v>
      </c>
      <c r="J3" s="11"/>
      <c r="K3" s="10"/>
      <c r="L3" s="10"/>
      <c r="M3" s="10">
        <f>I3/14</f>
        <v>11.8214285714286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6+8+18+12+2+14+14+8+8+0+0+0+16+12+12+14+10</f>
        <v>154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</f>
        <v>0</v>
      </c>
      <c r="H5" s="10">
        <v>4836</v>
      </c>
      <c r="I5" s="10">
        <f>H5-G5-G7-G6</f>
        <v>2670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75</v>
      </c>
      <c r="D6" s="10">
        <v>93</v>
      </c>
      <c r="E6" s="10">
        <f t="shared" si="0"/>
        <v>168</v>
      </c>
      <c r="F6" s="10" t="s">
        <v>14</v>
      </c>
      <c r="G6" s="10">
        <f>202+207+88+172+159+138+147+19+0+0+187+126+145+167+168+66+168</f>
        <v>2159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1</v>
      </c>
      <c r="E8" s="10">
        <f t="shared" si="0"/>
        <v>1</v>
      </c>
      <c r="F8" s="10" t="s">
        <v>14</v>
      </c>
      <c r="G8" s="10">
        <f>0+0+0+0+0+0+0+0+0+0+0+0+0+0+0+0+1</f>
        <v>1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20.26</v>
      </c>
      <c r="D9" s="13"/>
      <c r="E9" s="10">
        <f t="shared" si="0"/>
        <v>20.26</v>
      </c>
      <c r="F9" s="13" t="s">
        <v>14</v>
      </c>
      <c r="G9" s="10">
        <f>0+30.27+0+35.09+29.27+20.26</f>
        <v>114.89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</f>
        <v>215.86</v>
      </c>
      <c r="H10" s="13">
        <v>5.91</v>
      </c>
      <c r="I10" s="13">
        <f>H10-K11</f>
        <v>4.004558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4.05</v>
      </c>
      <c r="D11" s="10">
        <v>2.376</v>
      </c>
      <c r="E11" s="10">
        <f t="shared" si="0"/>
        <v>6.426</v>
      </c>
      <c r="F11" s="10" t="s">
        <v>14</v>
      </c>
      <c r="G11" s="10">
        <f>10.7865+8.2215+8.424+5.8185+6.1695+10.746+6.7095+8.181+3.699+0+4.8195+9.045+7.9515+10.395+12.15+9.153+6.426</f>
        <v>128.6955</v>
      </c>
      <c r="H11" s="10"/>
      <c r="I11" s="10">
        <f>G11/(G3*0.1865)</f>
        <v>4.46638382050548</v>
      </c>
      <c r="J11" s="19" t="s">
        <v>23</v>
      </c>
      <c r="K11" s="20">
        <f>0+0+0+0.269492+0.28119+0.283192+0.29108+0.26488+0+0+0+0+0+0.2542+0.261408+0+0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12.88</v>
      </c>
      <c r="D12" s="10">
        <v>0</v>
      </c>
      <c r="E12" s="10">
        <f t="shared" si="0"/>
        <v>12.88</v>
      </c>
      <c r="F12" s="10" t="s">
        <v>14</v>
      </c>
      <c r="G12" s="10">
        <f>13.1744+10.1568+16.4312+5.5016+16.1552+10.7272+10.5064+12.8616+0+0+16.192+8.1696+8.7584+13.2112+14.4624+13.0456+12.88</f>
        <v>182.2336</v>
      </c>
      <c r="H12" s="10"/>
      <c r="I12" s="10">
        <f>G12/(G3*0.1865)</f>
        <v>6.32442628213471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112</v>
      </c>
      <c r="D13" s="10">
        <v>211</v>
      </c>
      <c r="E13" s="10">
        <f t="shared" si="0"/>
        <v>323</v>
      </c>
      <c r="F13" s="10" t="s">
        <v>26</v>
      </c>
      <c r="G13" s="10">
        <f>443+417+312+276+343+347+336+201+1+10+307+298+333+389+385+240+323</f>
        <v>4961</v>
      </c>
      <c r="H13" s="10">
        <f>G13*1.05</f>
        <v>5209.05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88</v>
      </c>
      <c r="D14" s="10">
        <v>191</v>
      </c>
      <c r="E14" s="10">
        <f t="shared" ref="E14:E23" si="1">D14+C14</f>
        <v>279</v>
      </c>
      <c r="F14" s="10" t="s">
        <v>26</v>
      </c>
      <c r="G14" s="10">
        <f>438+425+240+208+350+389+291+195+0+0+217+316+376+372+411+285+279</f>
        <v>4792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348.16</v>
      </c>
      <c r="D15" s="10">
        <v>412.94</v>
      </c>
      <c r="E15" s="10">
        <f t="shared" si="1"/>
        <v>761.1</v>
      </c>
      <c r="F15" s="10" t="s">
        <v>26</v>
      </c>
      <c r="G15" s="10">
        <f>882.29+802.31+278.08+840.07+583.23+645.45+671.67+316.57+56.84+0+646.55+666.14+750.89+763.63+739.4+654.72+761.1</f>
        <v>10058.94</v>
      </c>
      <c r="H15" s="10"/>
      <c r="I15" s="10"/>
      <c r="J15" s="19" t="s">
        <v>29</v>
      </c>
      <c r="K15" s="10">
        <v>3.27</v>
      </c>
      <c r="L15" s="10">
        <v>3.21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16</v>
      </c>
      <c r="D16" s="10">
        <v>12</v>
      </c>
      <c r="E16" s="10">
        <f t="shared" si="1"/>
        <v>28</v>
      </c>
      <c r="F16" s="10" t="s">
        <v>14</v>
      </c>
      <c r="G16" s="10">
        <f>33+33+21+19+24+30+24+15+0+0+12+27+30+29+30+18+28</f>
        <v>373</v>
      </c>
      <c r="H16" s="10"/>
      <c r="I16" s="10">
        <f>G16/(G3*0.1865)</f>
        <v>12.9449838187702</v>
      </c>
      <c r="J16" s="19" t="s">
        <v>31</v>
      </c>
      <c r="K16" s="20">
        <f>2.6778576+2.4526005+0.9556818+2.9003541+1.8362639+1.9624667+1.9542698+1.0088616+0.164836+0+1.946265+2.032509+2.3535519+2.3066109+2.322123+2.0371824+2.4640206</f>
        <v>31.3754548</v>
      </c>
      <c r="L16" s="10"/>
      <c r="M16" s="10">
        <f>(C15*K15+L15*D15)/1000</f>
        <v>2.4640206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</v>
      </c>
      <c r="D18" s="7">
        <v>0.8</v>
      </c>
      <c r="E18" s="10">
        <f t="shared" si="1"/>
        <v>1.6</v>
      </c>
      <c r="F18" s="10" t="s">
        <v>14</v>
      </c>
      <c r="G18" s="10">
        <f>1.7+1.7+0+1.7+2.55+1.6</f>
        <v>9.25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2+0+2+0+2+0+0+2+0+0+0+2+0+2+0+2+0</f>
        <v>14</v>
      </c>
      <c r="H19" s="22"/>
      <c r="I19" s="10">
        <f>G19/(G3*0.1865)</f>
        <v>0.485870706334539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2+0+2+0+2+0+0+2+0+0+0+2+0+2+0+2+0</f>
        <v>14</v>
      </c>
      <c r="H20" s="22"/>
      <c r="I20" s="10">
        <f>G20/(G3*0.1865)</f>
        <v>0.485870706334539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5</v>
      </c>
      <c r="D21" s="7">
        <v>1</v>
      </c>
      <c r="E21" s="10">
        <f t="shared" si="1"/>
        <v>6</v>
      </c>
      <c r="F21" s="10" t="s">
        <v>36</v>
      </c>
      <c r="G21" s="10">
        <f>7+8+3+10+2+6+5+7+0+0+7+5+7+4+10+2+6</f>
        <v>89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424</v>
      </c>
      <c r="D22" s="7">
        <v>601</v>
      </c>
      <c r="E22" s="10">
        <f t="shared" si="1"/>
        <v>1025</v>
      </c>
      <c r="F22" s="10" t="s">
        <v>26</v>
      </c>
      <c r="G22" s="10">
        <f>1327+1206+823+1176+1139+893+852+349+5+72+1152+814+1055+1028+1022+607+1025</f>
        <v>14545</v>
      </c>
      <c r="H22" s="23"/>
      <c r="I22" s="10">
        <f>E22/M22</f>
        <v>60.2941176470588</v>
      </c>
      <c r="J22" s="19" t="s">
        <v>38</v>
      </c>
      <c r="K22" s="10">
        <f>24+24+13.5+24+24+18.5+18+5+0+0+23.5+18.5+24+24+24+13+17</f>
        <v>295</v>
      </c>
      <c r="L22" s="10">
        <f>G22/K22</f>
        <v>49.3050847457627</v>
      </c>
      <c r="M22" s="10">
        <v>17</v>
      </c>
    </row>
    <row r="23" s="1" customFormat="1" ht="25" customHeight="1" spans="1:13">
      <c r="A23" s="12">
        <v>18</v>
      </c>
      <c r="B23" s="8" t="s">
        <v>39</v>
      </c>
      <c r="C23" s="7">
        <v>502</v>
      </c>
      <c r="D23" s="7">
        <v>779</v>
      </c>
      <c r="E23" s="10">
        <f t="shared" si="1"/>
        <v>1281</v>
      </c>
      <c r="F23" s="10" t="s">
        <v>26</v>
      </c>
      <c r="G23" s="10">
        <f>1719+1515+850+1201+1277+1135+1069+417+11+221+1450+1071+1220+1379+1315+775+1281</f>
        <v>17906</v>
      </c>
      <c r="H23" s="22"/>
      <c r="I23" s="10">
        <f>E23/M22</f>
        <v>75.3529411764706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31.63</v>
      </c>
      <c r="D24" s="12">
        <v>28.06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114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119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114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119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120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</f>
        <v>20.39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6.34</v>
      </c>
      <c r="D32" s="10">
        <v>6.26</v>
      </c>
      <c r="E32" s="10">
        <f t="shared" si="2"/>
        <v>12.6</v>
      </c>
      <c r="F32" s="10" t="s">
        <v>26</v>
      </c>
      <c r="G32" s="10">
        <f>12.69+12.67+6.3+12.55+6.29+6.25+6.24+12.64+6.33+0+6.37+6.39+12.58+12.65+6.22+12.58+12.6</f>
        <v>151.35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13</v>
      </c>
      <c r="D33" s="10">
        <v>10</v>
      </c>
      <c r="E33" s="10">
        <f t="shared" si="2"/>
        <v>23</v>
      </c>
      <c r="F33" s="10" t="s">
        <v>26</v>
      </c>
      <c r="G33" s="10">
        <f>10+55+18+25+26.23+21+27+53+14+0+61+28+41.85+20+16+20+23</f>
        <v>459.08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11.016</v>
      </c>
      <c r="D34" s="10">
        <v>0</v>
      </c>
      <c r="E34" s="10">
        <f t="shared" si="2"/>
        <v>11.016</v>
      </c>
      <c r="F34" s="10" t="s">
        <v>14</v>
      </c>
      <c r="G34" s="10">
        <f>7.803+0+7.776+0+11.2725+0+0+0+9.855+0+0+0+0+9.72+0+4.887+11.016</f>
        <v>62.3295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505</v>
      </c>
      <c r="D37" s="10">
        <v>504</v>
      </c>
      <c r="E37" s="10">
        <f t="shared" si="2"/>
        <v>1009</v>
      </c>
      <c r="F37" s="10" t="s">
        <v>26</v>
      </c>
      <c r="G37" s="10">
        <f>989+992+1002+1004+1005+1010+1012+1010+505+0+986+1018+960+917+852+830+1009</f>
        <v>15101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</f>
        <v>0</v>
      </c>
      <c r="H38" s="22"/>
      <c r="I38" s="7">
        <v>712.5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</f>
        <v>0</v>
      </c>
      <c r="H39" s="22"/>
      <c r="I39" s="7">
        <v>61.6706</v>
      </c>
      <c r="J39" s="35"/>
      <c r="K39" s="37"/>
      <c r="L39" s="19" t="s">
        <v>112</v>
      </c>
      <c r="M39" s="7">
        <v>10</v>
      </c>
    </row>
    <row r="40" s="1" customFormat="1" ht="25" customHeight="1" spans="1:13">
      <c r="A40" s="7">
        <v>10</v>
      </c>
      <c r="B40" s="8" t="s">
        <v>65</v>
      </c>
      <c r="C40" s="7">
        <v>0</v>
      </c>
      <c r="D40" s="7">
        <v>2</v>
      </c>
      <c r="E40" s="10">
        <f>D40+C40</f>
        <v>2</v>
      </c>
      <c r="F40" s="10" t="s">
        <v>36</v>
      </c>
      <c r="G40" s="10">
        <f>7+3+2+2+3+2+2+4+2+0+2+2+2+5+0+5+2</f>
        <v>45</v>
      </c>
      <c r="H40" s="22"/>
      <c r="I40" s="10"/>
      <c r="J40" s="35"/>
      <c r="K40" s="27"/>
      <c r="L40" s="19" t="s">
        <v>66</v>
      </c>
      <c r="M40" s="7">
        <v>32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7.5</v>
      </c>
      <c r="D3" s="9">
        <v>9</v>
      </c>
      <c r="E3" s="10">
        <f t="shared" ref="E3:E13" si="0">C3+D3</f>
        <v>16.5</v>
      </c>
      <c r="F3" s="10" t="s">
        <v>14</v>
      </c>
      <c r="G3" s="10">
        <f>9+18+11+3.5+13+14.5+7+8.5+0+0+5+11+11.5+12+14+10.5+6+16.5</f>
        <v>171</v>
      </c>
      <c r="H3" s="10">
        <v>320</v>
      </c>
      <c r="I3" s="10">
        <f>H3-G3</f>
        <v>149</v>
      </c>
      <c r="J3" s="11"/>
      <c r="K3" s="10"/>
      <c r="L3" s="10"/>
      <c r="M3" s="10">
        <f>I3/13</f>
        <v>11.4615384615385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6+8+18+12+2+14+14+8+8+0+0+0+16+12+12+14+10+6</f>
        <v>160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</f>
        <v>0</v>
      </c>
      <c r="H5" s="10">
        <v>4836</v>
      </c>
      <c r="I5" s="10">
        <f>H5-G5-G7-G6</f>
        <v>2479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83</v>
      </c>
      <c r="D6" s="10">
        <v>108</v>
      </c>
      <c r="E6" s="10">
        <f t="shared" si="0"/>
        <v>191</v>
      </c>
      <c r="F6" s="10" t="s">
        <v>14</v>
      </c>
      <c r="G6" s="10">
        <f>202+207+88+172+159+138+147+19+0+0+187+126+145+167+168+66+168+191</f>
        <v>2350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</f>
        <v>1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29.69</v>
      </c>
      <c r="D9" s="13"/>
      <c r="E9" s="10">
        <f t="shared" si="0"/>
        <v>29.69</v>
      </c>
      <c r="F9" s="13" t="s">
        <v>14</v>
      </c>
      <c r="G9" s="10">
        <f>0+30.27+0+35.09+29.27+20.26+29.69</f>
        <v>144.58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</f>
        <v>215.86</v>
      </c>
      <c r="H10" s="13">
        <v>5.91</v>
      </c>
      <c r="I10" s="13">
        <f>H10-K11</f>
        <v>4.004558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6.7635</v>
      </c>
      <c r="D11" s="10">
        <v>2.16</v>
      </c>
      <c r="E11" s="10">
        <f t="shared" si="0"/>
        <v>8.9235</v>
      </c>
      <c r="F11" s="10" t="s">
        <v>14</v>
      </c>
      <c r="G11" s="10">
        <f>10.7865+8.2215+8.424+5.8185+6.1695+10.746+6.7095+8.181+3.699+0+4.8195+9.045+7.9515+10.395+12.15+9.153+6.426+8.9235</f>
        <v>137.619</v>
      </c>
      <c r="H11" s="10"/>
      <c r="I11" s="10">
        <f>G11/(G3*0.1865)</f>
        <v>4.31522505996896</v>
      </c>
      <c r="J11" s="19" t="s">
        <v>23</v>
      </c>
      <c r="K11" s="20">
        <f>0+0+0+0.269492+0.28119+0.283192+0.29108+0.26488+0+0+0+0+0+0.2542+0.261408+0+0+0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7.8752</v>
      </c>
      <c r="D12" s="10">
        <v>0</v>
      </c>
      <c r="E12" s="10">
        <f t="shared" si="0"/>
        <v>7.8752</v>
      </c>
      <c r="F12" s="10" t="s">
        <v>14</v>
      </c>
      <c r="G12" s="10">
        <f>13.1744+10.1568+16.4312+5.5016+16.1552+10.7272+10.5064+12.8616+0+0+16.192+8.1696+8.7584+13.2112+14.4624+13.0456+12.88+7.8752</f>
        <v>190.1088</v>
      </c>
      <c r="H12" s="10"/>
      <c r="I12" s="10">
        <f>G12/(G3*0.1865)</f>
        <v>5.96111189501905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215</v>
      </c>
      <c r="D13" s="10">
        <v>214</v>
      </c>
      <c r="E13" s="10">
        <f t="shared" si="0"/>
        <v>429</v>
      </c>
      <c r="F13" s="10" t="s">
        <v>26</v>
      </c>
      <c r="G13" s="10">
        <f>443+417+312+276+343+347+336+201+1+10+307+298+333+389+385+240+323+429</f>
        <v>5390</v>
      </c>
      <c r="H13" s="10">
        <f>G13*1.05</f>
        <v>5659.5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239</v>
      </c>
      <c r="D14" s="10">
        <v>221</v>
      </c>
      <c r="E14" s="10">
        <f t="shared" ref="E14:E23" si="1">D14+C14</f>
        <v>460</v>
      </c>
      <c r="F14" s="10" t="s">
        <v>26</v>
      </c>
      <c r="G14" s="10">
        <f>438+425+240+208+350+389+291+195+0+0+217+316+376+372+411+285+279+460</f>
        <v>5252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405.25</v>
      </c>
      <c r="D15" s="10">
        <v>411.92</v>
      </c>
      <c r="E15" s="10">
        <f t="shared" si="1"/>
        <v>817.17</v>
      </c>
      <c r="F15" s="10" t="s">
        <v>26</v>
      </c>
      <c r="G15" s="10">
        <f>882.29+802.31+278.08+840.07+583.23+645.45+671.67+316.57+56.84+0+646.55+666.14+750.89+763.63+739.4+654.72+761.1+817.17</f>
        <v>10876.11</v>
      </c>
      <c r="H15" s="10"/>
      <c r="I15" s="10"/>
      <c r="J15" s="19" t="s">
        <v>29</v>
      </c>
      <c r="K15" s="10">
        <v>3.21</v>
      </c>
      <c r="L15" s="10">
        <v>3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18</v>
      </c>
      <c r="D16" s="10">
        <v>18</v>
      </c>
      <c r="E16" s="10">
        <f t="shared" si="1"/>
        <v>36</v>
      </c>
      <c r="F16" s="10" t="s">
        <v>14</v>
      </c>
      <c r="G16" s="10">
        <f>33+33+21+19+24+30+24+15+0+0+12+27+30+29+30+18+28+36</f>
        <v>409</v>
      </c>
      <c r="H16" s="10"/>
      <c r="I16" s="10">
        <f>G16/(G3*0.1865)</f>
        <v>12.8247338632551</v>
      </c>
      <c r="J16" s="19" t="s">
        <v>31</v>
      </c>
      <c r="K16" s="20">
        <f>2.6778576+2.4526005+0.9556818+2.9003541+1.8362639+1.9624667+1.9542698+1.0088616+0.164836+0+1.946265+2.032509+2.3535519+2.3066109+2.322123+2.0371824+2.4640206+2.5366125</f>
        <v>33.9120673</v>
      </c>
      <c r="L16" s="10"/>
      <c r="M16" s="10">
        <f>(C15*K15+L15*D15)/1000</f>
        <v>2.5366125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</v>
      </c>
      <c r="D18" s="7">
        <v>0.8</v>
      </c>
      <c r="E18" s="10">
        <f t="shared" si="1"/>
        <v>1.6</v>
      </c>
      <c r="F18" s="10" t="s">
        <v>14</v>
      </c>
      <c r="G18" s="10">
        <f>1.7+1.7+0+1.7+2.55+1.6+1.6</f>
        <v>10.85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</f>
        <v>16</v>
      </c>
      <c r="H19" s="22"/>
      <c r="I19" s="10">
        <f>G19/(G3*0.1865)</f>
        <v>0.501701080225138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</f>
        <v>16</v>
      </c>
      <c r="H20" s="22"/>
      <c r="I20" s="10">
        <f>G20/(G3*0.1865)</f>
        <v>0.501701080225138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2</v>
      </c>
      <c r="D21" s="7">
        <v>6</v>
      </c>
      <c r="E21" s="10">
        <f t="shared" si="1"/>
        <v>8</v>
      </c>
      <c r="F21" s="10" t="s">
        <v>36</v>
      </c>
      <c r="G21" s="10">
        <f>7+8+3+10+2+6+5+7+0+0+7+5+7+4+10+2+6+8</f>
        <v>97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569</v>
      </c>
      <c r="D22" s="7">
        <v>563</v>
      </c>
      <c r="E22" s="10">
        <f t="shared" si="1"/>
        <v>1132</v>
      </c>
      <c r="F22" s="10" t="s">
        <v>26</v>
      </c>
      <c r="G22" s="10">
        <f>1327+1206+823+1176+1139+893+852+349+5+72+1152+814+1055+1028+1022+607+1025+1132</f>
        <v>15677</v>
      </c>
      <c r="H22" s="23"/>
      <c r="I22" s="10">
        <f>E22/M22</f>
        <v>47.1666666666667</v>
      </c>
      <c r="J22" s="19" t="s">
        <v>38</v>
      </c>
      <c r="K22" s="10">
        <f>24+24+13.5+24+24+18.5+18+5+0+0+23.5+18.5+24+24+24+13+17+24</f>
        <v>319</v>
      </c>
      <c r="L22" s="10">
        <f>G22/K22</f>
        <v>49.1442006269592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554</v>
      </c>
      <c r="D23" s="7">
        <v>710</v>
      </c>
      <c r="E23" s="10">
        <f t="shared" si="1"/>
        <v>1264</v>
      </c>
      <c r="F23" s="10" t="s">
        <v>26</v>
      </c>
      <c r="G23" s="10">
        <f>1719+1515+850+1201+1277+1135+1069+417+11+221+1450+1071+1220+1379+1315+775+1281+1264</f>
        <v>19170</v>
      </c>
      <c r="H23" s="22"/>
      <c r="I23" s="10">
        <f>E23/M22</f>
        <v>52.6666666666667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27.96</v>
      </c>
      <c r="D24" s="12">
        <v>26.53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119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119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119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119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122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</f>
        <v>20.39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6.27</v>
      </c>
      <c r="D32" s="10">
        <v>0</v>
      </c>
      <c r="E32" s="10">
        <f t="shared" si="2"/>
        <v>6.27</v>
      </c>
      <c r="F32" s="10" t="s">
        <v>26</v>
      </c>
      <c r="G32" s="10">
        <f>12.69+12.67+6.3+12.55+6.29+6.25+6.24+12.64+6.33+0+6.37+6.39+12.58+12.65+6.22+12.58+12.6+6.27</f>
        <v>157.62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19</v>
      </c>
      <c r="D33" s="10">
        <v>10</v>
      </c>
      <c r="E33" s="10">
        <f t="shared" si="2"/>
        <v>29</v>
      </c>
      <c r="F33" s="10" t="s">
        <v>26</v>
      </c>
      <c r="G33" s="10">
        <f>10+55+18+25+26.23+21+27+53+14+0+61+28+41.85+20+16+20+23+29</f>
        <v>488.08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</f>
        <v>62.3295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502</v>
      </c>
      <c r="D37" s="10">
        <v>414</v>
      </c>
      <c r="E37" s="10">
        <f t="shared" si="2"/>
        <v>916</v>
      </c>
      <c r="F37" s="10" t="s">
        <v>26</v>
      </c>
      <c r="G37" s="10">
        <f>989+992+1002+1004+1005+1010+1012+1010+505+0+986+1018+960+917+852+830+1009+916</f>
        <v>16017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</f>
        <v>0</v>
      </c>
      <c r="H38" s="22"/>
      <c r="I38" s="7">
        <v>1192.5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</f>
        <v>0</v>
      </c>
      <c r="H39" s="22"/>
      <c r="I39" s="7">
        <v>59.0648</v>
      </c>
      <c r="J39" s="35"/>
      <c r="K39" s="37"/>
      <c r="L39" s="19" t="s">
        <v>112</v>
      </c>
      <c r="M39" s="7">
        <v>14</v>
      </c>
    </row>
    <row r="40" s="1" customFormat="1" ht="25" customHeight="1" spans="1:13">
      <c r="A40" s="7">
        <v>10</v>
      </c>
      <c r="B40" s="8" t="s">
        <v>65</v>
      </c>
      <c r="C40" s="7">
        <v>1</v>
      </c>
      <c r="D40" s="7">
        <v>0</v>
      </c>
      <c r="E40" s="10">
        <f>D40+C40</f>
        <v>1</v>
      </c>
      <c r="F40" s="10" t="s">
        <v>36</v>
      </c>
      <c r="G40" s="10">
        <f>7+3+2+2+3+2+2+4+2+0+2+2+2+5+0+5+2+1</f>
        <v>46</v>
      </c>
      <c r="H40" s="22"/>
      <c r="I40" s="10"/>
      <c r="J40" s="35"/>
      <c r="K40" s="27"/>
      <c r="L40" s="19" t="s">
        <v>66</v>
      </c>
      <c r="M40" s="7">
        <v>23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8.5</v>
      </c>
      <c r="E3" s="10">
        <f t="shared" ref="E3:E13" si="0">C3+D3</f>
        <v>13.5</v>
      </c>
      <c r="F3" s="10" t="s">
        <v>14</v>
      </c>
      <c r="G3" s="10">
        <f>9+18+11+3.5+13+14.5+7+8.5+0+0+5+11+11.5+12+14+10.5+6+16.5+13.5</f>
        <v>184.5</v>
      </c>
      <c r="H3" s="10">
        <v>320</v>
      </c>
      <c r="I3" s="10">
        <f>H3-G3</f>
        <v>135.5</v>
      </c>
      <c r="J3" s="11"/>
      <c r="K3" s="10"/>
      <c r="L3" s="10"/>
      <c r="M3" s="10">
        <f>I3/12</f>
        <v>11.2916666666667</v>
      </c>
    </row>
    <row r="4" s="1" customFormat="1" ht="35" customHeight="1" spans="1:13">
      <c r="A4" s="12">
        <v>2</v>
      </c>
      <c r="B4" s="8" t="s">
        <v>15</v>
      </c>
      <c r="C4" s="9">
        <v>16</v>
      </c>
      <c r="D4" s="9"/>
      <c r="E4" s="10">
        <f t="shared" si="0"/>
        <v>16</v>
      </c>
      <c r="F4" s="10" t="s">
        <v>14</v>
      </c>
      <c r="G4" s="10">
        <f>6+8+18+12+2+14+14+8+8+0+0+0+16+12+12+14+10+6+16</f>
        <v>176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</f>
        <v>0</v>
      </c>
      <c r="H5" s="10">
        <v>4836</v>
      </c>
      <c r="I5" s="10">
        <f>H5-G5-G7-G6</f>
        <v>2301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90</v>
      </c>
      <c r="D6" s="10">
        <v>88</v>
      </c>
      <c r="E6" s="10">
        <f t="shared" si="0"/>
        <v>178</v>
      </c>
      <c r="F6" s="10" t="s">
        <v>14</v>
      </c>
      <c r="G6" s="10">
        <f>202+207+88+172+159+138+147+19+0+0+187+126+145+167+168+66+168+191+178</f>
        <v>2528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</f>
        <v>1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32</v>
      </c>
      <c r="D9" s="13"/>
      <c r="E9" s="10">
        <f t="shared" si="0"/>
        <v>32</v>
      </c>
      <c r="F9" s="13" t="s">
        <v>14</v>
      </c>
      <c r="G9" s="10">
        <f>0+30.27+0+35.09+29.27+20.26+29.69+32</f>
        <v>176.58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</f>
        <v>215.86</v>
      </c>
      <c r="H10" s="13">
        <v>5.91</v>
      </c>
      <c r="I10" s="13">
        <f>H10-K11</f>
        <v>4.004558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6.6555</v>
      </c>
      <c r="D11" s="10">
        <v>3.0645</v>
      </c>
      <c r="E11" s="10">
        <f t="shared" si="0"/>
        <v>9.72</v>
      </c>
      <c r="F11" s="10" t="s">
        <v>14</v>
      </c>
      <c r="G11" s="10">
        <f>10.7865+8.2215+8.424+5.8185+6.1695+10.746+6.7095+8.181+3.699+0+4.8195+9.045+7.9515+10.395+12.15+9.153+6.426+8.9235+9.72</f>
        <v>147.339</v>
      </c>
      <c r="H11" s="10"/>
      <c r="I11" s="10">
        <f>G11/(G3*0.1865)</f>
        <v>4.28195906623946</v>
      </c>
      <c r="J11" s="19" t="s">
        <v>23</v>
      </c>
      <c r="K11" s="20">
        <f>0+0+0+0.269492+0.28119+0.283192+0.29108+0.26488+0+0+0+0+0+0.2542+0.261408+0+0+0+0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13.0824</v>
      </c>
      <c r="D12" s="10">
        <v>0</v>
      </c>
      <c r="E12" s="10">
        <f t="shared" si="0"/>
        <v>13.0824</v>
      </c>
      <c r="F12" s="10" t="s">
        <v>14</v>
      </c>
      <c r="G12" s="10">
        <f>13.1744+10.1568+16.4312+5.5016+16.1552+10.7272+10.5064+12.8616+0+0+16.192+8.1696+8.7584+13.2112+14.4624+13.0456+12.88+7.8752+13.0824</f>
        <v>203.1912</v>
      </c>
      <c r="H12" s="10"/>
      <c r="I12" s="10">
        <f>G12/(G3*0.1865)</f>
        <v>5.90513306741647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202</v>
      </c>
      <c r="D13" s="10">
        <v>204</v>
      </c>
      <c r="E13" s="10">
        <f t="shared" si="0"/>
        <v>406</v>
      </c>
      <c r="F13" s="10" t="s">
        <v>26</v>
      </c>
      <c r="G13" s="10">
        <f>443+417+312+276+343+347+336+201+1+10+307+298+333+389+385+240+323+429+406</f>
        <v>5796</v>
      </c>
      <c r="H13" s="10">
        <f>G13*1.05</f>
        <v>6085.8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207</v>
      </c>
      <c r="D14" s="10">
        <v>209</v>
      </c>
      <c r="E14" s="10">
        <f t="shared" ref="E14:E23" si="1">D14+C14</f>
        <v>416</v>
      </c>
      <c r="F14" s="10" t="s">
        <v>26</v>
      </c>
      <c r="G14" s="10">
        <f>438+425+240+208+350+389+291+195+0+0+217+316+376+372+411+285+279+460+416</f>
        <v>5668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462.15</v>
      </c>
      <c r="D15" s="10">
        <v>367.29</v>
      </c>
      <c r="E15" s="10">
        <f t="shared" si="1"/>
        <v>829.44</v>
      </c>
      <c r="F15" s="10" t="s">
        <v>26</v>
      </c>
      <c r="G15" s="10">
        <f>882.29+802.31+278.08+840.07+583.23+645.45+671.67+316.57+56.84+0+646.55+666.14+750.89+763.63+739.4+654.72+761.1+817.17+829.44</f>
        <v>11705.55</v>
      </c>
      <c r="H15" s="10"/>
      <c r="I15" s="10"/>
      <c r="J15" s="19" t="s">
        <v>29</v>
      </c>
      <c r="K15" s="10">
        <v>3.03</v>
      </c>
      <c r="L15" s="10">
        <v>3.27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18</v>
      </c>
      <c r="E16" s="10">
        <f t="shared" si="1"/>
        <v>33</v>
      </c>
      <c r="F16" s="10" t="s">
        <v>14</v>
      </c>
      <c r="G16" s="10">
        <f>33+33+21+19+24+30+24+15+0+0+12+27+30+29+30+18+28+36+33</f>
        <v>442</v>
      </c>
      <c r="H16" s="10"/>
      <c r="I16" s="10">
        <f>G16/(G3*0.1865)</f>
        <v>12.8453831455205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</f>
        <v>36.5134201</v>
      </c>
      <c r="L16" s="10"/>
      <c r="M16" s="10">
        <f>(C15*K15+L15*D15)/1000</f>
        <v>2.6013528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</v>
      </c>
      <c r="D18" s="7">
        <v>0.8</v>
      </c>
      <c r="E18" s="10">
        <f t="shared" si="1"/>
        <v>1.6</v>
      </c>
      <c r="F18" s="10" t="s">
        <v>14</v>
      </c>
      <c r="G18" s="10">
        <f>1.7+1.7+0+1.7+2.55+1.6+1.6+1.6</f>
        <v>12.45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2+0+2+0+2+0+0+2+0+0+0+2+0+2+0+2+0+2+0</f>
        <v>16</v>
      </c>
      <c r="H19" s="22"/>
      <c r="I19" s="10">
        <f>G19/(G3*0.1865)</f>
        <v>0.464991245086714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2+0+2+0+2+0+0+2+0+0+0+2+0+2+0+2+0+2+0</f>
        <v>16</v>
      </c>
      <c r="H20" s="22"/>
      <c r="I20" s="10">
        <f>G20/(G3*0.1865)</f>
        <v>0.464991245086714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2</v>
      </c>
      <c r="D21" s="7">
        <v>4</v>
      </c>
      <c r="E21" s="10">
        <f t="shared" si="1"/>
        <v>6</v>
      </c>
      <c r="F21" s="10" t="s">
        <v>36</v>
      </c>
      <c r="G21" s="10">
        <f>7+8+3+10+2+6+5+7+0+0+7+5+7+4+10+2+6+8+6</f>
        <v>103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575</v>
      </c>
      <c r="D22" s="7">
        <v>514</v>
      </c>
      <c r="E22" s="10">
        <f t="shared" si="1"/>
        <v>1089</v>
      </c>
      <c r="F22" s="10" t="s">
        <v>26</v>
      </c>
      <c r="G22" s="10">
        <f>1327+1206+823+1176+1139+893+852+349+5+72+1152+814+1055+1028+1022+607+1025+1132+1089</f>
        <v>16766</v>
      </c>
      <c r="H22" s="23"/>
      <c r="I22" s="10">
        <f>E22/M22</f>
        <v>45.375</v>
      </c>
      <c r="J22" s="19" t="s">
        <v>38</v>
      </c>
      <c r="K22" s="10">
        <f>24+24+13.5+24+24+18.5+18+5+0+0+23.5+18.5+24+24+24+13+17+24+24</f>
        <v>343</v>
      </c>
      <c r="L22" s="10">
        <f>G22/K22</f>
        <v>48.8804664723032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693</v>
      </c>
      <c r="D23" s="7">
        <v>675</v>
      </c>
      <c r="E23" s="10">
        <f t="shared" si="1"/>
        <v>1368</v>
      </c>
      <c r="F23" s="10" t="s">
        <v>26</v>
      </c>
      <c r="G23" s="10">
        <f>1719+1515+850+1201+1277+1135+1069+417+11+221+1450+1071+1220+1379+1315+775+1281+1264+1368</f>
        <v>20538</v>
      </c>
      <c r="H23" s="22"/>
      <c r="I23" s="10">
        <f>E23/M22</f>
        <v>57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28.78</v>
      </c>
      <c r="D24" s="12">
        <v>28.57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119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119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119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119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124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</f>
        <v>20.39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6.27</v>
      </c>
      <c r="D32" s="10">
        <v>6.35</v>
      </c>
      <c r="E32" s="10">
        <f t="shared" si="2"/>
        <v>12.62</v>
      </c>
      <c r="F32" s="10" t="s">
        <v>26</v>
      </c>
      <c r="G32" s="10">
        <f>12.69+12.67+6.3+12.55+6.29+6.25+6.24+12.64+6.33+0+6.37+6.39+12.58+12.65+6.22+12.58+12.6+6.27+12.62</f>
        <v>170.24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31</v>
      </c>
      <c r="D33" s="10">
        <v>12</v>
      </c>
      <c r="E33" s="10">
        <f t="shared" si="2"/>
        <v>43</v>
      </c>
      <c r="F33" s="10" t="s">
        <v>26</v>
      </c>
      <c r="G33" s="10">
        <f>10+55+18+25+26.23+21+27+53+14+0+61+28+41.85+20+16+20+23+29+43</f>
        <v>531.08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7.803+0+7.776+0+11.2725+0+0+0+9.855+0+0+0+0+9.72+0+4.887+11.016+0+0</f>
        <v>62.3295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319</v>
      </c>
      <c r="D37" s="10">
        <v>390</v>
      </c>
      <c r="E37" s="10">
        <f t="shared" si="2"/>
        <v>709</v>
      </c>
      <c r="F37" s="10" t="s">
        <v>26</v>
      </c>
      <c r="G37" s="10">
        <f>989+992+1002+1004+1005+1010+1012+1010+505+0+986+1018+960+917+852+830+1009+916+709</f>
        <v>16726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</f>
        <v>0</v>
      </c>
      <c r="H38" s="22"/>
      <c r="I38" s="7">
        <v>705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</f>
        <v>0</v>
      </c>
      <c r="H39" s="22"/>
      <c r="I39" s="7">
        <v>59.0648</v>
      </c>
      <c r="J39" s="35"/>
      <c r="K39" s="37"/>
      <c r="L39" s="19" t="s">
        <v>112</v>
      </c>
      <c r="M39" s="7">
        <v>15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2</v>
      </c>
      <c r="E40" s="10">
        <f>D40+C40</f>
        <v>4</v>
      </c>
      <c r="F40" s="10" t="s">
        <v>36</v>
      </c>
      <c r="G40" s="10">
        <f>7+3+2+2+3+2+2+4+2+0+2+2+2+5+0+5+2+1+4</f>
        <v>50</v>
      </c>
      <c r="H40" s="22"/>
      <c r="I40" s="10"/>
      <c r="J40" s="35"/>
      <c r="K40" s="27"/>
      <c r="L40" s="19" t="s">
        <v>66</v>
      </c>
      <c r="M40" s="7">
        <v>29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</v>
      </c>
      <c r="D3" s="9">
        <v>5</v>
      </c>
      <c r="E3" s="10">
        <f t="shared" ref="E3:E13" si="0">C3+D3</f>
        <v>12</v>
      </c>
      <c r="F3" s="10" t="s">
        <v>14</v>
      </c>
      <c r="G3" s="10">
        <f>9+18+11+3.5+13+14.5+7+8.5+0+0+5+11+11.5+12+14+10.5+6+16.5+13.5+12</f>
        <v>196.5</v>
      </c>
      <c r="H3" s="10">
        <v>320</v>
      </c>
      <c r="I3" s="10">
        <f>H3-G3</f>
        <v>123.5</v>
      </c>
      <c r="J3" s="11"/>
      <c r="K3" s="10"/>
      <c r="L3" s="10"/>
      <c r="M3" s="10">
        <f>I3/11</f>
        <v>11.2272727272727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6+8+18+12+2+14+14+8+8+0+0+0+16+12+12+14+10+6+16+14</f>
        <v>190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</f>
        <v>0</v>
      </c>
      <c r="H5" s="10">
        <v>4836</v>
      </c>
      <c r="I5" s="10">
        <f>H5-G5-G7-G6</f>
        <v>2116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87</v>
      </c>
      <c r="D6" s="10">
        <v>98</v>
      </c>
      <c r="E6" s="10">
        <f t="shared" si="0"/>
        <v>185</v>
      </c>
      <c r="F6" s="10" t="s">
        <v>14</v>
      </c>
      <c r="G6" s="10">
        <f>202+207+88+172+159+138+147+19+0+0+187+126+145+167+168+66+168+191+178+185</f>
        <v>2713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</f>
        <v>1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29.79</v>
      </c>
      <c r="D9" s="13"/>
      <c r="E9" s="10">
        <f t="shared" si="0"/>
        <v>29.79</v>
      </c>
      <c r="F9" s="13" t="s">
        <v>14</v>
      </c>
      <c r="G9" s="10">
        <f>0+30.27+0+35.09+29.27+20.26+29.69+32+29.79</f>
        <v>206.37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</f>
        <v>215.86</v>
      </c>
      <c r="H10" s="13">
        <v>5.91</v>
      </c>
      <c r="I10" s="13">
        <f>H10-K11</f>
        <v>4.004558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5.3595</v>
      </c>
      <c r="D11" s="10">
        <v>0</v>
      </c>
      <c r="E11" s="10">
        <f t="shared" si="0"/>
        <v>5.3595</v>
      </c>
      <c r="F11" s="10" t="s">
        <v>14</v>
      </c>
      <c r="G11" s="10">
        <f>10.7865+8.2215+8.424+5.8185+6.1695+10.746+6.7095+8.181+3.699+0+4.8195+9.045+7.9515+10.395+12.15+9.153+6.426+8.9235+9.72+5.3595</f>
        <v>152.6985</v>
      </c>
      <c r="H11" s="10"/>
      <c r="I11" s="10">
        <f>G11/(G3*0.1865)</f>
        <v>4.16671100832941</v>
      </c>
      <c r="J11" s="19" t="s">
        <v>23</v>
      </c>
      <c r="K11" s="20">
        <f>0+0+0+0.269492+0.28119+0.283192+0.29108+0.26488+0+0+0+0+0+0.2542+0.261408+0+0+0+0+0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11.9784</v>
      </c>
      <c r="D12" s="10">
        <v>0</v>
      </c>
      <c r="E12" s="10">
        <f t="shared" si="0"/>
        <v>11.9784</v>
      </c>
      <c r="F12" s="10" t="s">
        <v>14</v>
      </c>
      <c r="G12" s="10">
        <f>13.1744+10.1568+16.4312+5.5016+16.1552+10.7272+10.5064+12.8616+0+0+16.192+8.1696+8.7584+13.2112+14.4624+13.0456+12.88+7.8752+13.0824+11.9784</f>
        <v>215.1696</v>
      </c>
      <c r="H12" s="10"/>
      <c r="I12" s="10">
        <f>G12/(G3*0.1865)</f>
        <v>5.87137097599411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193</v>
      </c>
      <c r="D13" s="10">
        <v>159</v>
      </c>
      <c r="E13" s="10">
        <f t="shared" si="0"/>
        <v>352</v>
      </c>
      <c r="F13" s="10" t="s">
        <v>26</v>
      </c>
      <c r="G13" s="10">
        <f>443+417+312+276+343+347+336+201+1+10+307+298+333+389+385+240+323+429+406+352</f>
        <v>6148</v>
      </c>
      <c r="H13" s="10">
        <f>G13*1.05</f>
        <v>6455.4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201</v>
      </c>
      <c r="D14" s="10">
        <v>155</v>
      </c>
      <c r="E14" s="10">
        <f t="shared" ref="E14:E23" si="1">D14+C14</f>
        <v>356</v>
      </c>
      <c r="F14" s="10" t="s">
        <v>26</v>
      </c>
      <c r="G14" s="10">
        <f>438+425+240+208+350+389+291+195+0+0+217+316+376+372+411+285+279+460+416+356</f>
        <v>6024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454.52</v>
      </c>
      <c r="D15" s="10">
        <v>414.67</v>
      </c>
      <c r="E15" s="10">
        <f t="shared" si="1"/>
        <v>869.19</v>
      </c>
      <c r="F15" s="10" t="s">
        <v>26</v>
      </c>
      <c r="G15" s="10">
        <f>882.29+802.31+278.08+840.07+583.23+645.45+671.67+316.57+56.84+0+646.55+666.14+750.89+763.63+739.4+654.72+761.1+817.17+829.44+869.19</f>
        <v>12574.74</v>
      </c>
      <c r="H15" s="10"/>
      <c r="I15" s="10"/>
      <c r="J15" s="19" t="s">
        <v>29</v>
      </c>
      <c r="K15" s="10">
        <v>3.27</v>
      </c>
      <c r="L15" s="10">
        <v>3.19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12</v>
      </c>
      <c r="E16" s="10">
        <f t="shared" si="1"/>
        <v>27</v>
      </c>
      <c r="F16" s="10" t="s">
        <v>14</v>
      </c>
      <c r="G16" s="10">
        <f>33+33+21+19+24+30+24+15+0+0+12+27+30+29+30+18+28+36+33+27</f>
        <v>469</v>
      </c>
      <c r="H16" s="10"/>
      <c r="I16" s="10">
        <f>G16/(G3*0.1865)</f>
        <v>12.7976860473842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</f>
        <v>39.3224978</v>
      </c>
      <c r="L16" s="10"/>
      <c r="M16" s="10">
        <f>(C15*K15+L15*D15)/1000</f>
        <v>2.8090777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</f>
        <v>0.45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</v>
      </c>
      <c r="D18" s="7">
        <v>0</v>
      </c>
      <c r="E18" s="10">
        <f t="shared" si="1"/>
        <v>0.8</v>
      </c>
      <c r="F18" s="10" t="s">
        <v>14</v>
      </c>
      <c r="G18" s="10">
        <f>1.7+1.7+0+1.7+2.55+1.6+1.6+1.6+0.8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</f>
        <v>18</v>
      </c>
      <c r="H19" s="22"/>
      <c r="I19" s="10">
        <f>G19/(G3*0.1865)</f>
        <v>0.491169187319649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</f>
        <v>18</v>
      </c>
      <c r="H20" s="22"/>
      <c r="I20" s="10">
        <f>G20/(G3*0.1865)</f>
        <v>0.491169187319649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5</v>
      </c>
      <c r="D21" s="7">
        <v>5</v>
      </c>
      <c r="E21" s="10">
        <f t="shared" si="1"/>
        <v>10</v>
      </c>
      <c r="F21" s="10" t="s">
        <v>36</v>
      </c>
      <c r="G21" s="10">
        <f>7+8+3+10+2+6+5+7+0+0+7+5+7+4+10+2+6+8+6+10</f>
        <v>113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510</v>
      </c>
      <c r="D22" s="7">
        <v>553</v>
      </c>
      <c r="E22" s="10">
        <f t="shared" si="1"/>
        <v>1063</v>
      </c>
      <c r="F22" s="10" t="s">
        <v>26</v>
      </c>
      <c r="G22" s="10">
        <f>1327+1206+823+1176+1139+893+852+349+5+72+1152+814+1055+1028+1022+607+1025+1132+1089+1063</f>
        <v>17829</v>
      </c>
      <c r="H22" s="23"/>
      <c r="I22" s="10">
        <f>E22/M22</f>
        <v>44.2916666666667</v>
      </c>
      <c r="J22" s="19" t="s">
        <v>38</v>
      </c>
      <c r="K22" s="10">
        <f>24+24+13.5+24+24+18.5+18+5+0+0+23.5+18.5+24+24+24+13+17+24+24+24</f>
        <v>367</v>
      </c>
      <c r="L22" s="10">
        <f>G22/K22</f>
        <v>48.5803814713896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658</v>
      </c>
      <c r="D23" s="7">
        <v>661</v>
      </c>
      <c r="E23" s="10">
        <f t="shared" si="1"/>
        <v>1319</v>
      </c>
      <c r="F23" s="10" t="s">
        <v>26</v>
      </c>
      <c r="G23" s="10">
        <f>1719+1515+850+1201+1277+1135+1069+417+11+221+1450+1071+1220+1379+1315+775+1281+1264+1368+1319</f>
        <v>21857</v>
      </c>
      <c r="H23" s="22"/>
      <c r="I23" s="10">
        <f>E23/M22</f>
        <v>54.9583333333333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29.49</v>
      </c>
      <c r="D24" s="12">
        <v>31.53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119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119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119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119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126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</f>
        <v>20.39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6.28</v>
      </c>
      <c r="D32" s="10">
        <v>6.25</v>
      </c>
      <c r="E32" s="10">
        <f t="shared" si="2"/>
        <v>12.53</v>
      </c>
      <c r="F32" s="10" t="s">
        <v>26</v>
      </c>
      <c r="G32" s="10">
        <f>12.69+12.67+6.3+12.55+6.29+6.25+6.24+12.64+6.33+0+6.37+6.39+12.58+12.65+6.22+12.58+12.6+6.27+12.62+12.53</f>
        <v>182.77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7</v>
      </c>
      <c r="D33" s="10">
        <v>10</v>
      </c>
      <c r="E33" s="10">
        <f t="shared" si="2"/>
        <v>17</v>
      </c>
      <c r="F33" s="10" t="s">
        <v>26</v>
      </c>
      <c r="G33" s="10">
        <f>10+55+18+25+26.23+21+27+53+14+0+61+28+41.85+20+16+20+23+29+43+17</f>
        <v>548.08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8.0325</v>
      </c>
      <c r="D34" s="10">
        <v>0</v>
      </c>
      <c r="E34" s="10">
        <f t="shared" si="2"/>
        <v>8.0325</v>
      </c>
      <c r="F34" s="10" t="s">
        <v>14</v>
      </c>
      <c r="G34" s="10">
        <f>7.803+0+7.776+0+11.2725+0+0+0+9.855+0+0+0+0+9.72+0+4.887+11.016+0+0+8.0325</f>
        <v>70.362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391</v>
      </c>
      <c r="D37" s="10">
        <v>339</v>
      </c>
      <c r="E37" s="10">
        <f t="shared" si="2"/>
        <v>730</v>
      </c>
      <c r="F37" s="10" t="s">
        <v>26</v>
      </c>
      <c r="G37" s="10">
        <f>989+992+1002+1004+1005+1010+1012+1010+505+0+986+1018+960+917+852+830+1009+916+709+730</f>
        <v>17456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</f>
        <v>0</v>
      </c>
      <c r="H38" s="22"/>
      <c r="I38" s="7">
        <v>210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</f>
        <v>0</v>
      </c>
      <c r="H39" s="22"/>
      <c r="I39" s="7">
        <v>59.9334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2</v>
      </c>
      <c r="E40" s="10">
        <f>D40+C40</f>
        <v>4</v>
      </c>
      <c r="F40" s="10" t="s">
        <v>36</v>
      </c>
      <c r="G40" s="10">
        <f>7+3+2+2+3+2+2+4+2+0+2+2+2+5+0+5+2+1+4+4</f>
        <v>54</v>
      </c>
      <c r="H40" s="22"/>
      <c r="I40" s="10"/>
      <c r="J40" s="35"/>
      <c r="K40" s="27"/>
      <c r="L40" s="19" t="s">
        <v>66</v>
      </c>
      <c r="M40" s="7">
        <v>33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</v>
      </c>
      <c r="D3" s="9">
        <v>6.5</v>
      </c>
      <c r="E3" s="10">
        <f t="shared" ref="E3:E13" si="0">C3+D3</f>
        <v>12.5</v>
      </c>
      <c r="F3" s="10" t="s">
        <v>14</v>
      </c>
      <c r="G3" s="10">
        <f>9+18+11+3.5+13+14.5+7+8.5+0+0+5+11+11.5+12+14+10.5+6+16.5+13.5+12+12.5</f>
        <v>209</v>
      </c>
      <c r="H3" s="10">
        <v>320</v>
      </c>
      <c r="I3" s="10">
        <f>H3-G3</f>
        <v>111</v>
      </c>
      <c r="J3" s="11"/>
      <c r="K3" s="10"/>
      <c r="L3" s="10"/>
      <c r="M3" s="10">
        <f>I3/10</f>
        <v>11.1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6+8+18+12+2+14+14+8+8+0+0+0+16+12+12+14+10+6+16+14+12</f>
        <v>202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</f>
        <v>0</v>
      </c>
      <c r="H5" s="10">
        <v>4836</v>
      </c>
      <c r="I5" s="10">
        <f>H5-G5-G7-G6</f>
        <v>2011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83</v>
      </c>
      <c r="D6" s="10">
        <v>22</v>
      </c>
      <c r="E6" s="10">
        <f t="shared" si="0"/>
        <v>105</v>
      </c>
      <c r="F6" s="10" t="s">
        <v>14</v>
      </c>
      <c r="G6" s="10">
        <f>202+207+88+172+159+138+147+19+0+0+187+126+145+167+168+66+168+191+178+185+105</f>
        <v>2818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0+0+2+2+0+0+0+0+0+0+1+2+0+0+0+0+0+0+0+0+0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</f>
        <v>1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20.98</v>
      </c>
      <c r="D9" s="13"/>
      <c r="E9" s="10">
        <f t="shared" si="0"/>
        <v>20.98</v>
      </c>
      <c r="F9" s="13" t="s">
        <v>14</v>
      </c>
      <c r="G9" s="10">
        <f>0+30.27+0+35.09+29.27+20.26+29.69+32+29.79+20.98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</f>
        <v>215.86</v>
      </c>
      <c r="H10" s="13">
        <v>5.91</v>
      </c>
      <c r="I10" s="13">
        <f>H10-K11</f>
        <v>4.004558</v>
      </c>
      <c r="J10" s="19" t="s">
        <v>21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8.127</v>
      </c>
      <c r="D11" s="10">
        <v>1.1475</v>
      </c>
      <c r="E11" s="10">
        <f t="shared" si="0"/>
        <v>9.2745</v>
      </c>
      <c r="F11" s="10" t="s">
        <v>14</v>
      </c>
      <c r="G11" s="10">
        <f>10.7865+8.2215+8.424+5.8185+6.1695+10.746+6.7095+8.181+3.699+0+4.8195+9.045+7.9515+10.395+12.15+9.153+6.426+8.9235+9.72+5.3595+9.2745</f>
        <v>161.973</v>
      </c>
      <c r="H11" s="10"/>
      <c r="I11" s="10">
        <f>G11/(G3*0.1865)</f>
        <v>4.15544466821453</v>
      </c>
      <c r="J11" s="19" t="s">
        <v>23</v>
      </c>
      <c r="K11" s="20">
        <f>0+0+0+0.269492+0.28119+0.283192+0.29108+0.26488+0+0+0+0+0+0.2542+0.261408+0+0+0+0+0+0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14.628</v>
      </c>
      <c r="D12" s="10">
        <v>0</v>
      </c>
      <c r="E12" s="10">
        <f t="shared" si="0"/>
        <v>14.628</v>
      </c>
      <c r="F12" s="10" t="s">
        <v>14</v>
      </c>
      <c r="G12" s="10">
        <f>13.1744+10.1568+16.4312+5.5016+16.1552+10.7272+10.5064+12.8616+0+0+16.192+8.1696+8.7584+13.2112+14.4624+13.0456+12.88+7.8752+13.0824+11.9784+14.628</f>
        <v>229.7976</v>
      </c>
      <c r="H12" s="10"/>
      <c r="I12" s="10">
        <f>G12/(G3*0.1865)</f>
        <v>5.89549623510397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236</v>
      </c>
      <c r="D13" s="10">
        <v>250</v>
      </c>
      <c r="E13" s="10">
        <f t="shared" si="0"/>
        <v>486</v>
      </c>
      <c r="F13" s="10" t="s">
        <v>26</v>
      </c>
      <c r="G13" s="10">
        <f>443+417+312+276+343+347+336+201+1+10+307+298+333+389+385+240+323+429+406+352+486</f>
        <v>6634</v>
      </c>
      <c r="H13" s="10">
        <f>G13*1.05</f>
        <v>6965.7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198</v>
      </c>
      <c r="D14" s="10">
        <v>190</v>
      </c>
      <c r="E14" s="10">
        <f t="shared" ref="E14:E23" si="1">D14+C14</f>
        <v>388</v>
      </c>
      <c r="F14" s="10" t="s">
        <v>26</v>
      </c>
      <c r="G14" s="10">
        <f>438+425+240+208+350+389+291+195+0+0+217+316+376+372+411+285+279+460+416+356+388</f>
        <v>6412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461.8</v>
      </c>
      <c r="D15" s="10">
        <v>359.86</v>
      </c>
      <c r="E15" s="10">
        <f t="shared" si="1"/>
        <v>821.66</v>
      </c>
      <c r="F15" s="10" t="s">
        <v>26</v>
      </c>
      <c r="G15" s="10">
        <f>882.29+802.31+278.08+840.07+583.23+645.45+671.67+316.57+56.84+0+646.55+666.14+750.89+763.63+739.4+654.72+761.1+817.17+829.44+869.19+821.66</f>
        <v>13396.4</v>
      </c>
      <c r="H15" s="10"/>
      <c r="I15" s="10"/>
      <c r="J15" s="19" t="s">
        <v>29</v>
      </c>
      <c r="K15" s="10">
        <v>3.12</v>
      </c>
      <c r="L15" s="10">
        <v>3.09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33+33+21+19+24+30+24+15+0+0+12+27+30+29+30+18+28+36+33+27+30</f>
        <v>499</v>
      </c>
      <c r="H16" s="10"/>
      <c r="I16" s="10">
        <f>G16/(G3*0.1865)</f>
        <v>12.8019292686994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</f>
        <v>41.8752812</v>
      </c>
      <c r="L16" s="10"/>
      <c r="M16" s="10">
        <f>(C15*K15+L15*D15)/1000</f>
        <v>2.5527834</v>
      </c>
    </row>
    <row r="17" s="1" customFormat="1" ht="25" customHeight="1" spans="1:13">
      <c r="A17" s="12">
        <v>12</v>
      </c>
      <c r="B17" s="8" t="s">
        <v>32</v>
      </c>
      <c r="C17" s="7">
        <v>0.075</v>
      </c>
      <c r="D17" s="7">
        <v>0.075</v>
      </c>
      <c r="E17" s="10">
        <f t="shared" si="1"/>
        <v>0.15</v>
      </c>
      <c r="F17" s="10" t="s">
        <v>14</v>
      </c>
      <c r="G17" s="10">
        <f>0+0+0.15+0.0375+0.0375+0+0.075+0+0+0+0.025+0.0875+0+0.0375+0+0+0+0+0+0+0.15</f>
        <v>0.6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</f>
        <v>20</v>
      </c>
      <c r="H19" s="22"/>
      <c r="I19" s="10">
        <f>G19/(G3*0.1865)</f>
        <v>0.513103377502982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</f>
        <v>20</v>
      </c>
      <c r="H20" s="22"/>
      <c r="I20" s="10">
        <f>G20/(G3*0.1865)</f>
        <v>0.513103377502982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3</v>
      </c>
      <c r="D21" s="7">
        <v>5</v>
      </c>
      <c r="E21" s="10">
        <f t="shared" si="1"/>
        <v>8</v>
      </c>
      <c r="F21" s="10" t="s">
        <v>36</v>
      </c>
      <c r="G21" s="10">
        <f>7+8+3+10+2+6+5+7+0+0+7+5+7+4+10+2+6+8+6+10+8</f>
        <v>121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556</v>
      </c>
      <c r="D22" s="7">
        <v>253</v>
      </c>
      <c r="E22" s="10">
        <f t="shared" si="1"/>
        <v>809</v>
      </c>
      <c r="F22" s="10" t="s">
        <v>26</v>
      </c>
      <c r="G22" s="10">
        <f>1327+1206+823+1176+1139+893+852+349+5+72+1152+814+1055+1028+1022+607+1025+1132+1089+1063+809</f>
        <v>18638</v>
      </c>
      <c r="H22" s="23"/>
      <c r="I22" s="10">
        <f>E22/M22</f>
        <v>50.5625</v>
      </c>
      <c r="J22" s="19" t="s">
        <v>38</v>
      </c>
      <c r="K22" s="10">
        <f>24+24+13.5+24+24+18.5+18+5+0+0+23.5+18.5+24+24+24+13+17+24+24+24+16</f>
        <v>383</v>
      </c>
      <c r="L22" s="10">
        <f>G22/K22</f>
        <v>48.6631853785901</v>
      </c>
      <c r="M22" s="10">
        <v>16</v>
      </c>
    </row>
    <row r="23" s="1" customFormat="1" ht="25" customHeight="1" spans="1:13">
      <c r="A23" s="12">
        <v>18</v>
      </c>
      <c r="B23" s="8" t="s">
        <v>39</v>
      </c>
      <c r="C23" s="7">
        <v>718</v>
      </c>
      <c r="D23" s="7">
        <v>360</v>
      </c>
      <c r="E23" s="10">
        <f t="shared" si="1"/>
        <v>1078</v>
      </c>
      <c r="F23" s="10" t="s">
        <v>26</v>
      </c>
      <c r="G23" s="10">
        <f>1719+1515+850+1201+1277+1135+1069+417+11+221+1450+1071+1220+1379+1315+775+1281+1264+1368+1319+1078</f>
        <v>22935</v>
      </c>
      <c r="H23" s="22"/>
      <c r="I23" s="10">
        <f>E23/M22</f>
        <v>67.375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37.3</v>
      </c>
      <c r="D24" s="12">
        <v>31.63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119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119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119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119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128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10.37</v>
      </c>
      <c r="D31" s="10">
        <v>0</v>
      </c>
      <c r="E31" s="10">
        <f t="shared" ref="E31:E37" si="2">D31+C31</f>
        <v>10.37</v>
      </c>
      <c r="F31" s="10" t="s">
        <v>26</v>
      </c>
      <c r="G31" s="10">
        <f>9.8+0+0+0+0+0+0+0+0+0+0+0+0+0+0+10.59+0+0+0+0+10.37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6.26</v>
      </c>
      <c r="D32" s="10">
        <v>6.29</v>
      </c>
      <c r="E32" s="10">
        <f t="shared" si="2"/>
        <v>12.55</v>
      </c>
      <c r="F32" s="10" t="s">
        <v>26</v>
      </c>
      <c r="G32" s="10">
        <f>12.69+12.67+6.3+12.55+6.29+6.25+6.24+12.64+6.33+0+6.37+6.39+12.58+12.65+6.22+12.58+12.6+6.27+12.62+12.53+12.55</f>
        <v>195.32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9</v>
      </c>
      <c r="D33" s="10">
        <v>7</v>
      </c>
      <c r="E33" s="10">
        <f t="shared" si="2"/>
        <v>16</v>
      </c>
      <c r="F33" s="10" t="s">
        <v>26</v>
      </c>
      <c r="G33" s="10">
        <f>10+55+18+25+26.23+21+27+53+14+0+61+28+41.85+20+16+20+23+29+43+17+16</f>
        <v>564.08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6.7635</v>
      </c>
      <c r="D34" s="10">
        <v>0</v>
      </c>
      <c r="E34" s="10">
        <f t="shared" si="2"/>
        <v>6.7635</v>
      </c>
      <c r="F34" s="10" t="s">
        <v>14</v>
      </c>
      <c r="G34" s="10">
        <f>7.803+0+7.776+0+11.2725+0+0+0+9.855+0+0+0+0+9.72+0+4.887+11.016+0+0+8.0325+6.7635</f>
        <v>77.1255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344</v>
      </c>
      <c r="D37" s="10">
        <v>497</v>
      </c>
      <c r="E37" s="10">
        <f t="shared" si="2"/>
        <v>841</v>
      </c>
      <c r="F37" s="10" t="s">
        <v>26</v>
      </c>
      <c r="G37" s="10">
        <f>989+992+1002+1004+1005+1010+1012+1010+505+0+986+1018+960+917+852+830+1009+916+709+730+841</f>
        <v>18297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</f>
        <v>0</v>
      </c>
      <c r="H38" s="22"/>
      <c r="I38" s="7">
        <v>1282.5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</f>
        <v>0</v>
      </c>
      <c r="H39" s="22"/>
      <c r="I39" s="7">
        <v>59.9334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3</v>
      </c>
      <c r="D40" s="7">
        <v>2</v>
      </c>
      <c r="E40" s="10">
        <f>D40+C40</f>
        <v>5</v>
      </c>
      <c r="F40" s="10" t="s">
        <v>36</v>
      </c>
      <c r="G40" s="10">
        <f>7+3+2+2+3+2+2+4+2+0+2+2+2+5+0+5+2+1+4+4+5</f>
        <v>59</v>
      </c>
      <c r="H40" s="22"/>
      <c r="I40" s="10"/>
      <c r="J40" s="35"/>
      <c r="K40" s="27"/>
      <c r="L40" s="19" t="s">
        <v>66</v>
      </c>
      <c r="M40" s="7">
        <v>28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2.5</v>
      </c>
      <c r="E3" s="10">
        <f t="shared" ref="E3:E13" si="0">C3+D3</f>
        <v>7</v>
      </c>
      <c r="F3" s="10" t="s">
        <v>14</v>
      </c>
      <c r="G3" s="10">
        <f>9+18+11+3.5+13+14.5+7+8.5+0+0+5+11+11.5+12+14+10.5+6+16.5+13.5+12+12.5+7</f>
        <v>216</v>
      </c>
      <c r="H3" s="10">
        <v>320</v>
      </c>
      <c r="I3" s="10">
        <f>H3-G3</f>
        <v>104</v>
      </c>
      <c r="J3" s="11"/>
      <c r="K3" s="10"/>
      <c r="L3" s="10"/>
      <c r="M3" s="10">
        <f>I3/9</f>
        <v>11.5555555555556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6+8+18+12+2+14+14+8+8+0+0+0+16+12+12+14+10+6+16+14+12+12</f>
        <v>214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</f>
        <v>0</v>
      </c>
      <c r="H5" s="10">
        <v>4836</v>
      </c>
      <c r="I5" s="10">
        <f>H5-G5-G7-G6</f>
        <v>1826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81</v>
      </c>
      <c r="D6" s="10">
        <v>103</v>
      </c>
      <c r="E6" s="10">
        <f t="shared" si="0"/>
        <v>184</v>
      </c>
      <c r="F6" s="10" t="s">
        <v>14</v>
      </c>
      <c r="G6" s="10">
        <f>202+207+88+172+159+138+147+19+0+0+187+126+145+167+168+66+168+191+178+185+105+184</f>
        <v>3002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0+0+2+2+0+0+0+0+0+0+1+2+0+0+0+0+0+0+0+0+0+1</f>
        <v>8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</f>
        <v>1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</f>
        <v>215.86</v>
      </c>
      <c r="H10" s="13">
        <v>5.91</v>
      </c>
      <c r="I10" s="13">
        <f>H10-K11</f>
        <v>4.004558</v>
      </c>
      <c r="J10" s="19" t="s">
        <v>21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5.9805</v>
      </c>
      <c r="D11" s="10">
        <v>1.7145</v>
      </c>
      <c r="E11" s="10">
        <f t="shared" si="0"/>
        <v>7.695</v>
      </c>
      <c r="F11" s="10" t="s">
        <v>14</v>
      </c>
      <c r="G11" s="10">
        <f>10.7865+8.2215+8.424+5.8185+6.1695+10.746+6.7095+8.181+3.699+0+4.8195+9.045+7.9515+10.395+12.15+9.153+6.426+8.9235+9.72+5.3595+9.2745+7.695</f>
        <v>169.668</v>
      </c>
      <c r="H11" s="10"/>
      <c r="I11" s="10">
        <f>G11/(G3*0.1865)</f>
        <v>4.21179624664879</v>
      </c>
      <c r="J11" s="19" t="s">
        <v>23</v>
      </c>
      <c r="K11" s="20">
        <f>0+0+0+0.269492+0.28119+0.283192+0.29108+0.26488+0+0+0+0+0+0.2542+0.261408+0+0+0+0+0+0+0</f>
        <v>1.905442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13.2664</v>
      </c>
      <c r="D12" s="10">
        <v>0</v>
      </c>
      <c r="E12" s="10">
        <f t="shared" si="0"/>
        <v>13.2664</v>
      </c>
      <c r="F12" s="10" t="s">
        <v>14</v>
      </c>
      <c r="G12" s="10">
        <f>13.1744+10.1568+16.4312+5.5016+16.1552+10.7272+10.5064+12.8616+0+0+16.192+8.1696+8.7584+13.2112+14.4624+13.0456+12.88+7.8752+13.0824+11.9784+14.628+13.2664</f>
        <v>243.064</v>
      </c>
      <c r="H12" s="10"/>
      <c r="I12" s="10">
        <f>G12/(G3*0.1865)</f>
        <v>6.03376030185682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18</v>
      </c>
      <c r="D13" s="10">
        <v>196</v>
      </c>
      <c r="E13" s="10">
        <f t="shared" si="0"/>
        <v>214</v>
      </c>
      <c r="F13" s="10" t="s">
        <v>26</v>
      </c>
      <c r="G13" s="10">
        <f>443+417+312+276+343+347+336+201+1+10+307+298+333+389+385+240+323+429+406+352+486+214</f>
        <v>6848</v>
      </c>
      <c r="H13" s="10">
        <f>G13*1.05</f>
        <v>7190.4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43</v>
      </c>
      <c r="D14" s="10">
        <v>157</v>
      </c>
      <c r="E14" s="10">
        <f t="shared" ref="E14:E23" si="1">D14+C14</f>
        <v>200</v>
      </c>
      <c r="F14" s="10" t="s">
        <v>26</v>
      </c>
      <c r="G14" s="10">
        <f>438+425+240+208+350+389+291+195+0+0+217+316+376+372+411+285+279+460+416+356+388+200</f>
        <v>6612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471.39</v>
      </c>
      <c r="D15" s="10">
        <v>411.32</v>
      </c>
      <c r="E15" s="10">
        <f t="shared" si="1"/>
        <v>882.71</v>
      </c>
      <c r="F15" s="10" t="s">
        <v>26</v>
      </c>
      <c r="G15" s="10">
        <f>882.29+802.31+278.08+840.07+583.23+645.45+671.67+316.57+56.84+0+646.55+666.14+750.89+763.63+739.4+654.72+761.1+817.17+829.44+869.19+821.66+882.71</f>
        <v>14279.11</v>
      </c>
      <c r="H15" s="10"/>
      <c r="I15" s="10"/>
      <c r="J15" s="19" t="s">
        <v>29</v>
      </c>
      <c r="K15" s="10">
        <v>3.08</v>
      </c>
      <c r="L15" s="10">
        <v>3.12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3</v>
      </c>
      <c r="D16" s="10">
        <v>12</v>
      </c>
      <c r="E16" s="10">
        <f t="shared" si="1"/>
        <v>15</v>
      </c>
      <c r="F16" s="10" t="s">
        <v>14</v>
      </c>
      <c r="G16" s="10">
        <f>33+33+21+19+24+30+24+15+0+0+12+27+30+29+30+18+28+36+33+27+30+15</f>
        <v>514</v>
      </c>
      <c r="H16" s="10"/>
      <c r="I16" s="10">
        <f>G16/(G3*0.1865)</f>
        <v>12.7594082017675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</f>
        <v>44.6104808</v>
      </c>
      <c r="L16" s="10"/>
      <c r="M16" s="10">
        <f>(C15*K15+L15*D15)/1000</f>
        <v>2.7351996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0+0+0.15+0.0375+0.0375+0+0.075+0+0+0+0.025+0.0875+0+0.0375+0+0+0+0+0+0+0.15+0</f>
        <v>0.6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2+0+2+0+2+0+0+2+0+0+0+2+0+2+0+2+0+2+0+2+2+2</f>
        <v>22</v>
      </c>
      <c r="H19" s="22"/>
      <c r="I19" s="10">
        <f>G19/(G3*0.1865)</f>
        <v>0.546122530036739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2+0+2+0+2+0+0+2+0+0+0+2+0+2+0+2+0+2+0+2+2+2</f>
        <v>22</v>
      </c>
      <c r="H20" s="22"/>
      <c r="I20" s="10">
        <f>G20/(G3*0.1865)</f>
        <v>0.546122530036739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0</v>
      </c>
      <c r="D21" s="7">
        <v>2</v>
      </c>
      <c r="E21" s="10">
        <f t="shared" si="1"/>
        <v>2</v>
      </c>
      <c r="F21" s="10" t="s">
        <v>36</v>
      </c>
      <c r="G21" s="10">
        <f>7+8+3+10+2+6+5+7+0+0+7+5+7+4+10+2+6+8+6+10+8+2</f>
        <v>123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541</v>
      </c>
      <c r="D22" s="7">
        <v>632</v>
      </c>
      <c r="E22" s="10">
        <f t="shared" si="1"/>
        <v>1173</v>
      </c>
      <c r="F22" s="10" t="s">
        <v>26</v>
      </c>
      <c r="G22" s="10">
        <f>1327+1206+823+1176+1139+893+852+349+5+72+1152+814+1055+1028+1022+607+1025+1132+1089+1063+809+1173</f>
        <v>19811</v>
      </c>
      <c r="H22" s="23"/>
      <c r="I22" s="10">
        <f>E22/M22</f>
        <v>53.3181818181818</v>
      </c>
      <c r="J22" s="19" t="s">
        <v>38</v>
      </c>
      <c r="K22" s="10">
        <f>24+24+13.5+24+24+18.5+18+5+0+0+23.5+18.5+24+24+24+13+17+24+24+24+16+22</f>
        <v>405</v>
      </c>
      <c r="L22" s="10">
        <f>G22/K22</f>
        <v>48.916049382716</v>
      </c>
      <c r="M22" s="10">
        <v>22</v>
      </c>
    </row>
    <row r="23" s="1" customFormat="1" ht="25" customHeight="1" spans="1:13">
      <c r="A23" s="12">
        <v>18</v>
      </c>
      <c r="B23" s="8" t="s">
        <v>39</v>
      </c>
      <c r="C23" s="7">
        <v>524</v>
      </c>
      <c r="D23" s="7">
        <v>798</v>
      </c>
      <c r="E23" s="10">
        <f t="shared" si="1"/>
        <v>1322</v>
      </c>
      <c r="F23" s="10" t="s">
        <v>26</v>
      </c>
      <c r="G23" s="10">
        <f>1719+1515+850+1201+1277+1135+1069+417+11+221+1450+1071+1220+1379+1315+775+1281+1264+1368+1319+1078+1322</f>
        <v>24257</v>
      </c>
      <c r="H23" s="22"/>
      <c r="I23" s="10">
        <f>E23/M22</f>
        <v>60.0909090909091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27.24</v>
      </c>
      <c r="D24" s="12">
        <v>30.1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119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119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119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119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130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6.29</v>
      </c>
      <c r="D32" s="10">
        <v>6.38</v>
      </c>
      <c r="E32" s="10">
        <f t="shared" si="2"/>
        <v>12.67</v>
      </c>
      <c r="F32" s="10" t="s">
        <v>26</v>
      </c>
      <c r="G32" s="10">
        <f>12.69+12.67+6.3+12.55+6.29+6.25+6.24+12.64+6.33+0+6.37+6.39+12.58+12.65+6.22+12.58+12.6+6.27+12.62+12.53+12.55+12.67</f>
        <v>207.99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12</v>
      </c>
      <c r="D33" s="10">
        <v>0</v>
      </c>
      <c r="E33" s="10">
        <f t="shared" si="2"/>
        <v>12</v>
      </c>
      <c r="F33" s="10" t="s">
        <v>26</v>
      </c>
      <c r="G33" s="10">
        <f>10+55+18+25+26.23+21+27+53+14+0+61+28+41.85+20+16+20+23+29+43+17+16+12</f>
        <v>576.08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7.803+0+7.776+0+11.2725+0+0+0+9.855+0+0+0+0+9.72+0+4.887+11.016+0+0+8.0325+6.7635+0</f>
        <v>77.1255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497</v>
      </c>
      <c r="D37" s="10">
        <v>495</v>
      </c>
      <c r="E37" s="10">
        <f t="shared" si="2"/>
        <v>992</v>
      </c>
      <c r="F37" s="10" t="s">
        <v>26</v>
      </c>
      <c r="G37" s="10">
        <f>989+992+1002+1004+1005+1010+1012+1010+505+0+986+1018+960+917+852+830+1009+916+709+730+841+992</f>
        <v>19289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</f>
        <v>0</v>
      </c>
      <c r="H38" s="22"/>
      <c r="I38" s="7">
        <v>660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</f>
        <v>0</v>
      </c>
      <c r="H39" s="22"/>
      <c r="I39" s="7">
        <v>59.9334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2</v>
      </c>
      <c r="E40" s="10">
        <f>D40+C40</f>
        <v>4</v>
      </c>
      <c r="F40" s="10" t="s">
        <v>36</v>
      </c>
      <c r="G40" s="10">
        <f>7+3+2+2+3+2+2+4+2+0+2+2+2+5+0+5+2+1+4+4+5+4</f>
        <v>63</v>
      </c>
      <c r="H40" s="22"/>
      <c r="I40" s="10"/>
      <c r="J40" s="35"/>
      <c r="K40" s="27"/>
      <c r="L40" s="19" t="s">
        <v>66</v>
      </c>
      <c r="M40" s="7">
        <v>32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8.5</v>
      </c>
      <c r="E3" s="10">
        <f t="shared" ref="E3:E13" si="0">C3+D3</f>
        <v>15</v>
      </c>
      <c r="F3" s="10" t="s">
        <v>14</v>
      </c>
      <c r="G3" s="10">
        <f>9+18+11+3.5+13+14.5+7+8.5+0+0+5+11+11.5+12+14+10.5+6+16.5+13.5+12+12.5+7+15</f>
        <v>231</v>
      </c>
      <c r="H3" s="10">
        <v>320</v>
      </c>
      <c r="I3" s="10">
        <f>H3-G3</f>
        <v>89</v>
      </c>
      <c r="J3" s="11"/>
      <c r="K3" s="10"/>
      <c r="L3" s="10"/>
      <c r="M3" s="10">
        <f>I3/8</f>
        <v>11.125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6+8+18+12+2+14+14+8+8+0+0+0+16+12+12+14+10+6+16+14+12+12+8</f>
        <v>222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</f>
        <v>0</v>
      </c>
      <c r="H5" s="10">
        <v>4836</v>
      </c>
      <c r="I5" s="10">
        <f>H5-G5-G7-G6</f>
        <v>1650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78</v>
      </c>
      <c r="D6" s="10">
        <v>96</v>
      </c>
      <c r="E6" s="10">
        <f t="shared" si="0"/>
        <v>174</v>
      </c>
      <c r="F6" s="10" t="s">
        <v>14</v>
      </c>
      <c r="G6" s="10">
        <f>202+207+88+172+159+138+147+19+0+0+187+126+145+167+168+66+168+191+178+185+105+184+174</f>
        <v>3176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0+0+2+2+0+0+0+0+0+0+1+2+0+0+0+0+0+0+0+0+0+1+2</f>
        <v>10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1</v>
      </c>
      <c r="E8" s="10">
        <f t="shared" si="0"/>
        <v>1</v>
      </c>
      <c r="F8" s="10" t="s">
        <v>14</v>
      </c>
      <c r="G8" s="10">
        <f>0+0+0+0+0+0+0+0+0+0+0+0+0+0+0+0+1+0+0+0+0+0+1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30.64</v>
      </c>
      <c r="D10" s="13"/>
      <c r="E10" s="10">
        <f t="shared" si="0"/>
        <v>30.64</v>
      </c>
      <c r="F10" s="13" t="s">
        <v>14</v>
      </c>
      <c r="G10" s="10">
        <f>0+0+0+30.28+30.9+31.12+30.64+30.8+0+0+0+0+0+31+31.12+0+0+0+0+0+0+0+30.64</f>
        <v>246.5</v>
      </c>
      <c r="H10" s="13">
        <v>5.91</v>
      </c>
      <c r="I10" s="13">
        <f>H10-K11</f>
        <v>3.759438</v>
      </c>
      <c r="J10" s="19" t="s">
        <v>21</v>
      </c>
      <c r="K10" s="10">
        <v>120</v>
      </c>
      <c r="L10" s="10">
        <v>0.8</v>
      </c>
      <c r="M10" s="20"/>
    </row>
    <row r="11" s="1" customFormat="1" ht="25" customHeight="1" spans="1:13">
      <c r="A11" s="12">
        <v>6</v>
      </c>
      <c r="B11" s="8" t="s">
        <v>22</v>
      </c>
      <c r="C11" s="10">
        <v>6.237</v>
      </c>
      <c r="D11" s="10">
        <v>2.7945</v>
      </c>
      <c r="E11" s="10">
        <f t="shared" si="0"/>
        <v>9.0315</v>
      </c>
      <c r="F11" s="10" t="s">
        <v>14</v>
      </c>
      <c r="G11" s="10">
        <f>10.7865+8.2215+8.424+5.8185+6.1695+10.746+6.7095+8.181+3.699+0+4.8195+9.045+7.9515+10.395+12.15+9.153+6.426+8.9235+9.72+5.3595+9.2745+7.695+9.0315</f>
        <v>178.6995</v>
      </c>
      <c r="H11" s="10"/>
      <c r="I11" s="10">
        <f>G11/(G3*0.1865)</f>
        <v>4.14794053131855</v>
      </c>
      <c r="J11" s="19" t="s">
        <v>23</v>
      </c>
      <c r="K11" s="20">
        <f>0+0+0+0.269492+0.28119+0.283192+0.29108+0.26488+0+0+0+0+0+0.2542+0.261408+0+0+0+0+0+0+0+0.24512</f>
        <v>2.150562</v>
      </c>
      <c r="L11" s="10"/>
      <c r="M11" s="10">
        <f>C10*L10/100</f>
        <v>0.24512</v>
      </c>
    </row>
    <row r="12" s="1" customFormat="1" ht="25" customHeight="1" spans="1:13">
      <c r="A12" s="12">
        <v>7</v>
      </c>
      <c r="B12" s="8" t="s">
        <v>24</v>
      </c>
      <c r="C12" s="10">
        <v>14.5728</v>
      </c>
      <c r="D12" s="10">
        <v>0</v>
      </c>
      <c r="E12" s="10">
        <f t="shared" si="0"/>
        <v>14.5728</v>
      </c>
      <c r="F12" s="10" t="s">
        <v>14</v>
      </c>
      <c r="G12" s="10">
        <f>13.1744+10.1568+16.4312+5.5016+16.1552+10.7272+10.5064+12.8616+0+0+16.192+8.1696+8.7584+13.2112+14.4624+13.0456+12.88+7.8752+13.0824+11.9784+14.628+13.2664+14.5728</f>
        <v>257.6368</v>
      </c>
      <c r="H12" s="10"/>
      <c r="I12" s="10">
        <f>G12/(G3*0.1865)</f>
        <v>5.98021888745749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214</v>
      </c>
      <c r="D13" s="10">
        <v>201</v>
      </c>
      <c r="E13" s="10">
        <f t="shared" si="0"/>
        <v>415</v>
      </c>
      <c r="F13" s="10" t="s">
        <v>26</v>
      </c>
      <c r="G13" s="10">
        <f>443+417+312+276+343+347+336+201+1+10+307+298+333+389+385+240+323+429+406+352+486+214+415</f>
        <v>7263</v>
      </c>
      <c r="H13" s="10">
        <f>G13*1.05</f>
        <v>7626.15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215</v>
      </c>
      <c r="D14" s="10">
        <v>211</v>
      </c>
      <c r="E14" s="10">
        <f t="shared" ref="E14:E23" si="1">D14+C14</f>
        <v>426</v>
      </c>
      <c r="F14" s="10" t="s">
        <v>26</v>
      </c>
      <c r="G14" s="10">
        <f>438+425+240+208+350+389+291+195+0+0+217+316+376+372+411+285+279+460+416+356+388+200+426</f>
        <v>7038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335.53</v>
      </c>
      <c r="D15" s="10">
        <v>479.03</v>
      </c>
      <c r="E15" s="10">
        <f t="shared" si="1"/>
        <v>814.56</v>
      </c>
      <c r="F15" s="10" t="s">
        <v>26</v>
      </c>
      <c r="G15" s="10">
        <f>882.29+802.31+278.08+840.07+583.23+645.45+671.67+316.57+56.84+0+646.55+666.14+750.89+763.63+739.4+654.72+761.1+817.17+829.44+869.19+821.66+882.71+814.56</f>
        <v>15093.67</v>
      </c>
      <c r="H15" s="10"/>
      <c r="I15" s="10"/>
      <c r="J15" s="19" t="s">
        <v>29</v>
      </c>
      <c r="K15" s="10">
        <v>3.15</v>
      </c>
      <c r="L15" s="10">
        <v>3.28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18</v>
      </c>
      <c r="E16" s="10">
        <f t="shared" si="1"/>
        <v>33</v>
      </c>
      <c r="F16" s="10" t="s">
        <v>14</v>
      </c>
      <c r="G16" s="10">
        <f>33+33+21+19+24+30+24+15+0+0+12+27+30+29+30+18+28+36+33+27+30+15+33</f>
        <v>547</v>
      </c>
      <c r="H16" s="10"/>
      <c r="I16" s="10">
        <f>G16/(G3*0.1865)</f>
        <v>12.6968652437821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</f>
        <v>47.2386187</v>
      </c>
      <c r="L16" s="10"/>
      <c r="M16" s="10">
        <f>(C15*K15+L15*D15)/1000</f>
        <v>2.6281379</v>
      </c>
    </row>
    <row r="17" s="1" customFormat="1" ht="25" customHeight="1" spans="1:13">
      <c r="A17" s="12">
        <v>12</v>
      </c>
      <c r="B17" s="8" t="s">
        <v>32</v>
      </c>
      <c r="C17" s="7">
        <v>0.0375</v>
      </c>
      <c r="D17" s="7">
        <v>0</v>
      </c>
      <c r="E17" s="10">
        <f t="shared" si="1"/>
        <v>0.0375</v>
      </c>
      <c r="F17" s="10" t="s">
        <v>14</v>
      </c>
      <c r="G17" s="10">
        <f>0+0+0.15+0.0375+0.0375+0+0.075+0+0+0+0.025+0.0875+0+0.0375+0+0+0+0+0+0+0.15+0+0.0375</f>
        <v>0.6375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2+0+2+0+2+0+0+2+0+0+0+2+0+2+0+2+0+2+0+2+2+2+2</f>
        <v>24</v>
      </c>
      <c r="H19" s="22"/>
      <c r="I19" s="10">
        <f>G19/(G3*0.1865)</f>
        <v>0.557083667003238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2+0+2+0+2+0+0+2+0+0+0+2+0+2+0+2+0+2+0+2+2+2+2</f>
        <v>24</v>
      </c>
      <c r="H20" s="22"/>
      <c r="I20" s="10">
        <f>G20/(G3*0.1865)</f>
        <v>0.557083667003238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4</v>
      </c>
      <c r="D21" s="7">
        <v>1</v>
      </c>
      <c r="E21" s="10">
        <f t="shared" si="1"/>
        <v>5</v>
      </c>
      <c r="F21" s="10" t="s">
        <v>36</v>
      </c>
      <c r="G21" s="10">
        <f>7+8+3+10+2+6+5+7+0+0+7+5+7+4+10+2+6+8+6+10+8+2+5</f>
        <v>128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624</v>
      </c>
      <c r="D22" s="7">
        <v>567</v>
      </c>
      <c r="E22" s="10">
        <f t="shared" si="1"/>
        <v>1191</v>
      </c>
      <c r="F22" s="10" t="s">
        <v>26</v>
      </c>
      <c r="G22" s="10">
        <f>1327+1206+823+1176+1139+893+852+349+5+72+1152+814+1055+1028+1022+607+1025+1132+1089+1063+809+1173+1191</f>
        <v>21002</v>
      </c>
      <c r="H22" s="23"/>
      <c r="I22" s="10">
        <f>E22/M22</f>
        <v>49.625</v>
      </c>
      <c r="J22" s="19" t="s">
        <v>38</v>
      </c>
      <c r="K22" s="10">
        <f>24+24+13.5+24+24+18.5+18+5+0+0+23.5+18.5+24+24+24+13+17+24+24+24+16+22+24</f>
        <v>429</v>
      </c>
      <c r="L22" s="10">
        <f>G22/K22</f>
        <v>48.955710955711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810</v>
      </c>
      <c r="D23" s="7">
        <v>744</v>
      </c>
      <c r="E23" s="10">
        <f t="shared" si="1"/>
        <v>1554</v>
      </c>
      <c r="F23" s="10" t="s">
        <v>26</v>
      </c>
      <c r="G23" s="10">
        <f>1719+1515+850+1201+1277+1135+1069+417+11+221+1450+1071+1220+1379+1315+775+1281+1264+1368+1319+1078+1322+1554</f>
        <v>25811</v>
      </c>
      <c r="H23" s="22"/>
      <c r="I23" s="10">
        <f>E23/M22</f>
        <v>64.75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30.61</v>
      </c>
      <c r="D24" s="12">
        <v>27.35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42</v>
      </c>
      <c r="C25" s="27" t="s">
        <v>132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133</v>
      </c>
      <c r="L25" s="28"/>
      <c r="M25" s="29"/>
    </row>
    <row r="26" s="1" customFormat="1" ht="32" customHeight="1" spans="1:13">
      <c r="A26" s="12">
        <v>21</v>
      </c>
      <c r="B26" s="26" t="s">
        <v>47</v>
      </c>
      <c r="C26" s="27" t="s">
        <v>134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135</v>
      </c>
      <c r="L26" s="28"/>
      <c r="M26" s="29"/>
    </row>
    <row r="27" s="1" customFormat="1" ht="80" customHeight="1" spans="1:13">
      <c r="A27" s="7">
        <v>22</v>
      </c>
      <c r="B27" s="31" t="s">
        <v>51</v>
      </c>
      <c r="C27" s="27" t="s">
        <v>52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136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6.41</v>
      </c>
      <c r="D32" s="10">
        <v>6.36</v>
      </c>
      <c r="E32" s="10">
        <f t="shared" si="2"/>
        <v>12.77</v>
      </c>
      <c r="F32" s="10" t="s">
        <v>26</v>
      </c>
      <c r="G32" s="10">
        <f>12.69+12.67+6.3+12.55+6.29+6.25+6.24+12.64+6.33+0+6.37+6.39+12.58+12.65+6.22+12.58+12.6+6.27+12.62+12.53+12.55+12.67+12.77</f>
        <v>220.76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21</v>
      </c>
      <c r="D33" s="10">
        <v>10</v>
      </c>
      <c r="E33" s="10">
        <f t="shared" si="2"/>
        <v>31</v>
      </c>
      <c r="F33" s="10" t="s">
        <v>26</v>
      </c>
      <c r="G33" s="10">
        <f>10+55+18+25+26.23+21+27+53+14+0+61+28+41.85+20+16+20+23+29+43+17+16+12+31</f>
        <v>607.08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12.1635</v>
      </c>
      <c r="D34" s="10">
        <v>0</v>
      </c>
      <c r="E34" s="10">
        <f t="shared" si="2"/>
        <v>12.1635</v>
      </c>
      <c r="F34" s="10" t="s">
        <v>14</v>
      </c>
      <c r="G34" s="10">
        <f>7.803+0+7.776+0+11.2725+0+0+0+9.855+0+0+0+0+9.72+0+4.887+11.016+0+0+8.0325+6.7635+0+12.1635</f>
        <v>89.289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499</v>
      </c>
      <c r="D37" s="10">
        <v>500</v>
      </c>
      <c r="E37" s="10">
        <f t="shared" si="2"/>
        <v>999</v>
      </c>
      <c r="F37" s="10" t="s">
        <v>26</v>
      </c>
      <c r="G37" s="10">
        <f>989+992+1002+1004+1005+1010+1012+1010+505+0+986+1018+960+917+852+830+1009+916+709+730+841+992+999</f>
        <v>20288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</f>
        <v>0</v>
      </c>
      <c r="H38" s="22"/>
      <c r="I38" s="7">
        <v>1185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</f>
        <v>0</v>
      </c>
      <c r="H39" s="22"/>
      <c r="I39" s="7">
        <v>60.802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1</v>
      </c>
      <c r="D40" s="7">
        <v>2</v>
      </c>
      <c r="E40" s="10">
        <f>D40+C40</f>
        <v>3</v>
      </c>
      <c r="F40" s="10" t="s">
        <v>36</v>
      </c>
      <c r="G40" s="10">
        <f>7+3+2+2+3+2+2+4+2+0+2+2+2+5+0+5+2+1+4+4+5+4+3</f>
        <v>66</v>
      </c>
      <c r="H40" s="22"/>
      <c r="I40" s="10"/>
      <c r="J40" s="35"/>
      <c r="K40" s="27"/>
      <c r="L40" s="19" t="s">
        <v>66</v>
      </c>
      <c r="M40" s="7">
        <v>35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9</v>
      </c>
      <c r="E3" s="10">
        <f t="shared" ref="E3:E13" si="0">C3+D3</f>
        <v>14</v>
      </c>
      <c r="F3" s="10" t="s">
        <v>14</v>
      </c>
      <c r="G3" s="10">
        <f>9+18+11+3.5+13+14.5+7+8.5+0+0+5+11+11.5+12+14+10.5+6+16.5+13.5+12+12.5+7+15+14</f>
        <v>245</v>
      </c>
      <c r="H3" s="10">
        <v>320</v>
      </c>
      <c r="I3" s="10">
        <f>H3-G3</f>
        <v>75</v>
      </c>
      <c r="J3" s="11"/>
      <c r="K3" s="10"/>
      <c r="L3" s="10"/>
      <c r="M3" s="10">
        <f>I3/7</f>
        <v>10.7142857142857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6+8+18+12+2+14+14+8+8+0+0+0+16+12+12+14+10+6+16+14+12+12+8+14</f>
        <v>236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</f>
        <v>0</v>
      </c>
      <c r="H5" s="10">
        <v>4836</v>
      </c>
      <c r="I5" s="10">
        <f>H5-G5-G7-G6</f>
        <v>1453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93</v>
      </c>
      <c r="D6" s="10">
        <v>103</v>
      </c>
      <c r="E6" s="10">
        <f t="shared" si="0"/>
        <v>196</v>
      </c>
      <c r="F6" s="10" t="s">
        <v>14</v>
      </c>
      <c r="G6" s="10">
        <f>202+207+88+172+159+138+147+19+0+0+187+126+145+167+168+66+168+191+178+185+105+184+174+196</f>
        <v>3372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0+0+2+2+0+0+0+0+0+0+1+2+0+0+0+0+0+0+0+0+0+1+2+1</f>
        <v>11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0+0+0+30.28+30.9+31.12+30.64+30.8+0+0+0+0+0+31+31.12+0+0+0+0+0+0+0+30.64+0</f>
        <v>246.5</v>
      </c>
      <c r="H10" s="13">
        <v>5.91</v>
      </c>
      <c r="I10" s="13">
        <f>H10-K11</f>
        <v>3.759438</v>
      </c>
      <c r="J10" s="19" t="s">
        <v>21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4.266</v>
      </c>
      <c r="D11" s="10">
        <v>2.997</v>
      </c>
      <c r="E11" s="10">
        <f t="shared" si="0"/>
        <v>7.263</v>
      </c>
      <c r="F11" s="10" t="s">
        <v>14</v>
      </c>
      <c r="G11" s="10">
        <f>10.7865+8.2215+8.424+5.8185+6.1695+10.746+6.7095+8.181+3.699+0+4.8195+9.045+7.9515+10.395+12.15+9.153+6.426+8.9235+9.72+5.3595+9.2745+7.695+9.0315+7.263</f>
        <v>185.9625</v>
      </c>
      <c r="H11" s="10"/>
      <c r="I11" s="10">
        <f>G11/(G3*0.1865)</f>
        <v>4.06986923455709</v>
      </c>
      <c r="J11" s="19" t="s">
        <v>23</v>
      </c>
      <c r="K11" s="20">
        <f>0+0+0+0.269492+0.28119+0.283192+0.29108+0.26488+0+0+0+0+0+0.2542+0.261408+0+0+0+0+0+0+0+0.24512+0</f>
        <v>2.150562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9.2</v>
      </c>
      <c r="D12" s="10">
        <v>0</v>
      </c>
      <c r="E12" s="10">
        <f t="shared" si="0"/>
        <v>9.2</v>
      </c>
      <c r="F12" s="10" t="s">
        <v>14</v>
      </c>
      <c r="G12" s="10">
        <f>13.1744+10.1568+16.4312+5.5016+16.1552+10.7272+10.5064+12.8616+0+0+16.192+8.1696+8.7584+13.2112+14.4624+13.0456+12.88+7.8752+13.0824+11.9784+14.628+13.2664+14.5728+9.2</f>
        <v>266.8368</v>
      </c>
      <c r="H12" s="10"/>
      <c r="I12" s="10">
        <f>G12/(G3*0.1865)</f>
        <v>5.83983804781966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193</v>
      </c>
      <c r="D13" s="10">
        <v>210</v>
      </c>
      <c r="E13" s="10">
        <f t="shared" si="0"/>
        <v>403</v>
      </c>
      <c r="F13" s="10" t="s">
        <v>26</v>
      </c>
      <c r="G13" s="10">
        <f>443+417+312+276+343+347+336+201+1+10+307+298+333+389+385+240+323+429+406+352+486+214+415+403</f>
        <v>7666</v>
      </c>
      <c r="H13" s="10">
        <f>G13*1.05</f>
        <v>8049.3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202</v>
      </c>
      <c r="D14" s="10">
        <v>228</v>
      </c>
      <c r="E14" s="10">
        <f t="shared" ref="E14:E23" si="1">D14+C14</f>
        <v>430</v>
      </c>
      <c r="F14" s="10" t="s">
        <v>26</v>
      </c>
      <c r="G14" s="10">
        <f>438+425+240+208+350+389+291+195+0+0+217+316+376+372+411+285+279+460+416+356+388+200+426+430</f>
        <v>7468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407.29</v>
      </c>
      <c r="D15" s="10">
        <v>411.89</v>
      </c>
      <c r="E15" s="10">
        <f t="shared" si="1"/>
        <v>819.18</v>
      </c>
      <c r="F15" s="10" t="s">
        <v>26</v>
      </c>
      <c r="G15" s="10">
        <f>882.29+802.31+278.08+840.07+583.23+645.45+671.67+316.57+56.84+0+646.55+666.14+750.89+763.63+739.4+654.72+761.1+817.17+829.44+869.19+821.66+882.71+814.56+819.18</f>
        <v>15912.85</v>
      </c>
      <c r="H15" s="10"/>
      <c r="I15" s="10"/>
      <c r="J15" s="19" t="s">
        <v>29</v>
      </c>
      <c r="K15" s="10">
        <v>3.3</v>
      </c>
      <c r="L15" s="10">
        <v>3.11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12</v>
      </c>
      <c r="D16" s="10">
        <v>18</v>
      </c>
      <c r="E16" s="10">
        <f t="shared" si="1"/>
        <v>30</v>
      </c>
      <c r="F16" s="10" t="s">
        <v>14</v>
      </c>
      <c r="G16" s="10">
        <f>33+33+21+19+24+30+24+15+0+0+12+27+30+29+30+18+28+36+33+27+30+15+33+30</f>
        <v>577</v>
      </c>
      <c r="H16" s="10"/>
      <c r="I16" s="10">
        <f>G16/(G3*0.1865)</f>
        <v>12.6278929802484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</f>
        <v>49.8636536</v>
      </c>
      <c r="L16" s="10"/>
      <c r="M16" s="10">
        <f>(C15*K15+L15*D15)/1000</f>
        <v>2.6250349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0+0+0.15+0.0375+0.0375+0+0.075+0+0+0+0.025+0.0875+0+0.0375+0+0+0+0+0+0+0.15+0+0.0375+0</f>
        <v>0.6375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2+0+2+0+2+0+0+2+0+0+0+2+0+2+0+2+0+2+0+2+2+2+2+0</f>
        <v>24</v>
      </c>
      <c r="H19" s="22"/>
      <c r="I19" s="10">
        <f>G19/(G3*0.1865)</f>
        <v>0.525250314603053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2+0+2+0+2+0+0+2+0+0+0+2+0+2+0+2+0+2+0+2+2+2+2+0</f>
        <v>24</v>
      </c>
      <c r="H20" s="22"/>
      <c r="I20" s="10">
        <f>G20/(G3*0.1865)</f>
        <v>0.525250314603053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6</v>
      </c>
      <c r="D21" s="7">
        <v>2</v>
      </c>
      <c r="E21" s="10">
        <f t="shared" si="1"/>
        <v>8</v>
      </c>
      <c r="F21" s="10" t="s">
        <v>36</v>
      </c>
      <c r="G21" s="10">
        <f>7+8+3+10+2+6+5+7+0+0+7+5+7+4+10+2+6+8+6+10+8+2+5+8</f>
        <v>136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538</v>
      </c>
      <c r="D22" s="7">
        <v>560</v>
      </c>
      <c r="E22" s="10">
        <f t="shared" si="1"/>
        <v>1098</v>
      </c>
      <c r="F22" s="10" t="s">
        <v>26</v>
      </c>
      <c r="G22" s="10">
        <f>1327+1206+823+1176+1139+893+852+349+5+72+1152+814+1055+1028+1022+607+1025+1132+1089+1063+809+1173+1191+1098</f>
        <v>22100</v>
      </c>
      <c r="H22" s="23"/>
      <c r="I22" s="10">
        <f>E22/M22</f>
        <v>45.75</v>
      </c>
      <c r="J22" s="19" t="s">
        <v>38</v>
      </c>
      <c r="K22" s="10">
        <f>24+24+13.5+24+24+18.5+18+5+0+0+23.5+18.5+24+24+24+13+17+24+24+24+16+22+24+24</f>
        <v>453</v>
      </c>
      <c r="L22" s="10">
        <f>G22/K22</f>
        <v>48.7858719646799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696</v>
      </c>
      <c r="D23" s="7">
        <v>744</v>
      </c>
      <c r="E23" s="10">
        <f t="shared" si="1"/>
        <v>1440</v>
      </c>
      <c r="F23" s="10" t="s">
        <v>26</v>
      </c>
      <c r="G23" s="10">
        <f>1719+1515+850+1201+1277+1135+1069+417+11+221+1450+1071+1220+1379+1315+775+1281+1264+1368+1319+1078+1322+1554+1440</f>
        <v>27251</v>
      </c>
      <c r="H23" s="22"/>
      <c r="I23" s="10">
        <f>E23/M22</f>
        <v>60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28.65</v>
      </c>
      <c r="D24" s="12">
        <v>31.22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133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139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135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141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143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144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6.37</v>
      </c>
      <c r="D32" s="10">
        <v>6.34</v>
      </c>
      <c r="E32" s="10">
        <f t="shared" si="2"/>
        <v>12.71</v>
      </c>
      <c r="F32" s="10" t="s">
        <v>26</v>
      </c>
      <c r="G32" s="10">
        <f>12.69+12.67+6.3+12.55+6.29+6.25+6.24+12.64+6.33+0+6.37+6.39+12.58+12.65+6.22+12.58+12.6+6.27+12.62+12.53+12.55+12.67+12.77+12.71</f>
        <v>233.47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18</v>
      </c>
      <c r="D33" s="10">
        <v>10</v>
      </c>
      <c r="E33" s="10">
        <f t="shared" si="2"/>
        <v>28</v>
      </c>
      <c r="F33" s="10" t="s">
        <v>26</v>
      </c>
      <c r="G33" s="10">
        <f>10+55+18+25+26.23+21+27+53+14+0+61+28+41.85+20+16+20+23+29+43+17+16+12+31+28</f>
        <v>635.08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7.803+0+7.776+0+11.2725+0+0+0+9.855+0+0+0+0+9.72+0+4.887+11.016+0+0+8.0325+6.7635+0+12.1635+0</f>
        <v>89.289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501</v>
      </c>
      <c r="D37" s="10">
        <v>503</v>
      </c>
      <c r="E37" s="10">
        <f t="shared" si="2"/>
        <v>1004</v>
      </c>
      <c r="F37" s="10" t="s">
        <v>26</v>
      </c>
      <c r="G37" s="10">
        <f>989+992+1002+1004+1005+1010+1012+1010+505+0+986+1018+960+917+852+830+1009+916+709+730+841+992+999+1004</f>
        <v>21292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</f>
        <v>0</v>
      </c>
      <c r="H38" s="22"/>
      <c r="I38" s="7">
        <v>720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</f>
        <v>0</v>
      </c>
      <c r="H39" s="22"/>
      <c r="I39" s="7">
        <v>62.5392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2</v>
      </c>
      <c r="E40" s="10">
        <f>D40+C40</f>
        <v>4</v>
      </c>
      <c r="F40" s="10" t="s">
        <v>36</v>
      </c>
      <c r="G40" s="10">
        <f>7+3+2+2+3+2+2+4+2+0+2+2+2+5+0+5+2+1+4+4+5+4+3+4</f>
        <v>70</v>
      </c>
      <c r="H40" s="22"/>
      <c r="I40" s="10"/>
      <c r="J40" s="35"/>
      <c r="K40" s="27"/>
      <c r="L40" s="19" t="s">
        <v>66</v>
      </c>
      <c r="M40" s="7">
        <v>39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topLeftCell="A3" workbookViewId="0">
      <selection activeCell="G10" sqref="G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7</v>
      </c>
      <c r="E3" s="10">
        <f t="shared" ref="E3:E13" si="0">C3+D3</f>
        <v>11.5</v>
      </c>
      <c r="F3" s="10" t="s">
        <v>14</v>
      </c>
      <c r="G3" s="10">
        <f>9+18+11+3.5+13+14.5+7+8.5+0+0+5+11+11.5+12+14+10.5+6+16.5+13.5+12+12.5+7+15+14+11.5</f>
        <v>256.5</v>
      </c>
      <c r="H3" s="10">
        <v>320</v>
      </c>
      <c r="I3" s="10">
        <f>H3-G3</f>
        <v>63.5</v>
      </c>
      <c r="J3" s="11"/>
      <c r="K3" s="10"/>
      <c r="L3" s="10"/>
      <c r="M3" s="10">
        <f>I3/6</f>
        <v>10.5833333333333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6+8+18+12+2+14+14+8+8+0+0+0+16+12+12+14+10+6+16+14+12+12+8+14+14</f>
        <v>250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</f>
        <v>0</v>
      </c>
      <c r="H5" s="10">
        <v>4836</v>
      </c>
      <c r="I5" s="10">
        <f>H5-G5-G7-G6</f>
        <v>1320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85</v>
      </c>
      <c r="D6" s="10">
        <v>47</v>
      </c>
      <c r="E6" s="10">
        <f t="shared" si="0"/>
        <v>132</v>
      </c>
      <c r="F6" s="10" t="s">
        <v>14</v>
      </c>
      <c r="G6" s="10">
        <f>202+207+88+172+159+138+147+19+0+0+187+126+145+167+168+66+168+191+178+185+105+184+174+196+132</f>
        <v>3504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0+0+2+2+0+0+0+0+0+0+1+2+0+0+0+0+0+0+0+0+0+1+2+1+1</f>
        <v>12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0+30.27+0+35.09+29.27+20.26+29.69+32+29.79+20.98+0+0+0+0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31.13</v>
      </c>
      <c r="D10" s="13"/>
      <c r="E10" s="10">
        <f t="shared" si="0"/>
        <v>31.13</v>
      </c>
      <c r="F10" s="13" t="s">
        <v>14</v>
      </c>
      <c r="G10" s="10">
        <f>0+0+0+30.28+30.9+31.12+30.64+30.8+0+0+0+0+0+31+31.12+0+0+0+0+0+0+0+30.64+0+31.13</f>
        <v>277.63</v>
      </c>
      <c r="H10" s="13">
        <v>5.91</v>
      </c>
      <c r="I10" s="13">
        <f>H10-K11</f>
        <v>3.479268</v>
      </c>
      <c r="J10" s="19" t="s">
        <v>21</v>
      </c>
      <c r="K10" s="10">
        <v>120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22</v>
      </c>
      <c r="C11" s="10">
        <v>5.508</v>
      </c>
      <c r="D11" s="10">
        <v>2.781</v>
      </c>
      <c r="E11" s="10">
        <f t="shared" si="0"/>
        <v>8.289</v>
      </c>
      <c r="F11" s="10" t="s">
        <v>14</v>
      </c>
      <c r="G11" s="10">
        <f>10.7865+8.2215+8.424+5.8185+6.1695+10.746+6.7095+8.181+3.699+0+4.8195+9.045+7.9515+10.395+12.15+9.153+6.426+8.9235+9.72+5.3595+9.2745+7.695+9.0315+7.263+8.289</f>
        <v>194.2515</v>
      </c>
      <c r="H11" s="10"/>
      <c r="I11" s="10">
        <f>G11/(G3*0.1865)</f>
        <v>4.06067447438973</v>
      </c>
      <c r="J11" s="19" t="s">
        <v>23</v>
      </c>
      <c r="K11" s="20">
        <f>0+0+0+0.269492+0.28119+0.283192+0.29108+0.26488+0+0+0+0+0+0.2542+0.261408+0+0+0+0+0+0+0+0.24512+0+0.28017</f>
        <v>2.430732</v>
      </c>
      <c r="L11" s="10"/>
      <c r="M11" s="10">
        <f>C10*L10/100</f>
        <v>0.28017</v>
      </c>
    </row>
    <row r="12" s="1" customFormat="1" ht="25" customHeight="1" spans="1:13">
      <c r="A12" s="12">
        <v>7</v>
      </c>
      <c r="B12" s="8" t="s">
        <v>24</v>
      </c>
      <c r="C12" s="10">
        <v>13.708</v>
      </c>
      <c r="D12" s="10">
        <v>0</v>
      </c>
      <c r="E12" s="10">
        <f t="shared" si="0"/>
        <v>13.708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</f>
        <v>280.5448</v>
      </c>
      <c r="H12" s="10"/>
      <c r="I12" s="10">
        <f>G12/(G3*0.1865)</f>
        <v>5.86456788381439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259</v>
      </c>
      <c r="D13" s="10">
        <v>52</v>
      </c>
      <c r="E13" s="10">
        <f t="shared" si="0"/>
        <v>311</v>
      </c>
      <c r="F13" s="10" t="s">
        <v>26</v>
      </c>
      <c r="G13" s="10">
        <f>443+417+312+276+343+347+336+201+1+10+307+298+333+389+385+240+323+429+406+352+486+214+415+403+311</f>
        <v>7977</v>
      </c>
      <c r="H13" s="10">
        <f>G13*1.05</f>
        <v>8375.85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147</v>
      </c>
      <c r="D14" s="10">
        <v>162</v>
      </c>
      <c r="E14" s="10">
        <f t="shared" ref="E14:E23" si="1">D14+C14</f>
        <v>309</v>
      </c>
      <c r="F14" s="10" t="s">
        <v>26</v>
      </c>
      <c r="G14" s="10">
        <f>438+425+240+208+350+389+291+195+0+0+217+316+376+372+411+285+279+460+416+356+388+200+426+430+309</f>
        <v>7777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398.12</v>
      </c>
      <c r="D15" s="10">
        <v>377.57</v>
      </c>
      <c r="E15" s="10">
        <f t="shared" si="1"/>
        <v>775.69</v>
      </c>
      <c r="F15" s="10" t="s">
        <v>26</v>
      </c>
      <c r="G15" s="10">
        <f>882.29+802.31+278.08+840.07+583.23+645.45+671.67+316.57+56.84+0+646.55+666.14+750.89+763.63+739.4+654.72+761.1+817.17+829.44+869.19+821.66+882.71+814.56+819.18+775.69</f>
        <v>16688.54</v>
      </c>
      <c r="H15" s="10"/>
      <c r="I15" s="10"/>
      <c r="J15" s="19" t="s">
        <v>29</v>
      </c>
      <c r="K15" s="10">
        <v>3.19</v>
      </c>
      <c r="L15" s="10">
        <v>3.13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12</v>
      </c>
      <c r="D16" s="10">
        <v>12</v>
      </c>
      <c r="E16" s="10">
        <f t="shared" si="1"/>
        <v>24</v>
      </c>
      <c r="F16" s="10" t="s">
        <v>14</v>
      </c>
      <c r="G16" s="10">
        <f>33+33+21+19+24+30+24+15+0+0+12+27+30+29+30+18+28+36+33+27+30+15+33+30+24</f>
        <v>601</v>
      </c>
      <c r="H16" s="10"/>
      <c r="I16" s="10">
        <f>G16/(G3*0.1865)</f>
        <v>12.5634312173045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</f>
        <v>52.3154505</v>
      </c>
      <c r="L16" s="10"/>
      <c r="M16" s="10">
        <f>(C15*K15+L15*D15)/1000</f>
        <v>2.4517969</v>
      </c>
    </row>
    <row r="17" s="1" customFormat="1" ht="25" customHeight="1" spans="1:13">
      <c r="A17" s="12">
        <v>12</v>
      </c>
      <c r="B17" s="8" t="s">
        <v>32</v>
      </c>
      <c r="C17" s="7">
        <v>0.0375</v>
      </c>
      <c r="D17" s="7">
        <v>0</v>
      </c>
      <c r="E17" s="10">
        <f t="shared" si="1"/>
        <v>0.0375</v>
      </c>
      <c r="F17" s="10" t="s">
        <v>14</v>
      </c>
      <c r="G17" s="10">
        <f>0+0+0.15+0.0375+0.0375+0+0.075+0+0+0+0.025+0.0875+0+0.0375+0+0+0+0+0+0+0.15+0+0.0375+0+0.0375</f>
        <v>0.675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1.7+1.7+0+1.7+2.55+1.6+1.6+1.6+0.8+0+0+0+0+0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2+0+2+0+2+0+0+2+0+0+0+2+0+2+0+2+0+2+0+2+2+2+2+0+2</f>
        <v>26</v>
      </c>
      <c r="H19" s="22"/>
      <c r="I19" s="10">
        <f>G19/(G3*0.1865)</f>
        <v>0.543509503577233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2+0+2+0+2+0+0+2+0+0+0+2+0+2+0+2+0+2+0+2+2+2+2+0+2</f>
        <v>26</v>
      </c>
      <c r="H20" s="22"/>
      <c r="I20" s="10">
        <f>G20/(G3*0.1865)</f>
        <v>0.543509503577233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3</v>
      </c>
      <c r="D21" s="7">
        <v>3</v>
      </c>
      <c r="E21" s="10">
        <f t="shared" si="1"/>
        <v>6</v>
      </c>
      <c r="F21" s="10" t="s">
        <v>36</v>
      </c>
      <c r="G21" s="10">
        <f>7+8+3+10+2+6+5+7+0+0+7+5+7+4+10+2+6+8+6+10+8+2+5+8+6</f>
        <v>142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451</v>
      </c>
      <c r="D22" s="7">
        <v>404</v>
      </c>
      <c r="E22" s="10">
        <f t="shared" si="1"/>
        <v>855</v>
      </c>
      <c r="F22" s="10" t="s">
        <v>26</v>
      </c>
      <c r="G22" s="10">
        <f>1327+1206+823+1176+1139+893+852+349+5+72+1152+814+1055+1028+1022+607+1025+1132+1089+1063+809+1173+1191+1098+855</f>
        <v>22955</v>
      </c>
      <c r="H22" s="23"/>
      <c r="I22" s="10">
        <f>E22/M22</f>
        <v>50.2941176470588</v>
      </c>
      <c r="J22" s="19" t="s">
        <v>38</v>
      </c>
      <c r="K22" s="10">
        <f>24+24+13.5+24+24+18.5+18+5+0+0+23.5+18.5+24+24+24+13+17+24+24+24+16+22+24+24+17</f>
        <v>470</v>
      </c>
      <c r="L22" s="10">
        <f>G22/K22</f>
        <v>48.8404255319149</v>
      </c>
      <c r="M22" s="10">
        <v>17</v>
      </c>
    </row>
    <row r="23" s="1" customFormat="1" ht="25" customHeight="1" spans="1:13">
      <c r="A23" s="12">
        <v>18</v>
      </c>
      <c r="B23" s="8" t="s">
        <v>39</v>
      </c>
      <c r="C23" s="7">
        <v>504</v>
      </c>
      <c r="D23" s="7">
        <v>506</v>
      </c>
      <c r="E23" s="10">
        <f t="shared" si="1"/>
        <v>1010</v>
      </c>
      <c r="F23" s="10" t="s">
        <v>26</v>
      </c>
      <c r="G23" s="10">
        <f>1719+1515+850+1201+1277+1135+1069+417+11+221+1450+1071+1220+1379+1315+775+1281+1264+1368+1319+1078+1322+1554+1440+1010</f>
        <v>28261</v>
      </c>
      <c r="H23" s="22"/>
      <c r="I23" s="10">
        <f>E23/M22</f>
        <v>59.4117647058824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33.57</v>
      </c>
      <c r="D24" s="12">
        <v>0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139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146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141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141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143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147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6.34</v>
      </c>
      <c r="D32" s="10">
        <v>6.38</v>
      </c>
      <c r="E32" s="10">
        <f t="shared" si="2"/>
        <v>12.72</v>
      </c>
      <c r="F32" s="10" t="s">
        <v>26</v>
      </c>
      <c r="G32" s="10">
        <f>12.69+12.67+6.3+12.55+6.29+6.25+6.24+12.64+6.33+0+6.37+6.39+12.58+12.65+6.22+12.58+12.6+6.27+12.62+12.53+12.55+12.67+12.77+12.71+12.72</f>
        <v>246.19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28</v>
      </c>
      <c r="D33" s="10">
        <v>11</v>
      </c>
      <c r="E33" s="10">
        <f t="shared" si="2"/>
        <v>39</v>
      </c>
      <c r="F33" s="10" t="s">
        <v>26</v>
      </c>
      <c r="G33" s="10">
        <f>10+55+18+25+26.23+21+27+53+14+0+61+28+41.85+20+16+20+23+29+43+17+16+12+31+28+39</f>
        <v>674.08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5.3325</v>
      </c>
      <c r="D34" s="10">
        <v>0</v>
      </c>
      <c r="E34" s="10">
        <f t="shared" si="2"/>
        <v>5.3325</v>
      </c>
      <c r="F34" s="10" t="s">
        <v>14</v>
      </c>
      <c r="G34" s="10">
        <f>7.803+0+7.776+0+11.2725+0+0+0+9.855+0+0+0+0+9.72+0+4.887+11.016+0+0+8.0325+6.7635+0+12.1635+0+5.3325</f>
        <v>94.6215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507</v>
      </c>
      <c r="D37" s="10">
        <v>506</v>
      </c>
      <c r="E37" s="10">
        <f t="shared" si="2"/>
        <v>1013</v>
      </c>
      <c r="F37" s="10" t="s">
        <v>26</v>
      </c>
      <c r="G37" s="10">
        <f>989+992+1002+1004+1005+1010+1012+1010+505+0+986+1018+960+917+852+830+1009+916+709+730+841+992+999+1004+1013</f>
        <v>22305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</f>
        <v>0</v>
      </c>
      <c r="H38" s="22"/>
      <c r="I38" s="7">
        <v>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</f>
        <v>0</v>
      </c>
      <c r="H39" s="22"/>
      <c r="I39" s="7">
        <v>62.5392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2</v>
      </c>
      <c r="E40" s="10">
        <f>D40+C40</f>
        <v>4</v>
      </c>
      <c r="F40" s="10" t="s">
        <v>36</v>
      </c>
      <c r="G40" s="10">
        <f>7+3+2+2+3+2+2+4+2+0+2+2+2+5+0+5+2+1+4+4+5+4+3+4+4</f>
        <v>74</v>
      </c>
      <c r="H40" s="22"/>
      <c r="I40" s="10"/>
      <c r="J40" s="35"/>
      <c r="K40" s="27"/>
      <c r="L40" s="19" t="s">
        <v>66</v>
      </c>
      <c r="M40" s="7">
        <v>43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</v>
      </c>
      <c r="D3" s="9">
        <v>3.5</v>
      </c>
      <c r="E3" s="10">
        <f t="shared" ref="E3:E13" si="0">C3+D3</f>
        <v>5.5</v>
      </c>
      <c r="F3" s="10" t="s">
        <v>14</v>
      </c>
      <c r="G3" s="10">
        <f>9+18+11+3.5+13+14.5+7+8.5+0+0+5+11+11.5+12+14+10.5+6+16.5+13.5+12+12.5+7+15+14+11.5+5.5</f>
        <v>262</v>
      </c>
      <c r="H3" s="10">
        <v>320</v>
      </c>
      <c r="I3" s="10">
        <f>H3-G3</f>
        <v>58</v>
      </c>
      <c r="J3" s="11"/>
      <c r="K3" s="10"/>
      <c r="L3" s="10"/>
      <c r="M3" s="10">
        <f>I3/5</f>
        <v>11.6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6+8+18+12+2+14+14+8+8+0+0+0+16+12+12+14+10+6+16+14+12+12+8+14+14+12</f>
        <v>262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0+0+0+0+0+0+0+0+0+0+0+0+0+0+0+0+0+0+0+0+0+0+0+0+0+0</f>
        <v>0</v>
      </c>
      <c r="H5" s="10">
        <v>4836</v>
      </c>
      <c r="I5" s="10">
        <f>H5-G5-G7-G6</f>
        <v>1217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73</v>
      </c>
      <c r="D6" s="10">
        <v>30</v>
      </c>
      <c r="E6" s="10">
        <f t="shared" si="0"/>
        <v>103</v>
      </c>
      <c r="F6" s="10" t="s">
        <v>14</v>
      </c>
      <c r="G6" s="10">
        <f>202+207+88+172+159+138+147+19+0+0+187+126+145+167+168+66+168+191+178+185+105+184+174+196+132+103</f>
        <v>3607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0+0+2+2+0+0+0+0+0+0+1+2+0+0+0+0+0+0+0+0+0+1+2+1+1+0</f>
        <v>12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0+30.27+0+35.09+29.27+20.26+29.69+32+29.79+20.98+0+0+0+0+0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30.9</v>
      </c>
      <c r="D10" s="13"/>
      <c r="E10" s="10">
        <f t="shared" si="0"/>
        <v>30.9</v>
      </c>
      <c r="F10" s="13" t="s">
        <v>14</v>
      </c>
      <c r="G10" s="10">
        <f>0+0+0+30.28+30.9+31.12+30.64+30.8+0+0+0+0+0+31+31.12+0+0+0+0+0+0+0+30.64+0+31.13+30.9</f>
        <v>308.53</v>
      </c>
      <c r="H10" s="13">
        <v>5.91</v>
      </c>
      <c r="I10" s="13">
        <f>H10-K11</f>
        <v>3.194988</v>
      </c>
      <c r="J10" s="19" t="s">
        <v>21</v>
      </c>
      <c r="K10" s="10">
        <v>120</v>
      </c>
      <c r="L10" s="10">
        <v>0.92</v>
      </c>
      <c r="M10" s="20"/>
    </row>
    <row r="11" s="1" customFormat="1" ht="25" customHeight="1" spans="1:13">
      <c r="A11" s="12">
        <v>6</v>
      </c>
      <c r="B11" s="8" t="s">
        <v>22</v>
      </c>
      <c r="C11" s="10">
        <v>3.7665</v>
      </c>
      <c r="D11" s="10">
        <v>0</v>
      </c>
      <c r="E11" s="10">
        <f t="shared" si="0"/>
        <v>3.7665</v>
      </c>
      <c r="F11" s="10" t="s">
        <v>14</v>
      </c>
      <c r="G11" s="10">
        <f>10.7865+8.2215+8.424+5.8185+6.1695+10.746+6.7095+8.181+3.699+0+4.8195+9.045+7.9515+10.395+12.15+9.153+6.426+8.9235+9.72+5.3595+9.2745+7.695+9.0315+7.263+8.289+3.7665</f>
        <v>198.018</v>
      </c>
      <c r="H11" s="10"/>
      <c r="I11" s="10">
        <f>G11/(G3*0.1865)</f>
        <v>4.05251417227759</v>
      </c>
      <c r="J11" s="19" t="s">
        <v>23</v>
      </c>
      <c r="K11" s="20">
        <f>0+0+0+0.269492+0.28119+0.283192+0.29108+0.26488+0+0+0+0+0+0.2542+0.261408+0+0+0+0+0+0+0+0.24512+0+0.28017+0.28428</f>
        <v>2.715012</v>
      </c>
      <c r="L11" s="10"/>
      <c r="M11" s="10">
        <f>C10*L10/100</f>
        <v>0.28428</v>
      </c>
    </row>
    <row r="12" s="1" customFormat="1" ht="25" customHeight="1" spans="1:13">
      <c r="A12" s="12">
        <v>7</v>
      </c>
      <c r="B12" s="8" t="s">
        <v>24</v>
      </c>
      <c r="C12" s="10">
        <v>10.2856</v>
      </c>
      <c r="D12" s="10">
        <v>0</v>
      </c>
      <c r="E12" s="10">
        <f t="shared" si="0"/>
        <v>10.2856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13.1744+10.1568+16.4312+5.5016+16.1552+10.7272+10.5064+12.8616+0+0+16.192+8.1696+8.7584+13.2112+14.4624+13.0456+12.88+7.8752+13.0824+11.9784+14.628+13.2664+14.5728+9.2+13.708+10.2856</f>
        <v>290.8304</v>
      </c>
      <c r="H12" s="10"/>
      <c r="I12" s="10">
        <f>G12/(G3*0.1865)</f>
        <v>5.95195546732702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129</v>
      </c>
      <c r="D13" s="10">
        <v>60</v>
      </c>
      <c r="E13" s="10">
        <f t="shared" si="0"/>
        <v>189</v>
      </c>
      <c r="F13" s="10" t="s">
        <v>26</v>
      </c>
      <c r="G13" s="10">
        <f>443+417+312+276+343+347+336+201+1+10+307+298+333+389+385+240+323+429+406+352+486+214+415+403+311+189</f>
        <v>8166</v>
      </c>
      <c r="H13" s="10">
        <f>G13*1.05</f>
        <v>8574.3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100</v>
      </c>
      <c r="D14" s="10">
        <v>48</v>
      </c>
      <c r="E14" s="10">
        <f t="shared" ref="E14:E23" si="1">D14+C14</f>
        <v>148</v>
      </c>
      <c r="F14" s="10" t="s">
        <v>26</v>
      </c>
      <c r="G14" s="10">
        <f>438+425+240+208+350+389+291+195+0+0+217+316+376+372+411+285+279+460+416+356+388+200+426+430+309+148</f>
        <v>7925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80.32</v>
      </c>
      <c r="D15" s="10">
        <v>418.57</v>
      </c>
      <c r="E15" s="10">
        <f t="shared" si="1"/>
        <v>498.89</v>
      </c>
      <c r="F15" s="10" t="s">
        <v>26</v>
      </c>
      <c r="G15" s="10">
        <f>882.29+802.31+278.08+840.07+583.23+645.45+671.67+316.57+56.84+0+646.55+666.14+750.89+763.63+739.4+654.72+761.1+817.17+829.44+869.19+821.66+882.71+814.56+819.18+775.69+498.89</f>
        <v>17187.43</v>
      </c>
      <c r="H15" s="10"/>
      <c r="I15" s="10"/>
      <c r="J15" s="19" t="s">
        <v>29</v>
      </c>
      <c r="K15" s="10">
        <v>3.01</v>
      </c>
      <c r="L15" s="10">
        <v>3.01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7</v>
      </c>
      <c r="D16" s="10">
        <v>6</v>
      </c>
      <c r="E16" s="10">
        <f t="shared" si="1"/>
        <v>13</v>
      </c>
      <c r="F16" s="10" t="s">
        <v>14</v>
      </c>
      <c r="G16" s="10">
        <f>33+33+21+19+24+30+24+15+0+0+12+27+30+29+30+18+28+36+33+27+30+15+33+30+24+13</f>
        <v>614</v>
      </c>
      <c r="H16" s="10"/>
      <c r="I16" s="10">
        <f>G16/(G3*0.1865)</f>
        <v>12.565745042261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2.6778576+2.4526005+0.9556818+2.9003541+1.8362639+1.9624667+1.9542698+1.0088616+0.164836+0+1.946265+2.032509+2.3535519+2.3066109+2.322123+2.0371824+2.4640206+2.5366125+2.6013528+2.8090777+2.5527834+2.7351996+2.6281379+2.6250349+2.4517969+1.5016589</f>
        <v>53.8171094</v>
      </c>
      <c r="L16" s="10"/>
      <c r="M16" s="10">
        <f>(C15*K15+L15*D15)/1000</f>
        <v>1.5016589</v>
      </c>
    </row>
    <row r="17" s="1" customFormat="1" ht="25" customHeight="1" spans="1:13">
      <c r="A17" s="12">
        <v>12</v>
      </c>
      <c r="B17" s="8" t="s">
        <v>32</v>
      </c>
      <c r="C17" s="7">
        <v>0.0375</v>
      </c>
      <c r="D17" s="7">
        <v>0</v>
      </c>
      <c r="E17" s="10">
        <f t="shared" si="1"/>
        <v>0.0375</v>
      </c>
      <c r="F17" s="10" t="s">
        <v>14</v>
      </c>
      <c r="G17" s="10">
        <f>0+0+0.15+0.0375+0.0375+0+0.075+0+0+0+0.025+0.0875+0+0.0375+0+0+0+0+0+0+0.15+0+0.0375+0+0.0375+0.0375</f>
        <v>0.7125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1.7+1.7+0+1.7+2.55+1.6+1.6+1.6+0.8+0+0+0+0+0+0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2+0+2+0+2+0+0+2+0+0+0+2+0+2+0+2+0+2+0+2+2+2+2+0+2+0</f>
        <v>26</v>
      </c>
      <c r="H19" s="22"/>
      <c r="I19" s="10">
        <f>G19/(G3*0.1865)</f>
        <v>0.53209995292962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2+0+2+0+2+0+0+2+0+0+0+2+0+2+0+2+0+2+0+2+2+2+2+0+2+0</f>
        <v>26</v>
      </c>
      <c r="H20" s="22"/>
      <c r="I20" s="10">
        <f>G20/(G3*0.1865)</f>
        <v>0.53209995292962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3</v>
      </c>
      <c r="D21" s="7">
        <v>4</v>
      </c>
      <c r="E21" s="10">
        <f t="shared" si="1"/>
        <v>7</v>
      </c>
      <c r="F21" s="10" t="s">
        <v>36</v>
      </c>
      <c r="G21" s="10">
        <f>7+8+3+10+2+6+5+7+0+0+7+5+7+4+10+2+6+8+6+10+8+2+5+8+6+7</f>
        <v>149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434</v>
      </c>
      <c r="D22" s="7">
        <v>264</v>
      </c>
      <c r="E22" s="10">
        <f t="shared" si="1"/>
        <v>698</v>
      </c>
      <c r="F22" s="10" t="s">
        <v>26</v>
      </c>
      <c r="G22" s="10">
        <f>1327+1206+823+1176+1139+893+852+349+5+72+1152+814+1055+1028+1022+607+1025+1132+1089+1063+809+1173+1191+1098+855+698</f>
        <v>23653</v>
      </c>
      <c r="H22" s="23"/>
      <c r="I22" s="10">
        <f>E22/M22</f>
        <v>49.8571428571429</v>
      </c>
      <c r="J22" s="19" t="s">
        <v>38</v>
      </c>
      <c r="K22" s="10">
        <f>24+24+13.5+24+24+18.5+18+5+0+0+23.5+18.5+24+24+24+13+17+24+24+24+16+22+24+24+17+14</f>
        <v>484</v>
      </c>
      <c r="L22" s="10">
        <f>G22/K22</f>
        <v>48.8698347107438</v>
      </c>
      <c r="M22" s="10">
        <v>14</v>
      </c>
    </row>
    <row r="23" s="1" customFormat="1" ht="25" customHeight="1" spans="1:13">
      <c r="A23" s="12">
        <v>18</v>
      </c>
      <c r="B23" s="8" t="s">
        <v>39</v>
      </c>
      <c r="C23" s="7">
        <v>514</v>
      </c>
      <c r="D23" s="7">
        <v>260</v>
      </c>
      <c r="E23" s="10">
        <f t="shared" si="1"/>
        <v>774</v>
      </c>
      <c r="F23" s="10" t="s">
        <v>26</v>
      </c>
      <c r="G23" s="10">
        <f>1719+1515+850+1201+1277+1135+1069+417+11+221+1450+1071+1220+1379+1315+775+1281+1264+1368+1319+1078+1322+1554+1440+1010+774</f>
        <v>29035</v>
      </c>
      <c r="H23" s="22"/>
      <c r="I23" s="10">
        <f>E23/M22</f>
        <v>55.2857142857143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31.04</v>
      </c>
      <c r="D24" s="12">
        <v>0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146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149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141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150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151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152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9.8+0+0+0+0+0+0+0+0+0+0+0+0+0+0+10.59+0+0+0+0+10.37+0+0+0+0+0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6.35</v>
      </c>
      <c r="D32" s="10">
        <v>6.27</v>
      </c>
      <c r="E32" s="10">
        <f t="shared" si="2"/>
        <v>12.62</v>
      </c>
      <c r="F32" s="10" t="s">
        <v>26</v>
      </c>
      <c r="G32" s="10">
        <f>12.69+12.67+6.3+12.55+6.29+6.25+6.24+12.64+6.33+0+6.37+6.39+12.58+12.65+6.22+12.58+12.6+6.27+12.62+12.53+12.55+12.67+12.77+12.71+12.72+12.62</f>
        <v>258.81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7</v>
      </c>
      <c r="D33" s="10">
        <v>10</v>
      </c>
      <c r="E33" s="10">
        <f t="shared" si="2"/>
        <v>17</v>
      </c>
      <c r="F33" s="10" t="s">
        <v>26</v>
      </c>
      <c r="G33" s="10">
        <f>10+55+18+25+26.23+21+27+53+14+0+61+28+41.85+20+16+20+23+29+43+17+16+12+31+28+39+17</f>
        <v>691.08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7.56</v>
      </c>
      <c r="D34" s="10">
        <v>0</v>
      </c>
      <c r="E34" s="10">
        <f t="shared" si="2"/>
        <v>7.56</v>
      </c>
      <c r="F34" s="10" t="s">
        <v>14</v>
      </c>
      <c r="G34" s="10">
        <f>7.803+0+7.776+0+11.2725+0+0+0+9.855+0+0+0+0+9.72+0+4.887+11.016+0+0+8.0325+6.7635+0+12.1635+0+5.3325+7.56</f>
        <v>102.1815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0</v>
      </c>
      <c r="D36" s="10">
        <v>0</v>
      </c>
      <c r="E36" s="10">
        <f t="shared" si="2"/>
        <v>0</v>
      </c>
      <c r="F36" s="10" t="s">
        <v>26</v>
      </c>
      <c r="G36" s="10">
        <f>0+66+481+0+0+0+0+0+0+0+4+22+593+343+0+0+0+0+0+0+0+0+0+0+0+0</f>
        <v>1509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506</v>
      </c>
      <c r="D37" s="10">
        <v>506</v>
      </c>
      <c r="E37" s="10">
        <f t="shared" si="2"/>
        <v>1012</v>
      </c>
      <c r="F37" s="10" t="s">
        <v>26</v>
      </c>
      <c r="G37" s="10">
        <f>989+992+1002+1004+1005+1010+1012+1010+505+0+986+1018+960+917+852+830+1009+916+709+730+841+992+999+1004+1013+1012</f>
        <v>23317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0+0+0+0+0+0+0+0+0+0+0+0+0+0+0+0+0+0+0+0+0+0+0+0+0+0</f>
        <v>0</v>
      </c>
      <c r="H38" s="22"/>
      <c r="I38" s="7">
        <v>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0+0+0+0+0+0+0+0+0+0+0+0+0+0+0+0+0+0+0+0+0+0+0+0+0+0</f>
        <v>0</v>
      </c>
      <c r="H39" s="22"/>
      <c r="I39" s="7">
        <v>62.5392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0</v>
      </c>
      <c r="D40" s="7">
        <v>3</v>
      </c>
      <c r="E40" s="10">
        <f>D40+C40</f>
        <v>3</v>
      </c>
      <c r="F40" s="10" t="s">
        <v>36</v>
      </c>
      <c r="G40" s="10">
        <f>7+3+2+2+3+2+2+4+2+0+2+2+2+5+0+5+2+1+4+4+5+4+3+4+4+3</f>
        <v>77</v>
      </c>
      <c r="H40" s="22"/>
      <c r="I40" s="10"/>
      <c r="J40" s="35"/>
      <c r="K40" s="27"/>
      <c r="L40" s="19" t="s">
        <v>66</v>
      </c>
      <c r="M40" s="7">
        <v>50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E6" sqref="E6:E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5.5</v>
      </c>
      <c r="E3" s="10">
        <f t="shared" ref="E3:E13" si="0">C3+D3</f>
        <v>10</v>
      </c>
      <c r="F3" s="10" t="s">
        <v>14</v>
      </c>
      <c r="G3" s="10">
        <f>9+18+11+3.5+13+14.5+7+8.5+0+0+5+11+11.5+12+14+10.5+6+16.5+13.5+12+12.5+7+15+14+11.5+5.5+10</f>
        <v>272</v>
      </c>
      <c r="H3" s="10">
        <v>320</v>
      </c>
      <c r="I3" s="10">
        <f>H3-G3</f>
        <v>48</v>
      </c>
      <c r="J3" s="11"/>
      <c r="K3" s="10"/>
      <c r="L3" s="10"/>
      <c r="M3" s="10">
        <f>I3/4</f>
        <v>12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6+8+18+12+2+14+14+8+8+0+0+0+16+12+12+14+10+6+16+14+12+12+8+14+14+12+6</f>
        <v>268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0+0+0+0+0+0+0+0+0+0+0+0+0+0+0+0+0+0+0+0+0+0+0+0+0+0+0</f>
        <v>0</v>
      </c>
      <c r="H5" s="10">
        <v>4836</v>
      </c>
      <c r="I5" s="10">
        <f>H5-G5-G7-G6</f>
        <v>1045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87</v>
      </c>
      <c r="D6" s="10">
        <v>83</v>
      </c>
      <c r="E6" s="10">
        <f t="shared" si="0"/>
        <v>170</v>
      </c>
      <c r="F6" s="10" t="s">
        <v>14</v>
      </c>
      <c r="G6" s="10">
        <f>202+207+88+172+159+138+147+19+0+0+187+126+145+167+168+66+168+191+178+185+105+184+174+196+132+103+170</f>
        <v>3777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2</v>
      </c>
      <c r="E7" s="10">
        <f t="shared" si="0"/>
        <v>2</v>
      </c>
      <c r="F7" s="10" t="s">
        <v>14</v>
      </c>
      <c r="G7" s="10">
        <f>0+0+2+2+0+0+0+0+0+0+1+2+0+0+0+0+0+0+0+0+0+1+2+1+1+0+2</f>
        <v>14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0+30.27+0+35.09+29.27+20.26+29.69+32+29.79+20.98+0+0+0+0+0+0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0+0+0+30.28+30.9+31.12+30.64+30.8+0+0+0+0+0+31+31.12+0+0+0+0+0+0+0+30.64+0+31.13+30.9+0</f>
        <v>308.53</v>
      </c>
      <c r="H10" s="13">
        <v>5.91</v>
      </c>
      <c r="I10" s="13">
        <f>H10-K11</f>
        <v>3.194988</v>
      </c>
      <c r="J10" s="19" t="s">
        <v>21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5.0355</v>
      </c>
      <c r="D11" s="10">
        <v>1.458</v>
      </c>
      <c r="E11" s="10">
        <f t="shared" si="0"/>
        <v>6.4935</v>
      </c>
      <c r="F11" s="10" t="s">
        <v>14</v>
      </c>
      <c r="G11" s="10">
        <f>10.7865+8.2215+8.424+5.8185+6.1695+10.746+6.7095+8.181+3.699+0+4.8195+9.045+7.9515+10.395+12.15+9.153+6.426+8.9235+9.72+5.3595+9.2745+7.695+9.0315+7.263+8.289+3.7665+6.4935</f>
        <v>204.5115</v>
      </c>
      <c r="H11" s="10"/>
      <c r="I11" s="10">
        <f>G11/(G3*0.1865)</f>
        <v>4.03153090995111</v>
      </c>
      <c r="J11" s="19" t="s">
        <v>23</v>
      </c>
      <c r="K11" s="20">
        <f>0+0+0+0.269492+0.28119+0.283192+0.29108+0.26488+0+0+0+0+0+0.2542+0.261408+0+0+0+0+0+0+0+0.24512+0+0.28017+0.28428+0</f>
        <v>2.715012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4.9864</v>
      </c>
      <c r="D12" s="10">
        <v>0</v>
      </c>
      <c r="E12" s="10">
        <f t="shared" si="0"/>
        <v>4.9864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13.1744+10.1568+16.4312+5.5016+16.1552+10.7272+10.5064+12.8616+0+0+16.192+8.1696+8.7584+13.2112+14.4624+13.0456+12.88+7.8752+13.0824+11.9784+14.628+13.2664+14.5728+9.2+13.708+10.2856+4.9864</f>
        <v>295.8168</v>
      </c>
      <c r="H12" s="10"/>
      <c r="I12" s="10">
        <f>G12/(G3*0.1865)</f>
        <v>5.83143037375808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199</v>
      </c>
      <c r="D13" s="10">
        <v>184</v>
      </c>
      <c r="E13" s="10">
        <f t="shared" si="0"/>
        <v>383</v>
      </c>
      <c r="F13" s="10" t="s">
        <v>26</v>
      </c>
      <c r="G13" s="10">
        <f>443+417+312+276+343+347+336+201+1+10+307+298+333+389+385+240+323+429+406+352+486+214+415+403+311+189+383</f>
        <v>8549</v>
      </c>
      <c r="H13" s="10">
        <f>G13*1.05</f>
        <v>8976.45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195</v>
      </c>
      <c r="D14" s="10">
        <v>186</v>
      </c>
      <c r="E14" s="10">
        <f t="shared" ref="E14:E23" si="1">D14+C14</f>
        <v>381</v>
      </c>
      <c r="F14" s="10" t="s">
        <v>26</v>
      </c>
      <c r="G14" s="10">
        <f>438+425+240+208+350+389+291+195+0+0+217+316+376+372+411+285+279+460+416+356+388+200+426+430+309+148+381</f>
        <v>8306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304.41</v>
      </c>
      <c r="D15" s="10">
        <v>438.18</v>
      </c>
      <c r="E15" s="10">
        <f t="shared" si="1"/>
        <v>742.59</v>
      </c>
      <c r="F15" s="10" t="s">
        <v>26</v>
      </c>
      <c r="G15" s="10">
        <f>882.29+802.31+278.08+840.07+583.23+645.45+671.67+316.57+56.84+0+646.55+666.14+750.89+763.63+739.4+654.72+761.1+817.17+829.44+869.19+821.66+882.71+814.56+819.18+775.69+498.89+742.59</f>
        <v>17930.02</v>
      </c>
      <c r="H15" s="10"/>
      <c r="I15" s="10"/>
      <c r="J15" s="19" t="s">
        <v>29</v>
      </c>
      <c r="K15" s="10">
        <v>2.91</v>
      </c>
      <c r="L15" s="10">
        <v>2.9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12</v>
      </c>
      <c r="D16" s="10">
        <v>15</v>
      </c>
      <c r="E16" s="10">
        <f t="shared" si="1"/>
        <v>27</v>
      </c>
      <c r="F16" s="10" t="s">
        <v>14</v>
      </c>
      <c r="G16" s="10">
        <f>33+33+21+19+24+30+24+15+0+0+12+27+30+29+30+18+28+36+33+27+30+15+33+30+24+13+27</f>
        <v>641</v>
      </c>
      <c r="H16" s="10"/>
      <c r="I16" s="10">
        <f>G16/(G3*0.1865)</f>
        <v>12.6360195552752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2.6778576+2.4526005+0.9556818+2.9003541+1.8362639+1.9624667+1.9542698+1.0088616+0.164836+0+1.946265+2.032509+2.3535519+2.3066109+2.322123+2.0371824+2.4640206+2.5366125+2.6013528+2.8090777+2.5527834+2.7351996+2.6281379+2.6250349+2.4517969+1.5016589+2.1565551</f>
        <v>55.9736645</v>
      </c>
      <c r="L16" s="10"/>
      <c r="M16" s="10">
        <f>(C15*K15+L15*D15)/1000</f>
        <v>2.1565551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0+0+0.15+0.0375+0.0375+0+0.075+0+0+0+0.025+0.0875+0+0.0375+0+0+0+0+0+0+0.15+0+0.0375+0+0.0375+0.0375+0</f>
        <v>0.7125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1.7+1.7+0+1.7+2.55+1.6+1.6+1.6+0.8+0+0+0+0+0+0+0</f>
        <v>13.25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2+0+2+0+2+0+0+2+0+0+0+2+0+2+0+2+0+2+0+2+2+2+2+0+2+0+2</f>
        <v>28</v>
      </c>
      <c r="H19" s="22"/>
      <c r="I19" s="10">
        <f>G19/(G3*0.1865)</f>
        <v>0.551963412710929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2+0+2+0+2+0+0+2+0+0+0+2+0+2+0+2+0+2+0+2+2+2+2+0+2+0+2</f>
        <v>28</v>
      </c>
      <c r="H20" s="22"/>
      <c r="I20" s="10">
        <f>G20/(G3*0.1865)</f>
        <v>0.551963412710929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1</v>
      </c>
      <c r="D21" s="7">
        <v>4</v>
      </c>
      <c r="E21" s="10">
        <f t="shared" si="1"/>
        <v>5</v>
      </c>
      <c r="F21" s="10" t="s">
        <v>36</v>
      </c>
      <c r="G21" s="10">
        <f>7+8+3+10+2+6+5+7+0+0+7+5+7+4+10+2+6+8+6+10+8+2+5+8+6+7+5</f>
        <v>154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532</v>
      </c>
      <c r="D22" s="7">
        <v>524</v>
      </c>
      <c r="E22" s="10">
        <f t="shared" si="1"/>
        <v>1056</v>
      </c>
      <c r="F22" s="10" t="s">
        <v>26</v>
      </c>
      <c r="G22" s="10">
        <f>1327+1206+823+1176+1139+893+852+349+5+72+1152+814+1055+1028+1022+607+1025+1132+1089+1063+809+1173+1191+1098+855+698+1056</f>
        <v>24709</v>
      </c>
      <c r="H22" s="23"/>
      <c r="I22" s="10">
        <f>E22/M22</f>
        <v>44</v>
      </c>
      <c r="J22" s="19" t="s">
        <v>38</v>
      </c>
      <c r="K22" s="10">
        <f>24+24+13.5+24+24+18.5+18+5+0+0+23.5+18.5+24+24+24+13+17+24+24+24+16+22+24+24+17+14+24</f>
        <v>508</v>
      </c>
      <c r="L22" s="10">
        <f>G22/K22</f>
        <v>48.6397637795276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685</v>
      </c>
      <c r="D23" s="7">
        <v>677</v>
      </c>
      <c r="E23" s="10">
        <f t="shared" si="1"/>
        <v>1362</v>
      </c>
      <c r="F23" s="10" t="s">
        <v>26</v>
      </c>
      <c r="G23" s="10">
        <f>1719+1515+850+1201+1277+1135+1069+417+11+221+1450+1071+1220+1379+1315+775+1281+1264+1368+1319+1078+1322+1554+1440+1010+774+1362</f>
        <v>30397</v>
      </c>
      <c r="H23" s="22"/>
      <c r="I23" s="10">
        <f>E23/M22</f>
        <v>56.75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33.27</v>
      </c>
      <c r="D24" s="12">
        <v>31.12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149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154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150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154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155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156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9.8+0+0+0+0+0+0+0+0+0+0+0+0+0+0+10.59+0+0+0+0+10.37+0+0+0+0+0+0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</v>
      </c>
      <c r="D32" s="10">
        <v>6.26</v>
      </c>
      <c r="E32" s="10">
        <f t="shared" si="2"/>
        <v>12.56</v>
      </c>
      <c r="F32" s="10" t="s">
        <v>26</v>
      </c>
      <c r="G32" s="10">
        <f>12.69+12.67+6.3+12.55+6.29+6.25+6.24+12.64+6.33+0+6.37+6.39+12.58+12.65+6.22+12.58+12.6+6.27+12.62+12.53+12.55+12.67+12.77+12.71+12.72+12.62+12.56</f>
        <v>271.37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5</v>
      </c>
      <c r="D33" s="10">
        <v>8</v>
      </c>
      <c r="E33" s="10">
        <f t="shared" si="2"/>
        <v>13</v>
      </c>
      <c r="F33" s="10" t="s">
        <v>26</v>
      </c>
      <c r="G33" s="10">
        <f>10+55+18+25+26.23+21+27+53+14+0+61+28+41.85+20+16+20+23+29+43+17+16+12+31+28+39+17+13</f>
        <v>704.08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10.152</v>
      </c>
      <c r="D34" s="10">
        <v>0</v>
      </c>
      <c r="E34" s="10">
        <f t="shared" si="2"/>
        <v>10.152</v>
      </c>
      <c r="F34" s="10" t="s">
        <v>14</v>
      </c>
      <c r="G34" s="10">
        <f>7.803+0+7.776+0+11.2725+0+0+0+9.855+0+0+0+0+9.72+0+4.887+11.016+0+0+8.0325+6.7635+0+12.1635+0+5.3325+7.56+10.152</f>
        <v>112.3335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26</v>
      </c>
      <c r="D36" s="10">
        <v>0</v>
      </c>
      <c r="E36" s="10">
        <f t="shared" si="2"/>
        <v>26</v>
      </c>
      <c r="F36" s="10" t="s">
        <v>26</v>
      </c>
      <c r="G36" s="10">
        <f>0+66+481+0+0+0+0+0+0+0+4+22+593+343+0+0+0+0+0+0+0+0+0+0+0+0+26</f>
        <v>1535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507</v>
      </c>
      <c r="D37" s="10">
        <v>506</v>
      </c>
      <c r="E37" s="10">
        <f t="shared" si="2"/>
        <v>1013</v>
      </c>
      <c r="F37" s="10" t="s">
        <v>26</v>
      </c>
      <c r="G37" s="10">
        <f>989+992+1002+1004+1005+1010+1012+1010+505+0+986+1018+960+917+852+830+1009+916+709+730+841+992+999+1004+1013+1012+1013</f>
        <v>24330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0+0+0+0+0+0+0+0+0+0+0+0+0+0+0+0+0+0+0+0+0+0+0+0+0+0+0</f>
        <v>0</v>
      </c>
      <c r="H38" s="22"/>
      <c r="I38" s="7">
        <v>180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0+0+0+0+0+0+0+0+0+0+0+0+0+0+0+0+0+0+0+0+0+0+0+0+0+0+0</f>
        <v>0</v>
      </c>
      <c r="H39" s="22"/>
      <c r="I39" s="7">
        <v>59.9334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2</v>
      </c>
      <c r="D40" s="7">
        <v>3</v>
      </c>
      <c r="E40" s="10">
        <f>D40+C40</f>
        <v>5</v>
      </c>
      <c r="F40" s="10" t="s">
        <v>36</v>
      </c>
      <c r="G40" s="10">
        <f>7+3+2+2+3+2+2+4+2+0+2+2+2+5+0+5+2+1+4+4+5+4+3+4+4+3+5</f>
        <v>82</v>
      </c>
      <c r="H40" s="22"/>
      <c r="I40" s="10"/>
      <c r="J40" s="35"/>
      <c r="K40" s="27"/>
      <c r="L40" s="19" t="s">
        <v>66</v>
      </c>
      <c r="M40" s="7">
        <v>55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</v>
      </c>
      <c r="D3" s="9">
        <v>5.5</v>
      </c>
      <c r="E3" s="10">
        <f t="shared" ref="E3:E13" si="0">C3+D3</f>
        <v>12.5</v>
      </c>
      <c r="F3" s="10" t="s">
        <v>14</v>
      </c>
      <c r="G3" s="10">
        <f>9+18+11+3.5+13+14.5+7+8.5+0+0+5+11+11.5+12+14+10.5+6+16.5+13.5+12+12.5+7+15+14+11.5+5.5+10+12.5</f>
        <v>284.5</v>
      </c>
      <c r="H3" s="10">
        <v>320</v>
      </c>
      <c r="I3" s="10">
        <f>H3-G3</f>
        <v>35.5</v>
      </c>
      <c r="J3" s="11"/>
      <c r="K3" s="10"/>
      <c r="L3" s="10"/>
      <c r="M3" s="10">
        <f>I3/3</f>
        <v>11.8333333333333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6+8+18+12+2+14+14+8+8+0+0+0+16+12+12+14+10+6+16+14+12+12+8+14+14+12+6+10</f>
        <v>278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0+0+0+0+0+0+0+0+0+0+0+0+0+0+0+0+0+0+0+0+0+0+0+0+0+0+0+0</f>
        <v>0</v>
      </c>
      <c r="H5" s="10">
        <v>4836</v>
      </c>
      <c r="I5" s="10">
        <f>H5-G5-G7-G6</f>
        <v>872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92</v>
      </c>
      <c r="D6" s="10">
        <v>81</v>
      </c>
      <c r="E6" s="10">
        <f t="shared" si="0"/>
        <v>173</v>
      </c>
      <c r="F6" s="10" t="s">
        <v>14</v>
      </c>
      <c r="G6" s="10">
        <f>202+207+88+172+159+138+147+19+0+0+187+126+145+167+168+66+168+191+178+185+105+184+174+196+132+103+170+173</f>
        <v>3950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0+0+2+2+0+0+0+0+0+0+1+2+0+0+0+0+0+0+0+0+0+1+2+1+1+0+2+0</f>
        <v>14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0+30.27+0+35.09+29.27+20.26+29.69+32+29.79+20.98+0+0+0+0+0+0+0</f>
        <v>227.35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0+0+0+30.28+30.9+31.12+30.64+30.8+0+0+0+0+0+31+31.12+0+0+0+0+0+0+0+30.64+0+31.13+30.9+0+0</f>
        <v>308.53</v>
      </c>
      <c r="H10" s="13">
        <v>5.91</v>
      </c>
      <c r="I10" s="13">
        <f>H10-K11</f>
        <v>3.194988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4.86</v>
      </c>
      <c r="D11" s="10">
        <v>1.62</v>
      </c>
      <c r="E11" s="10">
        <f t="shared" si="0"/>
        <v>6.48</v>
      </c>
      <c r="F11" s="10" t="s">
        <v>14</v>
      </c>
      <c r="G11" s="10">
        <f>10.7865+8.2215+8.424+5.8185+6.1695+10.746+6.7095+8.181+3.699+0+4.8195+9.045+7.9515+10.395+12.15+9.153+6.426+8.9235+9.72+5.3595+9.2745+7.695+9.0315+7.263+8.289+3.7665+6.4935+6.48</f>
        <v>210.9915</v>
      </c>
      <c r="H11" s="10"/>
      <c r="I11" s="10">
        <f>G11/(G3*0.1865)</f>
        <v>3.97652624188996</v>
      </c>
      <c r="J11" s="19" t="s">
        <v>23</v>
      </c>
      <c r="K11" s="20">
        <f>0+0+0+0.269492+0.28119+0.283192+0.29108+0.26488+0+0+0+0+0+0.2542+0.261408+0+0+0+0+0+0+0+0.24512+0+0.28017+0.28428+0+0</f>
        <v>2.715012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12.1256</v>
      </c>
      <c r="D12" s="10">
        <v>0</v>
      </c>
      <c r="E12" s="10">
        <f t="shared" si="0"/>
        <v>12.1256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13.1744+10.1568+16.4312+5.5016+16.1552+10.7272+10.5064+12.8616+0+0+16.192+8.1696+8.7584+13.2112+14.4624+13.0456+12.88+7.8752+13.0824+11.9784+14.628+13.2664+14.5728+9.2+13.708+10.2856+4.9864+12.1256</f>
        <v>307.9424</v>
      </c>
      <c r="H12" s="10"/>
      <c r="I12" s="10">
        <f>G12/(G3*0.1865)</f>
        <v>5.80374581246437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205</v>
      </c>
      <c r="D13" s="10">
        <v>244</v>
      </c>
      <c r="E13" s="10">
        <f t="shared" si="0"/>
        <v>449</v>
      </c>
      <c r="F13" s="10" t="s">
        <v>26</v>
      </c>
      <c r="G13" s="10">
        <f>443+417+312+276+343+347+336+201+1+10+307+298+333+389+385+240+323+429+406+352+486+214+415+403+311+189+383+449</f>
        <v>8998</v>
      </c>
      <c r="H13" s="10">
        <f>G13*1.05</f>
        <v>9447.9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195</v>
      </c>
      <c r="D14" s="10">
        <v>193</v>
      </c>
      <c r="E14" s="10">
        <f t="shared" ref="E14:E23" si="1">D14+C14</f>
        <v>388</v>
      </c>
      <c r="F14" s="10" t="s">
        <v>26</v>
      </c>
      <c r="G14" s="10">
        <f>438+425+240+208+350+389+291+195+0+0+217+316+376+372+411+285+279+460+416+356+388+200+426+430+309+148+381+388</f>
        <v>8694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456.25</v>
      </c>
      <c r="D15" s="10">
        <v>417.87</v>
      </c>
      <c r="E15" s="10">
        <f t="shared" si="1"/>
        <v>874.12</v>
      </c>
      <c r="F15" s="10" t="s">
        <v>26</v>
      </c>
      <c r="G15" s="10">
        <f>882.29+802.31+278.08+840.07+583.23+645.45+671.67+316.57+56.84+0+646.55+666.14+750.89+763.63+739.4+654.72+761.1+817.17+829.44+869.19+821.66+882.71+814.56+819.18+775.69+498.89+742.59+874.12</f>
        <v>18804.14</v>
      </c>
      <c r="H15" s="10"/>
      <c r="I15" s="10"/>
      <c r="J15" s="19" t="s">
        <v>29</v>
      </c>
      <c r="K15" s="10">
        <v>3.08</v>
      </c>
      <c r="L15" s="10">
        <v>3.15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33+33+21+19+24+30+24+15+0+0+12+27+30+29+30+18+28+36+33+27+30+15+33+30+24+13+27+30</f>
        <v>671</v>
      </c>
      <c r="H16" s="10"/>
      <c r="I16" s="10">
        <f>G16/(G3*0.1865)</f>
        <v>12.6462398168086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2.6778576+2.4526005+0.9556818+2.9003541+1.8362639+1.9624667+1.9542698+1.0088616+0.164836+0+1.946265+2.032509+2.3535519+2.3066109+2.322123+2.0371824+2.4640206+2.5366125+2.6013528+2.8090777+2.5527834+2.7351996+2.6281379+2.6250349+2.4517969+1.5016589+2.1565551+2.7215405</f>
        <v>58.695205</v>
      </c>
      <c r="L16" s="10"/>
      <c r="M16" s="10">
        <f>(C15*K15+L15*D15)/1000</f>
        <v>2.7215405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0+0+0.15+0.0375+0.0375+0+0.075+0+0+0+0.025+0.0875+0+0.0375+0+0+0+0+0+0+0.15+0+0.0375+0+0.0375+0.0375+0+0</f>
        <v>0.7125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1.6</v>
      </c>
      <c r="E18" s="10">
        <f t="shared" si="1"/>
        <v>1.6</v>
      </c>
      <c r="F18" s="10" t="s">
        <v>14</v>
      </c>
      <c r="G18" s="10">
        <f>1.7+1.7+0+1.7+2.55+1.6+1.6+1.6+0.8+0+0+0+0+0+0+0+1.6</f>
        <v>14.85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2+0+2+0+2+0+0+2+0+0+0+2+0+2+0+2+0+2+0+2+2+2+2+0+2+0+2+0</f>
        <v>28</v>
      </c>
      <c r="H19" s="22"/>
      <c r="I19" s="10">
        <f>G19/(G3*0.1865)</f>
        <v>0.527711944665633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2+0+2+0+2+0+0+2+0+0+0+2+0+2+0+2+0+2+0+2+2+2+2+0+2+0+2+0</f>
        <v>28</v>
      </c>
      <c r="H20" s="22"/>
      <c r="I20" s="10">
        <f>G20/(G3*0.1865)</f>
        <v>0.527711944665633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5</v>
      </c>
      <c r="D21" s="7">
        <v>1</v>
      </c>
      <c r="E21" s="10">
        <f t="shared" si="1"/>
        <v>6</v>
      </c>
      <c r="F21" s="10" t="s">
        <v>36</v>
      </c>
      <c r="G21" s="10">
        <f>7+8+3+10+2+6+5+7+0+0+7+5+7+4+10+2+6+8+6+10+8+2+5+8+6+7+5+6</f>
        <v>160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553</v>
      </c>
      <c r="D22" s="7">
        <v>489</v>
      </c>
      <c r="E22" s="10">
        <f t="shared" si="1"/>
        <v>1042</v>
      </c>
      <c r="F22" s="10" t="s">
        <v>26</v>
      </c>
      <c r="G22" s="10">
        <f>1327+1206+823+1176+1139+893+852+349+5+72+1152+814+1055+1028+1022+607+1025+1132+1089+1063+809+1173+1191+1098+855+698+1056+1042</f>
        <v>25751</v>
      </c>
      <c r="H22" s="23"/>
      <c r="I22" s="10">
        <f>E22/M22</f>
        <v>46.3111111111111</v>
      </c>
      <c r="J22" s="19" t="s">
        <v>38</v>
      </c>
      <c r="K22" s="10">
        <f>24+24+13.5+24+24+18.5+18+5+0+0+23.5+18.5+24+24+24+13+17+24+24+24+16+22+24+24+17+14+24+22.5</f>
        <v>530.5</v>
      </c>
      <c r="L22" s="10">
        <f>G22/K22</f>
        <v>48.5409990574929</v>
      </c>
      <c r="M22" s="10">
        <v>22.5</v>
      </c>
    </row>
    <row r="23" s="1" customFormat="1" ht="25" customHeight="1" spans="1:13">
      <c r="A23" s="12">
        <v>18</v>
      </c>
      <c r="B23" s="8" t="s">
        <v>39</v>
      </c>
      <c r="C23" s="7">
        <v>732</v>
      </c>
      <c r="D23" s="7">
        <v>628</v>
      </c>
      <c r="E23" s="10">
        <f t="shared" si="1"/>
        <v>1360</v>
      </c>
      <c r="F23" s="10" t="s">
        <v>26</v>
      </c>
      <c r="G23" s="10">
        <f>1719+1515+850+1201+1277+1135+1069+417+11+221+1450+1071+1220+1379+1315+775+1281+1264+1368+1319+1078+1322+1554+1440+1010+774+1362+1360</f>
        <v>31757</v>
      </c>
      <c r="H23" s="22"/>
      <c r="I23" s="10">
        <f>E23/M22</f>
        <v>60.4444444444444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32.65</v>
      </c>
      <c r="D24" s="12">
        <v>33.06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154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158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154</v>
      </c>
      <c r="D26" s="28"/>
      <c r="E26" s="28"/>
      <c r="F26" s="28"/>
      <c r="G26" s="28"/>
      <c r="H26" s="29"/>
      <c r="I26" s="30" t="s">
        <v>80</v>
      </c>
      <c r="J26" s="26" t="s">
        <v>49</v>
      </c>
      <c r="K26" s="27" t="s">
        <v>159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160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161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9.8+0+0+0+0+0+0+0+0+0+0+0+0+0+0+10.59+0+0+0+0+10.37+0+0+0+0+0+0+0</f>
        <v>30.76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6.26</v>
      </c>
      <c r="D32" s="10">
        <v>6.25</v>
      </c>
      <c r="E32" s="10">
        <f t="shared" si="2"/>
        <v>12.51</v>
      </c>
      <c r="F32" s="10" t="s">
        <v>26</v>
      </c>
      <c r="G32" s="10">
        <f>12.69+12.67+6.3+12.55+6.29+6.25+6.24+12.64+6.33+0+6.37+6.39+12.58+12.65+6.22+12.58+12.6+6.27+12.62+12.53+12.55+12.67+12.77+12.71+12.72+12.62+12.56+12.51</f>
        <v>283.88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33</v>
      </c>
      <c r="D33" s="10">
        <v>6</v>
      </c>
      <c r="E33" s="10">
        <f t="shared" si="2"/>
        <v>39</v>
      </c>
      <c r="F33" s="10" t="s">
        <v>26</v>
      </c>
      <c r="G33" s="10">
        <f>10+55+18+25+26.23+21+27+53+14+0+61+28+41.85+20+16+20+23+29+43+17+16+12+31+28+39+17+13+39</f>
        <v>743.08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7.803+0+7.776+0+11.2725+0+0+0+9.855+0+0+0+0+9.72+0+4.887+11.016+0+0+8.0325+6.7635+0+12.1635+0+5.3325+7.56+10.152+0</f>
        <v>112.3335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123</v>
      </c>
      <c r="D36" s="10">
        <v>285</v>
      </c>
      <c r="E36" s="10">
        <f t="shared" si="2"/>
        <v>408</v>
      </c>
      <c r="F36" s="10" t="s">
        <v>26</v>
      </c>
      <c r="G36" s="10">
        <f>0+66+481+0+0+0+0+0+0+0+4+22+593+343+0+0+0+0+0+0+0+0+0+0+0+0+26+408</f>
        <v>1943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506</v>
      </c>
      <c r="D37" s="10">
        <v>479</v>
      </c>
      <c r="E37" s="10">
        <f t="shared" si="2"/>
        <v>985</v>
      </c>
      <c r="F37" s="10" t="s">
        <v>26</v>
      </c>
      <c r="G37" s="10">
        <f>989+992+1002+1004+1005+1010+1012+1010+505+0+986+1018+960+917+852+830+1009+916+709+730+841+992+999+1004+1013+1012+1013+985</f>
        <v>25315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0+0+0+0+0+0+0+0+0+0+0+0+0+0+0+0+0+0+0+0+0+0+0+0+0+0+0+0</f>
        <v>0</v>
      </c>
      <c r="H38" s="22"/>
      <c r="I38" s="7">
        <v>300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0+0+0+0+0+0+0+0+0+0+0+0+0+0+0+0+0+0+0+0+0+0+0+0+0+0+0+0</f>
        <v>0</v>
      </c>
      <c r="H39" s="22"/>
      <c r="I39" s="7">
        <v>63.4078</v>
      </c>
      <c r="J39" s="35"/>
      <c r="K39" s="37"/>
      <c r="L39" s="19" t="s">
        <v>112</v>
      </c>
      <c r="M39" s="7">
        <v>16</v>
      </c>
    </row>
    <row r="40" s="1" customFormat="1" ht="25" customHeight="1" spans="1:13">
      <c r="A40" s="7">
        <v>10</v>
      </c>
      <c r="B40" s="8" t="s">
        <v>65</v>
      </c>
      <c r="C40" s="7">
        <v>5</v>
      </c>
      <c r="D40" s="7">
        <v>4</v>
      </c>
      <c r="E40" s="10">
        <f>D40+C40</f>
        <v>9</v>
      </c>
      <c r="F40" s="10" t="s">
        <v>36</v>
      </c>
      <c r="G40" s="10">
        <f>7+3+2+2+3+2+2+4+2+0+2+2+2+5+0+5+2+1+4+4+5+4+3+4+4+3+5+9</f>
        <v>91</v>
      </c>
      <c r="H40" s="22"/>
      <c r="I40" s="10"/>
      <c r="J40" s="35"/>
      <c r="K40" s="27"/>
      <c r="L40" s="19" t="s">
        <v>66</v>
      </c>
      <c r="M40" s="7">
        <v>64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P1" sqref="P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7.5</v>
      </c>
      <c r="E3" s="10">
        <f t="shared" ref="E3:E13" si="0">C3+D3</f>
        <v>14</v>
      </c>
      <c r="F3" s="10" t="s">
        <v>14</v>
      </c>
      <c r="G3" s="10">
        <f>9+18+11+3.5+13+14.5+7+8.5+0+0+5+11+11.5+12+14+10.5+6+16.5+13.5+12+12.5+7+15+14+11.5+5.5+10+12.5+14</f>
        <v>298.5</v>
      </c>
      <c r="H3" s="10">
        <v>320</v>
      </c>
      <c r="I3" s="10">
        <f>H3-G3</f>
        <v>21.5</v>
      </c>
      <c r="J3" s="11"/>
      <c r="K3" s="10"/>
      <c r="L3" s="10"/>
      <c r="M3" s="10">
        <f>I3/2</f>
        <v>10.75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6+8+18+12+2+14+14+8+8+0+0+0+16+12+12+14+10+6+16+14+12+12+8+14+14+12+6+10+12</f>
        <v>290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0+0+0+0+0+0+0+0+0+0+0+0+0+0+0+0+0+0+0+0+0+0+0+0+0+0+0+0+0</f>
        <v>0</v>
      </c>
      <c r="H5" s="10">
        <v>4836</v>
      </c>
      <c r="I5" s="10">
        <f>H5-G5-G7-G6</f>
        <v>751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13</v>
      </c>
      <c r="D6" s="10">
        <v>108</v>
      </c>
      <c r="E6" s="10">
        <f t="shared" si="0"/>
        <v>121</v>
      </c>
      <c r="F6" s="10" t="s">
        <v>14</v>
      </c>
      <c r="G6" s="10">
        <f>202+207+88+172+159+138+147+19+0+0+187+126+145+167+168+66+168+191+178+185+105+184+174+196+132+103+170+173+121</f>
        <v>4071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0+0+2+2+0+0+0+0+0+0+1+2+0+0+0+0+0+0+0+0+0+1+2+1+1+0+2+0+0</f>
        <v>14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28.2</v>
      </c>
      <c r="D9" s="13"/>
      <c r="E9" s="10">
        <f t="shared" si="0"/>
        <v>28.2</v>
      </c>
      <c r="F9" s="13" t="s">
        <v>14</v>
      </c>
      <c r="G9" s="10">
        <f>0+30.27+0+35.09+29.27+20.26+29.69+32+29.79+20.98+0+0+0+0+0+0+0+28.2</f>
        <v>255.55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0+0+0+30.28+30.9+31.12+30.64+30.8+0+0+0+0+0+31+31.12+0+0+0+0+0+0+0+30.64+0+31.13+30.9+0+0+0</f>
        <v>308.53</v>
      </c>
      <c r="H10" s="13">
        <v>5.91</v>
      </c>
      <c r="I10" s="13">
        <f>H10-K11</f>
        <v>3.194988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3.9825</v>
      </c>
      <c r="D11" s="10">
        <v>4.779</v>
      </c>
      <c r="E11" s="10">
        <f t="shared" si="0"/>
        <v>8.7615</v>
      </c>
      <c r="F11" s="10" t="s">
        <v>14</v>
      </c>
      <c r="G11" s="10">
        <f>10.7865+8.2215+8.424+5.8185+6.1695+10.746+6.7095+8.181+3.699+0+4.8195+9.045+7.9515+10.395+12.15+9.153+6.426+8.9235+9.72+5.3595+9.2745+7.695+9.0315+7.263+8.289+3.7665+6.4935+6.48+8.7615</f>
        <v>219.753</v>
      </c>
      <c r="H11" s="10"/>
      <c r="I11" s="10">
        <f>G11/(G3*0.1865)</f>
        <v>3.9474045832379</v>
      </c>
      <c r="J11" s="19" t="s">
        <v>23</v>
      </c>
      <c r="K11" s="20">
        <f>0+0+0+0.269492+0.28119+0.283192+0.29108+0.26488+0+0+0+0+0+0.2542+0.261408+0+0+0+0+0+0+0+0.24512+0+0.28017+0.28428+0+0+0</f>
        <v>2.715012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33.1568</v>
      </c>
      <c r="D12" s="10">
        <v>0</v>
      </c>
      <c r="E12" s="10">
        <f t="shared" si="0"/>
        <v>33.1568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13.1744+10.1568+16.4312+5.5016+16.1552+10.7272+10.5064+12.8616+0+0+16.192+8.1696+8.7584+13.2112+14.4624+13.0456+12.88+7.8752+13.0824+11.9784+14.628+13.2664+14.5728+9.2+13.708+10.2856+4.9864+12.1256+33.1568</f>
        <v>341.0992</v>
      </c>
      <c r="H12" s="10"/>
      <c r="I12" s="10">
        <f>G12/(G3*0.1865)</f>
        <v>6.12713612746485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84</v>
      </c>
      <c r="D13" s="10">
        <v>173</v>
      </c>
      <c r="E13" s="10">
        <f t="shared" si="0"/>
        <v>257</v>
      </c>
      <c r="F13" s="10" t="s">
        <v>26</v>
      </c>
      <c r="G13" s="10">
        <f>443+417+312+276+343+347+336+201+1+10+307+298+333+389+385+240+323+429+406+352+486+214+415+403+311+189+383+449+257</f>
        <v>9255</v>
      </c>
      <c r="H13" s="10">
        <f>G13*1.05</f>
        <v>9717.75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199</v>
      </c>
      <c r="D14" s="10">
        <v>185</v>
      </c>
      <c r="E14" s="10">
        <f t="shared" ref="E14:E23" si="1">D14+C14</f>
        <v>384</v>
      </c>
      <c r="F14" s="10" t="s">
        <v>26</v>
      </c>
      <c r="G14" s="10">
        <f>438+425+240+208+350+389+291+195+0+0+217+316+376+372+411+285+279+460+416+356+388+200+426+430+309+148+381+388+384</f>
        <v>9078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424.39</v>
      </c>
      <c r="D15" s="10">
        <v>365.73</v>
      </c>
      <c r="E15" s="10">
        <f t="shared" si="1"/>
        <v>790.12</v>
      </c>
      <c r="F15" s="10" t="s">
        <v>26</v>
      </c>
      <c r="G15" s="10">
        <f>882.29+802.31+278.08+840.07+583.23+645.45+671.67+316.57+56.84+0+646.55+666.14+750.89+763.63+739.4+654.72+761.1+817.17+829.44+869.19+821.66+882.71+814.56+819.18+775.69+498.89+742.59+874.12+790.12</f>
        <v>19594.26</v>
      </c>
      <c r="H15" s="10"/>
      <c r="I15" s="10"/>
      <c r="J15" s="19" t="s">
        <v>29</v>
      </c>
      <c r="K15" s="10">
        <v>2.63</v>
      </c>
      <c r="L15" s="10">
        <v>2.96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15</v>
      </c>
      <c r="D16" s="10">
        <v>12</v>
      </c>
      <c r="E16" s="10">
        <f t="shared" si="1"/>
        <v>27</v>
      </c>
      <c r="F16" s="10" t="s">
        <v>14</v>
      </c>
      <c r="G16" s="10">
        <f>33+33+21+19+24+30+24+15+0+0+12+27+30+29+30+18+28+36+33+27+30+15+33+30+24+13+27+30+27</f>
        <v>698</v>
      </c>
      <c r="H16" s="10"/>
      <c r="I16" s="10">
        <f>G16/(G3*0.1865)</f>
        <v>12.5381150614556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2.6778576+2.4526005+0.9556818+2.9003541+1.8362639+1.9624667+1.9542698+1.0088616+0.164836+0+1.946265+2.032509+2.3535519+2.3066109+2.322123+2.0371824+2.4640206+2.5366125+2.6013528+2.8090777+2.5527834+2.7351996+2.6281379+2.6250349+2.4517969+1.5016589+2.1565551+2.7215405+2.1987065</f>
        <v>60.8939115</v>
      </c>
      <c r="L16" s="10"/>
      <c r="M16" s="10">
        <f>(C15*K15+L15*D15)/1000</f>
        <v>2.1987065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0+0+0.15+0.0375+0.0375+0+0.075+0+0+0+0.025+0.0875+0+0.0375+0+0+0+0+0+0+0.15+0+0.0375+0+0.0375+0.0375+0+0+0</f>
        <v>0.7125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0.8</v>
      </c>
      <c r="D18" s="7">
        <v>0.8</v>
      </c>
      <c r="E18" s="10">
        <f t="shared" si="1"/>
        <v>1.6</v>
      </c>
      <c r="F18" s="10" t="s">
        <v>14</v>
      </c>
      <c r="G18" s="10">
        <f>1.7+1.7+0+1.7+2.55+1.6+1.6+1.6+0.8+0+0+0+0+0+0+0+1.6+1.6</f>
        <v>16.45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2+0+2+0+2+0+0+2+0+0+0+2+0+2+0+2+0+2+0+2+2+2+2+0+2+0+2+0+2</f>
        <v>30</v>
      </c>
      <c r="H19" s="22"/>
      <c r="I19" s="10">
        <f>G19/(G3*0.1865)</f>
        <v>0.53888746682474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2+0+2+0+2+0+0+2+0+0+0+2+0+2+0+2+0+2+0+2+2+2+2+0+2+0+2+0+2</f>
        <v>30</v>
      </c>
      <c r="H20" s="22"/>
      <c r="I20" s="10">
        <f>G20/(G3*0.1865)</f>
        <v>0.53888746682474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1</v>
      </c>
      <c r="D21" s="7">
        <v>10</v>
      </c>
      <c r="E21" s="10">
        <f t="shared" si="1"/>
        <v>11</v>
      </c>
      <c r="F21" s="10" t="s">
        <v>36</v>
      </c>
      <c r="G21" s="10">
        <f>7+8+3+10+2+6+5+7+0+0+7+5+7+4+10+2+6+8+6+10+8+2+5+8+6+7+5+6+11</f>
        <v>171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335</v>
      </c>
      <c r="D22" s="7">
        <v>541</v>
      </c>
      <c r="E22" s="10">
        <f t="shared" si="1"/>
        <v>876</v>
      </c>
      <c r="F22" s="10" t="s">
        <v>26</v>
      </c>
      <c r="G22" s="10">
        <f>1327+1206+823+1176+1139+893+852+349+5+72+1152+814+1055+1028+1022+607+1025+1132+1089+1063+809+1173+1191+1098+855+698+1056+1042+876</f>
        <v>26627</v>
      </c>
      <c r="H22" s="23"/>
      <c r="I22" s="10">
        <f>E22/M22</f>
        <v>58.4</v>
      </c>
      <c r="J22" s="19" t="s">
        <v>38</v>
      </c>
      <c r="K22" s="10">
        <f>24+24+13.5+24+24+18.5+18+5+0+0+23.5+18.5+24+24+24+13+17+24+24+24+16+22+24+24+17+14+24+22.5+15</f>
        <v>545.5</v>
      </c>
      <c r="L22" s="10">
        <f>G22/K22</f>
        <v>48.8120989917507</v>
      </c>
      <c r="M22" s="10">
        <v>15</v>
      </c>
    </row>
    <row r="23" s="1" customFormat="1" ht="25" customHeight="1" spans="1:13">
      <c r="A23" s="12">
        <v>18</v>
      </c>
      <c r="B23" s="8" t="s">
        <v>39</v>
      </c>
      <c r="C23" s="7">
        <v>343</v>
      </c>
      <c r="D23" s="7">
        <v>705</v>
      </c>
      <c r="E23" s="10">
        <f t="shared" si="1"/>
        <v>1048</v>
      </c>
      <c r="F23" s="10" t="s">
        <v>26</v>
      </c>
      <c r="G23" s="10">
        <f>1719+1515+850+1201+1277+1135+1069+417+11+221+1450+1071+1220+1379+1315+775+1281+1264+1368+1319+1078+1322+1554+1440+1010+774+1362+1360+1048</f>
        <v>32805</v>
      </c>
      <c r="H23" s="22"/>
      <c r="I23" s="10">
        <f>E23/M22</f>
        <v>69.8666666666667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0</v>
      </c>
      <c r="D24" s="12">
        <v>28.98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158</v>
      </c>
      <c r="D25" s="28"/>
      <c r="E25" s="28"/>
      <c r="F25" s="28"/>
      <c r="G25" s="28"/>
      <c r="H25" s="29"/>
      <c r="I25" s="30" t="s">
        <v>80</v>
      </c>
      <c r="J25" s="26" t="s">
        <v>45</v>
      </c>
      <c r="K25" s="27" t="s">
        <v>163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159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163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164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165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20.73</v>
      </c>
      <c r="E31" s="10">
        <f t="shared" ref="E31:E37" si="2">D31+C31</f>
        <v>20.73</v>
      </c>
      <c r="F31" s="10" t="s">
        <v>26</v>
      </c>
      <c r="G31" s="10">
        <f>9.8+0+0+0+0+0+0+0+0+0+0+0+0+0+0+10.59+0+0+0+0+10.37+0+0+0+0+0+0+0+20.73</f>
        <v>51.49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6.25</v>
      </c>
      <c r="D32" s="10">
        <v>0</v>
      </c>
      <c r="E32" s="10">
        <f t="shared" si="2"/>
        <v>6.25</v>
      </c>
      <c r="F32" s="10" t="s">
        <v>26</v>
      </c>
      <c r="G32" s="10">
        <f>12.69+12.67+6.3+12.55+6.29+6.25+6.24+12.64+6.33+0+6.37+6.39+12.58+12.65+6.22+12.58+12.6+6.27+12.62+12.53+12.55+12.67+12.77+12.71+12.72+12.62+12.56+12.51+6.25</f>
        <v>290.13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20</v>
      </c>
      <c r="D33" s="10">
        <v>10</v>
      </c>
      <c r="E33" s="10">
        <f t="shared" si="2"/>
        <v>30</v>
      </c>
      <c r="F33" s="10" t="s">
        <v>26</v>
      </c>
      <c r="G33" s="10">
        <f>10+55+18+25+26.23+21+27+53+14+0+61+28+41.85+20+16+20+23+29+43+17+16+12+31+28+39+17+13+39+30</f>
        <v>773.08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10.8945</v>
      </c>
      <c r="D34" s="10">
        <v>0</v>
      </c>
      <c r="E34" s="10">
        <f t="shared" si="2"/>
        <v>10.8945</v>
      </c>
      <c r="F34" s="10" t="s">
        <v>14</v>
      </c>
      <c r="G34" s="10">
        <f>7.803+0+7.776+0+11.2725+0+0+0+9.855+0+0+0+0+9.72+0+4.887+11.016+0+0+8.0325+6.7635+0+12.1635+0+5.3325+7.56+10.152+0+10.8945</f>
        <v>123.228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6</v>
      </c>
      <c r="D36" s="10">
        <v>101</v>
      </c>
      <c r="E36" s="10">
        <f t="shared" si="2"/>
        <v>107</v>
      </c>
      <c r="F36" s="10" t="s">
        <v>26</v>
      </c>
      <c r="G36" s="10">
        <f>0+66+481+0+0+0+0+0+0+0+4+22+593+343+0+0+0+0+0+0+0+0+0+0+0+0+26+408+107</f>
        <v>2050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506</v>
      </c>
      <c r="D37" s="10">
        <v>405</v>
      </c>
      <c r="E37" s="10">
        <f t="shared" si="2"/>
        <v>911</v>
      </c>
      <c r="F37" s="10" t="s">
        <v>26</v>
      </c>
      <c r="G37" s="10">
        <f>989+992+1002+1004+1005+1010+1012+1010+505+0+986+1018+960+917+852+830+1009+916+709+730+841+992+999+1004+1013+1012+1013+985+911</f>
        <v>26226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0+0+0+0+0+0+0+0+0+0+0+0+0+0+0+0+0+0+0+0+0+0+0+0+0+0+0+0+0</f>
        <v>0</v>
      </c>
      <c r="H38" s="22"/>
      <c r="I38" s="7">
        <v>375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0+0+0+0+0+0+0+0+0+0+0+0+0+0+0+0+0+0+0+0+0+0+0+0+0+0+0+0+0</f>
        <v>0</v>
      </c>
      <c r="H39" s="22"/>
      <c r="I39" s="7">
        <v>65.145</v>
      </c>
      <c r="J39" s="35"/>
      <c r="K39" s="37"/>
      <c r="L39" s="19" t="s">
        <v>112</v>
      </c>
      <c r="M39" s="7">
        <v>20</v>
      </c>
    </row>
    <row r="40" s="1" customFormat="1" ht="25" customHeight="1" spans="1:13">
      <c r="A40" s="7">
        <v>10</v>
      </c>
      <c r="B40" s="8" t="s">
        <v>65</v>
      </c>
      <c r="C40" s="7">
        <v>5</v>
      </c>
      <c r="D40" s="7">
        <v>4</v>
      </c>
      <c r="E40" s="10">
        <f>D40+C40</f>
        <v>9</v>
      </c>
      <c r="F40" s="10" t="s">
        <v>36</v>
      </c>
      <c r="G40" s="10">
        <f>7+3+2+2+3+2+2+4+2+0+2+2+2+5+0+5+2+1+4+4+5+4+3+4+4+3+5+9+9</f>
        <v>100</v>
      </c>
      <c r="H40" s="22"/>
      <c r="I40" s="10"/>
      <c r="J40" s="35"/>
      <c r="K40" s="27"/>
      <c r="L40" s="19" t="s">
        <v>66</v>
      </c>
      <c r="M40" s="7">
        <v>73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2.5</v>
      </c>
      <c r="D3" s="9">
        <v>3.5</v>
      </c>
      <c r="E3" s="10">
        <f t="shared" ref="E3:E13" si="0">C3+D3</f>
        <v>6</v>
      </c>
      <c r="F3" s="10" t="s">
        <v>14</v>
      </c>
      <c r="G3" s="10">
        <f>9+18+11+3.5+13+14.5+7+8.5+0+0+5+11+11.5+12+14+10.5+6+16.5+13.5+12+12.5+7+15+14+11.5+5.5+10+12.5+14+6</f>
        <v>304.5</v>
      </c>
      <c r="H3" s="10">
        <v>320</v>
      </c>
      <c r="I3" s="10">
        <f>H3-G3</f>
        <v>15.5</v>
      </c>
      <c r="J3" s="11"/>
      <c r="K3" s="10"/>
      <c r="L3" s="10"/>
      <c r="M3" s="10">
        <f>I3/1</f>
        <v>15.5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6+8+18+12+2+14+14+8+8+0+0+0+16+12+12+14+10+6+16+14+12+12+8+14+14+12+6+10+12+14</f>
        <v>304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0+0+0+0+0+0+0+0+0+0+0+0+0+0+0+0+0+0+0+0+0+0+0+0+0+0+0+0+0+0</f>
        <v>0</v>
      </c>
      <c r="H5" s="10">
        <v>4836</v>
      </c>
      <c r="I5" s="10">
        <f>H5-G5-G7-G6</f>
        <v>633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117</v>
      </c>
      <c r="E6" s="10">
        <f t="shared" si="0"/>
        <v>117</v>
      </c>
      <c r="F6" s="10" t="s">
        <v>14</v>
      </c>
      <c r="G6" s="10">
        <f>202+207+88+172+159+138+147+19+0+0+187+126+145+167+168+66+168+191+178+185+105+184+174+196+132+103+170+173+121+117</f>
        <v>4188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0+0+2+2+0+0+0+0+0+0+1+2+0+0+0+0+0+0+0+0+0+1+2+1+1+0+2+0+0+1</f>
        <v>15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30.79</v>
      </c>
      <c r="D9" s="13"/>
      <c r="E9" s="10">
        <f t="shared" si="0"/>
        <v>30.79</v>
      </c>
      <c r="F9" s="13" t="s">
        <v>14</v>
      </c>
      <c r="G9" s="10">
        <f>0+30.27+0+35.09+29.27+20.26+29.69+32+29.79+20.98+0+0+0+0+0+0+0+28.2+30.79</f>
        <v>286.34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0+0+0+30.28+30.9+31.12+30.64+30.8+0+0+0+0+0+31+31.12+0+0+0+0+0+0+0+30.64+0+31.13+30.9+0+0+0+0</f>
        <v>308.53</v>
      </c>
      <c r="H10" s="13">
        <v>5.91</v>
      </c>
      <c r="I10" s="13">
        <f>H10-K11</f>
        <v>3.194988</v>
      </c>
      <c r="J10" s="19" t="s">
        <v>21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4.0365</v>
      </c>
      <c r="D11" s="10">
        <v>3.8205</v>
      </c>
      <c r="E11" s="10">
        <f t="shared" si="0"/>
        <v>7.857</v>
      </c>
      <c r="F11" s="10" t="s">
        <v>14</v>
      </c>
      <c r="G11" s="10">
        <f>10.7865+8.2215+8.424+5.8185+6.1695+10.746+6.7095+8.181+3.699+0+4.8195+9.045+7.9515+10.395+12.15+9.153+6.426+8.9235+9.72+5.3595+9.2745+7.695+9.0315+7.263+8.289+3.7665+6.4935+6.48+8.7615+7.857</f>
        <v>227.61</v>
      </c>
      <c r="H11" s="10"/>
      <c r="I11" s="10">
        <f>G11/(G3*0.1865)</f>
        <v>4.00797686181804</v>
      </c>
      <c r="J11" s="19" t="s">
        <v>23</v>
      </c>
      <c r="K11" s="20">
        <f>0+0+0+0.269492+0.28119+0.283192+0.29108+0.26488+0+0+0+0+0+0.2542+0.261408+0+0+0+0+0+0+0+0.24512+0+0.28017+0.28428+0+0+0+0</f>
        <v>2.715012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13.1744+10.1568+16.4312+5.5016+16.1552+10.7272+10.5064+12.8616+0+0+16.192+8.1696+8.7584+13.2112+14.4624+13.0456+12.88+7.8752+13.0824+11.9784+14.628+13.2664+14.5728+9.2+13.708+10.2856+4.9864+12.1256+33.1568+0</f>
        <v>341.0992</v>
      </c>
      <c r="H12" s="10"/>
      <c r="I12" s="10">
        <f>G12/(G3*0.1865)</f>
        <v>6.00640438111086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69</v>
      </c>
      <c r="D13" s="10">
        <v>855</v>
      </c>
      <c r="E13" s="10">
        <f t="shared" si="0"/>
        <v>924</v>
      </c>
      <c r="F13" s="10" t="s">
        <v>26</v>
      </c>
      <c r="G13" s="10">
        <f>443+417+312+276+343+347+336+201+1+10+307+298+333+389+385+240+323+429+406+352+486+214+415+403+311+189+383+449+257+924</f>
        <v>10179</v>
      </c>
      <c r="H13" s="10">
        <f>G13*1.05</f>
        <v>10687.95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99</v>
      </c>
      <c r="D14" s="10">
        <v>166</v>
      </c>
      <c r="E14" s="10">
        <f t="shared" ref="E14:E23" si="1">D14+C14</f>
        <v>265</v>
      </c>
      <c r="F14" s="10" t="s">
        <v>26</v>
      </c>
      <c r="G14" s="10">
        <f>438+425+240+208+350+389+291+195+0+0+217+316+376+372+411+285+279+460+416+356+388+200+426+430+309+148+381+388+384+265</f>
        <v>9343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211.94</v>
      </c>
      <c r="D15" s="10">
        <v>477.74</v>
      </c>
      <c r="E15" s="10">
        <f t="shared" si="1"/>
        <v>689.68</v>
      </c>
      <c r="F15" s="10" t="s">
        <v>26</v>
      </c>
      <c r="G15" s="10">
        <f>882.29+802.31+278.08+840.07+583.23+645.45+671.67+316.57+56.84+0+646.55+666.14+750.89+763.63+739.4+654.72+761.1+817.17+829.44+869.19+821.66+882.71+814.56+819.18+775.69+498.89+742.59+874.12+790.12+689.68</f>
        <v>20283.94</v>
      </c>
      <c r="H15" s="10"/>
      <c r="I15" s="10"/>
      <c r="J15" s="19" t="s">
        <v>29</v>
      </c>
      <c r="K15" s="10">
        <v>3.13</v>
      </c>
      <c r="L15" s="10">
        <v>3.1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9</v>
      </c>
      <c r="D16" s="10">
        <v>0</v>
      </c>
      <c r="E16" s="10">
        <f t="shared" si="1"/>
        <v>9</v>
      </c>
      <c r="F16" s="10" t="s">
        <v>14</v>
      </c>
      <c r="G16" s="10">
        <f>33+33+21+19+24+30+24+15+0+0+12+27+30+29+30+18+28+36+33+27+30+15+33+30+24+13+27+30+27+9</f>
        <v>707</v>
      </c>
      <c r="H16" s="10"/>
      <c r="I16" s="10">
        <f>G16/(G3*0.1865)</f>
        <v>12.4495393054143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+1.5016589+2.1565551+2.7215405+2.1987065+2.1443662</f>
        <v>63.0382777</v>
      </c>
      <c r="L16" s="10"/>
      <c r="M16" s="10">
        <f>(C15*K15+L15*D15)/1000</f>
        <v>2.1443662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0+0+0.15+0.0375+0.0375+0+0.075+0+0+0+0.025+0.0875+0+0.0375+0+0+0+0+0+0+0.15+0+0.0375+0+0.0375+0.0375+0+0+0+0</f>
        <v>0.7125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1.7+1.7+0+1.7+2.55+1.6+1.6+1.6+0.8+0+0+0+0+0+0+0+1.6+1.6+0</f>
        <v>16.45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2+0+2+0+2+0+0+2+0+0+0+2+0+2+0+2+0+2+0+2+2+2+2+0+2+0+2+0+2+0</f>
        <v>30</v>
      </c>
      <c r="H19" s="22"/>
      <c r="I19" s="10">
        <f>G19/(G3*0.1865)</f>
        <v>0.528268994572036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2+0+2+0+2+0+0+2+0+0+0+2+0+2+0+2+0+2+0+2+2+2+2+0+2+0+2+0+2+0</f>
        <v>30</v>
      </c>
      <c r="H20" s="22"/>
      <c r="I20" s="10">
        <f>G20/(G3*0.1865)</f>
        <v>0.528268994572036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0</v>
      </c>
      <c r="D21" s="7">
        <v>1</v>
      </c>
      <c r="E21" s="10">
        <f t="shared" si="1"/>
        <v>1</v>
      </c>
      <c r="F21" s="10" t="s">
        <v>36</v>
      </c>
      <c r="G21" s="10">
        <f>7+8+3+10+2+6+5+7+0+0+7+5+7+4+10+2+6+8+6+10+8+2+5+8+6+7+5+6+11+1</f>
        <v>172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128</v>
      </c>
      <c r="D22" s="7">
        <v>202</v>
      </c>
      <c r="E22" s="10">
        <f t="shared" si="1"/>
        <v>330</v>
      </c>
      <c r="F22" s="10" t="s">
        <v>26</v>
      </c>
      <c r="G22" s="10">
        <f>1327+1206+823+1176+1139+893+852+349+5+72+1152+814+1055+1028+1022+607+1025+1132+1089+1063+809+1173+1191+1098+855+698+1056+1042+876+330</f>
        <v>26957</v>
      </c>
      <c r="H22" s="23"/>
      <c r="I22" s="10">
        <f>E22/M22</f>
        <v>23.5714285714286</v>
      </c>
      <c r="J22" s="19" t="s">
        <v>38</v>
      </c>
      <c r="K22" s="10">
        <f>24+24+13.5+24+24+18.5+18+5+0+0+23.5+18.5+24+24+24+13+17+24+24+24+16+22+24+24+17+14+24+22.5+15+14</f>
        <v>559.5</v>
      </c>
      <c r="L22" s="10">
        <f>G22/K22</f>
        <v>48.1805183199285</v>
      </c>
      <c r="M22" s="10">
        <v>14</v>
      </c>
    </row>
    <row r="23" s="1" customFormat="1" ht="25" customHeight="1" spans="1:13">
      <c r="A23" s="12">
        <v>18</v>
      </c>
      <c r="B23" s="8" t="s">
        <v>39</v>
      </c>
      <c r="C23" s="7">
        <v>112</v>
      </c>
      <c r="D23" s="7">
        <v>662</v>
      </c>
      <c r="E23" s="10">
        <f t="shared" si="1"/>
        <v>774</v>
      </c>
      <c r="F23" s="10" t="s">
        <v>26</v>
      </c>
      <c r="G23" s="10">
        <f>1719+1515+850+1201+1277+1135+1069+417+11+221+1450+1071+1220+1379+1315+775+1281+1264+1368+1319+1078+1322+1554+1440+1010+774+1362+1360+1048+774</f>
        <v>33579</v>
      </c>
      <c r="H23" s="22"/>
      <c r="I23" s="10">
        <f>E23/M22</f>
        <v>55.2857142857143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0</v>
      </c>
      <c r="D24" s="12">
        <v>32.84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163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167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163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167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168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169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9.8+0+0+0+0+0+0+0+0+0+0+0+0+0+0+10.59+0+0+0+0+10.37+0+0+0+0+0+0+0+20.73+0</f>
        <v>51.49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6.33</v>
      </c>
      <c r="D32" s="10">
        <v>6.37</v>
      </c>
      <c r="E32" s="10">
        <f t="shared" si="2"/>
        <v>12.7</v>
      </c>
      <c r="F32" s="10" t="s">
        <v>26</v>
      </c>
      <c r="G32" s="10">
        <f>12.69+12.67+6.3+12.55+6.29+6.25+6.24+12.64+6.33+0+6.37+6.39+12.58+12.65+6.22+12.58+12.6+6.27+12.62+12.53+12.55+12.67+12.77+12.71+12.72+12.62+12.56+12.51+6.25+12.7</f>
        <v>302.83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23</v>
      </c>
      <c r="D33" s="10">
        <v>10</v>
      </c>
      <c r="E33" s="10">
        <f t="shared" si="2"/>
        <v>33</v>
      </c>
      <c r="F33" s="10" t="s">
        <v>26</v>
      </c>
      <c r="G33" s="10">
        <f>10+55+18+25+26.23+21+27+53+14+0+61+28+41.85+20+16+20+23+29+43+17+16+12+31+28+39+17+13+39+30+33</f>
        <v>806.08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7.803+0+7.776+0+11.2725+0+0+0+9.855+0+0+0+0+9.72+0+4.887+11.016+0+0+8.0325+6.7635+0+12.1635+0+5.3325+7.56+10.152+0+10.8945+0</f>
        <v>123.228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261</v>
      </c>
      <c r="D36" s="10">
        <v>259</v>
      </c>
      <c r="E36" s="10">
        <f t="shared" si="2"/>
        <v>520</v>
      </c>
      <c r="F36" s="10" t="s">
        <v>26</v>
      </c>
      <c r="G36" s="10">
        <f>0+66+481+0+0+0+0+0+0+0+4+22+593+343+0+0+0+0+0+0+0+0+0+0+0+0+26+408+107+520</f>
        <v>2570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483</v>
      </c>
      <c r="D37" s="10">
        <v>512</v>
      </c>
      <c r="E37" s="10">
        <f t="shared" si="2"/>
        <v>995</v>
      </c>
      <c r="F37" s="10" t="s">
        <v>26</v>
      </c>
      <c r="G37" s="10">
        <f>989+992+1002+1004+1005+1010+1012+1010+505+0+986+1018+960+917+852+830+1009+916+709+730+841+992+999+1004+1013+1012+1013+985+911+995</f>
        <v>27221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0+0+0+0+0+0+0+0+0+0+0+0+0+0+0+0+0+0+0+0+0+0+0+0+0+0+0+0+0+0</f>
        <v>0</v>
      </c>
      <c r="H38" s="22"/>
      <c r="I38" s="7">
        <v>367.5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0+0+0+0+0+0+0+0+0+0+0+0+0+0+0+0+0+0+0+0+0+0+0+0+0+0+0+0+0+0</f>
        <v>0</v>
      </c>
      <c r="H39" s="22"/>
      <c r="I39" s="7">
        <v>73.831</v>
      </c>
      <c r="J39" s="35"/>
      <c r="K39" s="37"/>
      <c r="L39" s="19" t="s">
        <v>112</v>
      </c>
      <c r="M39" s="7">
        <v>20</v>
      </c>
    </row>
    <row r="40" s="1" customFormat="1" ht="25" customHeight="1" spans="1:13">
      <c r="A40" s="7">
        <v>10</v>
      </c>
      <c r="B40" s="8" t="s">
        <v>65</v>
      </c>
      <c r="C40" s="7">
        <v>3</v>
      </c>
      <c r="D40" s="7">
        <v>2</v>
      </c>
      <c r="E40" s="10">
        <f>D40+C40</f>
        <v>5</v>
      </c>
      <c r="F40" s="10" t="s">
        <v>36</v>
      </c>
      <c r="G40" s="10">
        <f>7+3+2+2+3+2+2+4+2+0+2+2+2+5+0+5+2+1+4+4+5+4+3+4+4+3+5+9+9+5</f>
        <v>105</v>
      </c>
      <c r="H40" s="22"/>
      <c r="I40" s="10"/>
      <c r="J40" s="35"/>
      <c r="K40" s="27"/>
      <c r="L40" s="19" t="s">
        <v>66</v>
      </c>
      <c r="M40" s="7">
        <v>78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zoomScale="85" zoomScaleNormal="85" workbookViewId="0">
      <selection activeCell="E7" sqref="E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7.5</v>
      </c>
      <c r="D3" s="9">
        <v>7</v>
      </c>
      <c r="E3" s="10">
        <f t="shared" ref="E3:E13" si="0">C3+D3</f>
        <v>14.5</v>
      </c>
      <c r="F3" s="10" t="s">
        <v>14</v>
      </c>
      <c r="G3" s="10">
        <f>9+18+11+3.5+13+14.5+7+8.5+0+0+5+11+11.5+12+14+10.5+6+16.5+13.5+12+12.5+7+15+14+11.5+5.5+10+12.5+14+6+14.5</f>
        <v>319</v>
      </c>
      <c r="H3" s="10">
        <v>320</v>
      </c>
      <c r="I3" s="10">
        <f>H3-G3</f>
        <v>1</v>
      </c>
      <c r="J3" s="11"/>
      <c r="K3" s="10"/>
      <c r="L3" s="10"/>
      <c r="M3" s="10"/>
    </row>
    <row r="4" s="1" customFormat="1" ht="35" customHeight="1" spans="1:13">
      <c r="A4" s="12">
        <v>2</v>
      </c>
      <c r="B4" s="8" t="s">
        <v>15</v>
      </c>
      <c r="C4" s="9">
        <v>20</v>
      </c>
      <c r="D4" s="9"/>
      <c r="E4" s="10">
        <f t="shared" si="0"/>
        <v>20</v>
      </c>
      <c r="F4" s="10" t="s">
        <v>14</v>
      </c>
      <c r="G4" s="10">
        <f>6+8+18+12+2+14+14+8+8+0+0+0+16+12+12+14+10+6+16+14+12+12+8+14+14+12+6+10+12+14+20</f>
        <v>324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0+0+0+0+0+0+0+0+0+0+0+0+0+0+0+0+0+0+0+0+0+0+0+0+0+0+0+0+0+0+0</f>
        <v>0</v>
      </c>
      <c r="H5" s="10">
        <v>4836</v>
      </c>
      <c r="I5" s="10">
        <f>H5-G5-G7-G6</f>
        <v>461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81</v>
      </c>
      <c r="D6" s="10">
        <v>91</v>
      </c>
      <c r="E6" s="10">
        <f t="shared" si="0"/>
        <v>172</v>
      </c>
      <c r="F6" s="10" t="s">
        <v>14</v>
      </c>
      <c r="G6" s="10">
        <f>202+207+88+172+159+138+147+19+0+0+187+126+145+167+168+66+168+191+178+185+105+184+174+196+132+103+170+173+121+117+172</f>
        <v>4360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0+0+2+2+0+0+0+0+0+0+1+2+0+0+0+0+0+0+0+0+0+1+2+1+1+0+2+0+0+1+0</f>
        <v>15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0+0+0+0+0+0+0+0+0+0+0+0+0+0+0+0+1+0+0+0+0+0+1+0+0+0+0+0+0+0+0</f>
        <v>2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105</v>
      </c>
      <c r="C9" s="13">
        <v>0</v>
      </c>
      <c r="D9" s="13"/>
      <c r="E9" s="10">
        <f t="shared" si="0"/>
        <v>0</v>
      </c>
      <c r="F9" s="13" t="s">
        <v>14</v>
      </c>
      <c r="G9" s="10">
        <f>0+30.27+0+35.09+29.27+20.26+29.69+32+29.79+20.98+0+0+0+0+0+0+0+28.2+30.79+0</f>
        <v>286.34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20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0+0+0+30.28+30.9+31.12+30.64+30.8+0+0+0+0+0+31+31.12+0+0+0+0+0+0+0+30.64+0+31.13+30.9+0+0+0+0+0</f>
        <v>308.53</v>
      </c>
      <c r="H10" s="13">
        <v>5.91</v>
      </c>
      <c r="I10" s="13">
        <f>H10-K11</f>
        <v>3.194988</v>
      </c>
      <c r="J10" s="19" t="s">
        <v>21</v>
      </c>
      <c r="K10" s="10">
        <v>60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22</v>
      </c>
      <c r="C11" s="10">
        <v>9.3555</v>
      </c>
      <c r="D11" s="10">
        <v>0</v>
      </c>
      <c r="E11" s="10">
        <f t="shared" si="0"/>
        <v>9.3555</v>
      </c>
      <c r="F11" s="10" t="s">
        <v>14</v>
      </c>
      <c r="G11" s="10">
        <f>10.7865+8.2215+8.424+5.8185+6.1695+10.746+6.7095+8.181+3.699+0+4.8195+9.045+7.9515+10.395+12.15+9.153+6.426+8.9235+9.72+5.3595+9.2745+7.695+9.0315+7.263+8.289+3.7665+6.4935+6.48+8.7615+7.857+9.3555</f>
        <v>236.9655</v>
      </c>
      <c r="H11" s="10"/>
      <c r="I11" s="10">
        <f>G11/(G3*0.1865)</f>
        <v>3.98304856833099</v>
      </c>
      <c r="J11" s="19" t="s">
        <v>23</v>
      </c>
      <c r="K11" s="20">
        <f>0+0+0+0.269492+0.28119+0.283192+0.29108+0.26488+0+0+0+0+0+0.2542+0.261408+0+0+0+0+0+0+0+0.24512+0+0.28017+0.28428+0+0+0+0+0</f>
        <v>2.715012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24</v>
      </c>
      <c r="C12" s="10">
        <v>3.8272</v>
      </c>
      <c r="D12" s="10">
        <v>0</v>
      </c>
      <c r="E12" s="10">
        <f t="shared" si="0"/>
        <v>3.8272</v>
      </c>
      <c r="F12" s="10" t="s">
        <v>14</v>
      </c>
      <c r="G12" s="10">
        <f>13.1744+10.1568+16.4312+5.5016+16.1552+10.7272+10.5064+12.8616+0+0+16.192+8.1696+8.7584+13.2112+14.4624+13.0456+12.88+7.8752+13.0824+11.9784+14.628+13.2664+14.5728+9.2+13.708+10.2856+4.9864+12.1256+33.1568+0+3.8272</f>
        <v>344.9264</v>
      </c>
      <c r="H12" s="10"/>
      <c r="I12" s="10">
        <f>G12/(G3*0.1865)</f>
        <v>5.79771571684302</v>
      </c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25</v>
      </c>
      <c r="C13" s="10">
        <v>203</v>
      </c>
      <c r="D13" s="10">
        <v>239</v>
      </c>
      <c r="E13" s="10">
        <f t="shared" si="0"/>
        <v>442</v>
      </c>
      <c r="F13" s="10" t="s">
        <v>26</v>
      </c>
      <c r="G13" s="10">
        <f>443+417+312+276+343+347+336+201+1+10+307+298+333+389+385+240+323+429+406+352+486+214+415+403+311+189+383+449+257+924+442</f>
        <v>10621</v>
      </c>
      <c r="H13" s="10">
        <f>G13*1.05</f>
        <v>11152.05</v>
      </c>
      <c r="I13" s="10"/>
      <c r="J13" s="11"/>
      <c r="K13" s="10"/>
      <c r="L13" s="10"/>
      <c r="M13" s="21"/>
    </row>
    <row r="14" s="1" customFormat="1" ht="25" customHeight="1" spans="1:13">
      <c r="A14" s="12">
        <v>9</v>
      </c>
      <c r="B14" s="8" t="s">
        <v>27</v>
      </c>
      <c r="C14" s="10">
        <v>205</v>
      </c>
      <c r="D14" s="10">
        <v>194</v>
      </c>
      <c r="E14" s="10">
        <f t="shared" ref="E14:E23" si="1">D14+C14</f>
        <v>399</v>
      </c>
      <c r="F14" s="10" t="s">
        <v>26</v>
      </c>
      <c r="G14" s="10">
        <f>438+425+240+208+350+389+291+195+0+0+217+316+376+372+411+285+279+460+416+356+388+200+426+430+309+148+381+388+384+265+399</f>
        <v>9742</v>
      </c>
      <c r="H14" s="10"/>
      <c r="I14" s="10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28</v>
      </c>
      <c r="C15" s="10">
        <v>462.81</v>
      </c>
      <c r="D15" s="10">
        <v>340.53</v>
      </c>
      <c r="E15" s="10">
        <f t="shared" si="1"/>
        <v>803.34</v>
      </c>
      <c r="F15" s="10" t="s">
        <v>26</v>
      </c>
      <c r="G15" s="10">
        <f>882.29+802.31+278.08+840.07+583.23+645.45+671.67+316.57+56.84+0+646.55+666.14+750.89+763.63+739.4+654.72+761.1+817.17+829.44+869.19+821.66+882.71+814.56+819.18+775.69+498.89+742.59+874.12+790.12+689.68+803.34</f>
        <v>21087.28</v>
      </c>
      <c r="H15" s="10"/>
      <c r="I15" s="10"/>
      <c r="J15" s="19" t="s">
        <v>29</v>
      </c>
      <c r="K15" s="10">
        <v>3.1</v>
      </c>
      <c r="L15" s="10">
        <v>3.15</v>
      </c>
      <c r="M15" s="10"/>
    </row>
    <row r="16" s="1" customFormat="1" ht="25" customHeight="1" spans="1:13">
      <c r="A16" s="12">
        <v>11</v>
      </c>
      <c r="B16" s="8" t="s">
        <v>30</v>
      </c>
      <c r="C16" s="10">
        <v>18</v>
      </c>
      <c r="D16" s="10">
        <v>9</v>
      </c>
      <c r="E16" s="10">
        <f t="shared" si="1"/>
        <v>27</v>
      </c>
      <c r="F16" s="10" t="s">
        <v>14</v>
      </c>
      <c r="G16" s="10">
        <f>33+33+21+19+24+30+24+15+0+0+12+27+30+29+30+18+28+36+33+27+30+15+33+30+24+13+27+30+27+9+27</f>
        <v>734</v>
      </c>
      <c r="H16" s="10"/>
      <c r="I16" s="10">
        <f>G16/(G3*0.1865)</f>
        <v>12.3374822459596</v>
      </c>
      <c r="J16" s="19" t="s">
        <v>31</v>
      </c>
      <c r="K16" s="20">
        <f>2.6778576+2.4526005+0.9556818+2.9003541+1.8362639+1.9624667+1.9542698+1.0088616+0.164836+0+1.946265+2.032509+2.3535519+2.3066109+2.322123+2.0371824+2.4640206+2.5366125+2.6013528+2.8090777+2.5527834+2.7351996+2.6281379+2.6250349+2.4517969+1.5016589+2.1565551+2.7215405+2.1987065+2.1443662+2.5073805</f>
        <v>65.5456582</v>
      </c>
      <c r="L16" s="10"/>
      <c r="M16" s="10">
        <f>(C15*K15+L15*D15)/1000</f>
        <v>2.5073805</v>
      </c>
    </row>
    <row r="17" s="1" customFormat="1" ht="25" customHeight="1" spans="1:13">
      <c r="A17" s="12">
        <v>12</v>
      </c>
      <c r="B17" s="8" t="s">
        <v>32</v>
      </c>
      <c r="C17" s="7">
        <v>0</v>
      </c>
      <c r="D17" s="7">
        <v>0.075</v>
      </c>
      <c r="E17" s="10">
        <f t="shared" si="1"/>
        <v>0.075</v>
      </c>
      <c r="F17" s="10" t="s">
        <v>14</v>
      </c>
      <c r="G17" s="10">
        <f>0+0+0.15+0.0375+0.0375+0+0.075+0+0+0+0.025+0.0875+0+0.0375+0+0+0+0+0+0+0.15+0+0.0375+0+0.0375+0.0375+0+0+0+0+0.075</f>
        <v>0.7875</v>
      </c>
      <c r="H17" s="22"/>
      <c r="I17" s="22"/>
      <c r="J17" s="11"/>
      <c r="K17" s="22"/>
      <c r="L17" s="22"/>
      <c r="M17" s="10"/>
    </row>
    <row r="18" s="1" customFormat="1" ht="25" customHeight="1" spans="1:13">
      <c r="A18" s="12">
        <v>13</v>
      </c>
      <c r="B18" s="8" t="s">
        <v>106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1.7+1.7+0+1.7+2.55+1.6+1.6+1.6+0.8+0+0+0+0+0+0+0+1.6+1.6+0+0</f>
        <v>16.45</v>
      </c>
      <c r="H18" s="22"/>
      <c r="I18" s="22"/>
      <c r="J18" s="11"/>
      <c r="K18" s="22"/>
      <c r="L18" s="22"/>
      <c r="M18" s="10"/>
    </row>
    <row r="19" s="1" customFormat="1" ht="25" customHeight="1" spans="1:13">
      <c r="A19" s="12">
        <v>14</v>
      </c>
      <c r="B19" s="8" t="s">
        <v>33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2+0+2+0+2+0+0+2+0+0+0+2+0+2+0+2+0+2+0+2+2+2+2+0+2+0+2+0+2+0+2</f>
        <v>32</v>
      </c>
      <c r="H19" s="22"/>
      <c r="I19" s="10">
        <f>G19/(G3*0.1865)</f>
        <v>0.537873885382437</v>
      </c>
      <c r="J19" s="11"/>
      <c r="K19" s="22"/>
      <c r="L19" s="22"/>
      <c r="M19" s="10"/>
    </row>
    <row r="20" s="1" customFormat="1" ht="25" customHeight="1" spans="1:13">
      <c r="A20" s="12">
        <v>15</v>
      </c>
      <c r="B20" s="8" t="s">
        <v>34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2+0+2+0+2+0+0+2+0+0+0+2+0+2+0+2+0+2+0+2+2+2+2+0+2+0+2+0+2+0+2</f>
        <v>32</v>
      </c>
      <c r="H20" s="22"/>
      <c r="I20" s="10">
        <f>G20/(G3*0.1865)</f>
        <v>0.537873885382437</v>
      </c>
      <c r="J20" s="11"/>
      <c r="K20" s="22"/>
      <c r="L20" s="22"/>
      <c r="M20" s="10"/>
    </row>
    <row r="21" s="1" customFormat="1" ht="25" customHeight="1" spans="1:13">
      <c r="A21" s="12">
        <v>16</v>
      </c>
      <c r="B21" s="8" t="s">
        <v>35</v>
      </c>
      <c r="C21" s="10">
        <v>4</v>
      </c>
      <c r="D21" s="7">
        <v>6</v>
      </c>
      <c r="E21" s="10">
        <f t="shared" si="1"/>
        <v>10</v>
      </c>
      <c r="F21" s="10" t="s">
        <v>36</v>
      </c>
      <c r="G21" s="10">
        <f>7+8+3+10+2+6+5+7+0+0+7+5+7+4+10+2+6+8+6+10+8+2+5+8+6+7+5+6+11+1+10</f>
        <v>182</v>
      </c>
      <c r="H21" s="22"/>
      <c r="I21" s="22"/>
      <c r="J21" s="11"/>
      <c r="K21" s="22"/>
      <c r="L21" s="22"/>
      <c r="M21" s="10"/>
    </row>
    <row r="22" s="1" customFormat="1" ht="25" customHeight="1" spans="1:13">
      <c r="A22" s="12">
        <v>17</v>
      </c>
      <c r="B22" s="8" t="s">
        <v>37</v>
      </c>
      <c r="C22" s="7">
        <v>635</v>
      </c>
      <c r="D22" s="7">
        <v>640</v>
      </c>
      <c r="E22" s="10">
        <f t="shared" si="1"/>
        <v>1275</v>
      </c>
      <c r="F22" s="10" t="s">
        <v>26</v>
      </c>
      <c r="G22" s="10">
        <f>1327+1206+823+1176+1139+893+852+349+5+72+1152+814+1055+1028+1022+607+1025+1132+1089+1063+809+1173+1191+1098+855+698+1056+1042+876+330+1275</f>
        <v>28232</v>
      </c>
      <c r="H22" s="23"/>
      <c r="I22" s="10">
        <f>E22/M22</f>
        <v>53.125</v>
      </c>
      <c r="J22" s="19" t="s">
        <v>38</v>
      </c>
      <c r="K22" s="10">
        <f>24+24+13.5+24+24+18.5+18+5+0+0+23.5+18.5+24+24+24+13+17+24+24+24+16+22+24+24+17+14+24+22.5+15+14+24</f>
        <v>583.5</v>
      </c>
      <c r="L22" s="10">
        <f>G22/K22</f>
        <v>48.3838903170523</v>
      </c>
      <c r="M22" s="10">
        <v>24</v>
      </c>
    </row>
    <row r="23" s="1" customFormat="1" ht="25" customHeight="1" spans="1:13">
      <c r="A23" s="12">
        <v>18</v>
      </c>
      <c r="B23" s="8" t="s">
        <v>39</v>
      </c>
      <c r="C23" s="7">
        <v>639</v>
      </c>
      <c r="D23" s="7">
        <v>851</v>
      </c>
      <c r="E23" s="10">
        <f t="shared" si="1"/>
        <v>1490</v>
      </c>
      <c r="F23" s="10" t="s">
        <v>26</v>
      </c>
      <c r="G23" s="10">
        <f>1719+1515+850+1201+1277+1135+1069+417+11+221+1450+1071+1220+1379+1315+775+1281+1264+1368+1319+1078+1322+1554+1440+1010+774+1362+1360+1048+774+1490</f>
        <v>35069</v>
      </c>
      <c r="H23" s="22"/>
      <c r="I23" s="10">
        <f>E23/M22</f>
        <v>62.0833333333333</v>
      </c>
      <c r="J23" s="11"/>
      <c r="K23" s="22"/>
      <c r="L23" s="22"/>
      <c r="M23" s="10"/>
    </row>
    <row r="24" s="1" customFormat="1" ht="25" customHeight="1" spans="1:13">
      <c r="A24" s="12">
        <v>19</v>
      </c>
      <c r="B24" s="8" t="s">
        <v>40</v>
      </c>
      <c r="C24" s="12">
        <v>35.1</v>
      </c>
      <c r="D24" s="12">
        <v>34.69</v>
      </c>
      <c r="E24" s="13"/>
      <c r="F24" s="13" t="s">
        <v>41</v>
      </c>
      <c r="G24" s="13"/>
      <c r="H24" s="24"/>
      <c r="I24" s="24"/>
      <c r="J24" s="25"/>
      <c r="K24" s="24"/>
      <c r="L24" s="24"/>
      <c r="M24" s="10"/>
    </row>
    <row r="25" s="1" customFormat="1" ht="32" customHeight="1" spans="1:13">
      <c r="A25" s="12">
        <v>20</v>
      </c>
      <c r="B25" s="26" t="s">
        <v>138</v>
      </c>
      <c r="C25" s="27" t="s">
        <v>167</v>
      </c>
      <c r="D25" s="28"/>
      <c r="E25" s="28"/>
      <c r="F25" s="28"/>
      <c r="G25" s="28"/>
      <c r="H25" s="29"/>
      <c r="I25" s="30" t="s">
        <v>44</v>
      </c>
      <c r="J25" s="26" t="s">
        <v>45</v>
      </c>
      <c r="K25" s="27" t="s">
        <v>171</v>
      </c>
      <c r="L25" s="28"/>
      <c r="M25" s="29"/>
    </row>
    <row r="26" s="1" customFormat="1" ht="32" customHeight="1" spans="1:13">
      <c r="A26" s="12">
        <v>21</v>
      </c>
      <c r="B26" s="26" t="s">
        <v>140</v>
      </c>
      <c r="C26" s="27" t="s">
        <v>167</v>
      </c>
      <c r="D26" s="28"/>
      <c r="E26" s="28"/>
      <c r="F26" s="28"/>
      <c r="G26" s="28"/>
      <c r="H26" s="29"/>
      <c r="I26" s="30" t="s">
        <v>44</v>
      </c>
      <c r="J26" s="26" t="s">
        <v>49</v>
      </c>
      <c r="K26" s="27" t="s">
        <v>172</v>
      </c>
      <c r="L26" s="28"/>
      <c r="M26" s="29"/>
    </row>
    <row r="27" s="1" customFormat="1" ht="80" customHeight="1" spans="1:13">
      <c r="A27" s="7">
        <v>22</v>
      </c>
      <c r="B27" s="31" t="s">
        <v>142</v>
      </c>
      <c r="C27" s="27" t="s">
        <v>173</v>
      </c>
      <c r="D27" s="28"/>
      <c r="E27" s="28"/>
      <c r="F27" s="28"/>
      <c r="G27" s="28"/>
      <c r="H27" s="28"/>
      <c r="I27" s="29"/>
      <c r="J27" s="32" t="s">
        <v>53</v>
      </c>
      <c r="K27" s="27" t="s">
        <v>54</v>
      </c>
      <c r="L27" s="28"/>
      <c r="M27" s="29"/>
    </row>
    <row r="28" s="1" customFormat="1" ht="14" customHeight="1" spans="1:13">
      <c r="C28" s="33"/>
      <c r="D28" s="33"/>
      <c r="J28" s="34"/>
    </row>
    <row r="29" s="1" customFormat="1" ht="45" customHeight="1" spans="1:13">
      <c r="A29" s="5" t="s">
        <v>174</v>
      </c>
    </row>
    <row r="30" s="1" customFormat="1" ht="30" customHeight="1" spans="1:13">
      <c r="A30" s="6" t="s">
        <v>56</v>
      </c>
      <c r="B30" s="6" t="s">
        <v>57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58</v>
      </c>
      <c r="C31" s="10">
        <v>0</v>
      </c>
      <c r="D31" s="10">
        <v>0</v>
      </c>
      <c r="E31" s="10">
        <f t="shared" ref="E31:E37" si="2">D31+C31</f>
        <v>0</v>
      </c>
      <c r="F31" s="10" t="s">
        <v>26</v>
      </c>
      <c r="G31" s="10">
        <f>9.8+0+0+0+0+0+0+0+0+0+0+0+0+0+0+10.59+0+0+0+0+10.37+0+0+0+0+0+0+0+20.73+0+0</f>
        <v>51.49</v>
      </c>
      <c r="H31" s="10"/>
      <c r="I31" s="10"/>
      <c r="J31" s="11"/>
      <c r="K31" s="22"/>
      <c r="L31" s="22"/>
      <c r="M31" s="10"/>
    </row>
    <row r="32" s="1" customFormat="1" ht="25" customHeight="1" spans="1:13">
      <c r="A32" s="7">
        <v>2</v>
      </c>
      <c r="B32" s="8" t="s">
        <v>59</v>
      </c>
      <c r="C32" s="10">
        <v>6.34</v>
      </c>
      <c r="D32" s="10">
        <v>6.29</v>
      </c>
      <c r="E32" s="10">
        <f t="shared" si="2"/>
        <v>12.63</v>
      </c>
      <c r="F32" s="10" t="s">
        <v>26</v>
      </c>
      <c r="G32" s="10">
        <f>12.69+12.67+6.3+12.55+6.29+6.25+6.24+12.64+6.33+0+6.37+6.39+12.58+12.65+6.22+12.58+12.6+6.27+12.62+12.53+12.55+12.67+12.77+12.71+12.72+12.62+12.56+12.51+6.25+12.7+12.63</f>
        <v>315.46</v>
      </c>
      <c r="H32" s="10"/>
      <c r="I32" s="10"/>
      <c r="J32" s="11"/>
      <c r="K32" s="22"/>
      <c r="L32" s="22"/>
      <c r="M32" s="21"/>
    </row>
    <row r="33" s="1" customFormat="1" ht="25" customHeight="1" spans="1:13">
      <c r="A33" s="7">
        <v>3</v>
      </c>
      <c r="B33" s="8" t="s">
        <v>60</v>
      </c>
      <c r="C33" s="10">
        <v>60</v>
      </c>
      <c r="D33" s="10">
        <v>10</v>
      </c>
      <c r="E33" s="10">
        <f t="shared" si="2"/>
        <v>70</v>
      </c>
      <c r="F33" s="10" t="s">
        <v>26</v>
      </c>
      <c r="G33" s="10">
        <f>10+55+18+25+26.23+21+27+53+14+0+61+28+41.85+20+16+20+23+29+43+17+16+12+31+28+39+17+13+39+30+33+70</f>
        <v>876.08</v>
      </c>
      <c r="H33" s="10"/>
      <c r="I33" s="10"/>
      <c r="J33" s="11"/>
      <c r="K33" s="22"/>
      <c r="L33" s="22"/>
      <c r="M33" s="21"/>
    </row>
    <row r="34" s="1" customFormat="1" ht="25" customHeight="1" spans="1:13">
      <c r="A34" s="7">
        <v>4</v>
      </c>
      <c r="B34" s="8" t="s">
        <v>22</v>
      </c>
      <c r="C34" s="10">
        <v>0</v>
      </c>
      <c r="D34" s="10">
        <v>0</v>
      </c>
      <c r="E34" s="10">
        <f t="shared" si="2"/>
        <v>0</v>
      </c>
      <c r="F34" s="10" t="s">
        <v>14</v>
      </c>
      <c r="G34" s="10">
        <f>7.803+0+7.776+0+11.2725+0+0+0+9.855+0+0+0+0+9.72+0+4.887+11.016+0+0+8.0325+6.7635+0+12.1635+0+5.3325+7.56+10.152+0+10.8945+0+0</f>
        <v>123.228</v>
      </c>
      <c r="H34" s="10"/>
      <c r="J34" s="11"/>
      <c r="K34" s="22"/>
      <c r="L34" s="22"/>
      <c r="M34" s="22"/>
    </row>
    <row r="35" s="1" customFormat="1" ht="25" customHeight="1" spans="1:13">
      <c r="A35" s="7">
        <v>5</v>
      </c>
      <c r="B35" s="8" t="s">
        <v>24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0+0+0+0+0+0+0+0+0+0+0+0+0+0+0+0+0+0+0+0+0+0+0+0+0+0+0+0+0+0+0</f>
        <v>0</v>
      </c>
      <c r="H35" s="10"/>
      <c r="I35" s="10"/>
      <c r="J35" s="14"/>
      <c r="K35" s="22"/>
      <c r="L35" s="22"/>
      <c r="M35" s="22"/>
    </row>
    <row r="36" s="1" customFormat="1" ht="25" customHeight="1" spans="1:13">
      <c r="A36" s="7">
        <v>6</v>
      </c>
      <c r="B36" s="8" t="s">
        <v>61</v>
      </c>
      <c r="C36" s="10">
        <v>185</v>
      </c>
      <c r="D36" s="10">
        <v>255</v>
      </c>
      <c r="E36" s="10">
        <f t="shared" si="2"/>
        <v>440</v>
      </c>
      <c r="F36" s="10" t="s">
        <v>26</v>
      </c>
      <c r="G36" s="10">
        <f>0+66+481+0+0+0+0+0+0+0+4+22+593+343+0+0+0+0+0+0+0+0+0+0+0+0+26+408+107+520+440</f>
        <v>3010</v>
      </c>
      <c r="H36" s="10"/>
      <c r="I36" s="10"/>
      <c r="J36" s="35"/>
      <c r="K36" s="22"/>
      <c r="L36" s="10"/>
      <c r="M36" s="22"/>
    </row>
    <row r="37" s="1" customFormat="1" ht="25" customHeight="1" spans="1:13">
      <c r="A37" s="7">
        <v>7</v>
      </c>
      <c r="B37" s="8" t="s">
        <v>62</v>
      </c>
      <c r="C37" s="10">
        <v>448</v>
      </c>
      <c r="D37" s="10">
        <v>517</v>
      </c>
      <c r="E37" s="10">
        <f t="shared" si="2"/>
        <v>965</v>
      </c>
      <c r="F37" s="10" t="s">
        <v>26</v>
      </c>
      <c r="G37" s="10">
        <f>989+992+1002+1004+1005+1010+1012+1010+505+0+986+1018+960+917+852+830+1009+916+709+730+841+992+999+1004+1013+1012+1013+985+911+995+965</f>
        <v>28186</v>
      </c>
      <c r="H37" s="10"/>
      <c r="I37" s="10"/>
      <c r="J37" s="36"/>
      <c r="K37" s="22"/>
      <c r="L37" s="10"/>
      <c r="M37" s="22"/>
    </row>
    <row r="38" s="1" customFormat="1" ht="25" customHeight="1" spans="1:13">
      <c r="A38" s="7">
        <v>8</v>
      </c>
      <c r="B38" s="8" t="s">
        <v>63</v>
      </c>
      <c r="C38" s="10">
        <v>0</v>
      </c>
      <c r="D38" s="10">
        <v>0</v>
      </c>
      <c r="E38" s="10">
        <f>C38+D38</f>
        <v>0</v>
      </c>
      <c r="F38" s="10" t="s">
        <v>26</v>
      </c>
      <c r="G38" s="10">
        <f>0+0+0+0+0+0+0+0+0+0+0+0+0+0+0+0+0+0+0+0+0+0+0+0+0+0+0+0+0+0+0</f>
        <v>0</v>
      </c>
      <c r="H38" s="22"/>
      <c r="I38" s="7">
        <v>247.5</v>
      </c>
      <c r="J38" s="14"/>
      <c r="K38" s="37"/>
      <c r="L38" s="27"/>
      <c r="M38" s="38"/>
    </row>
    <row r="39" s="1" customFormat="1" ht="25" customHeight="1" spans="1:13">
      <c r="A39" s="7">
        <v>9</v>
      </c>
      <c r="B39" s="8" t="s">
        <v>64</v>
      </c>
      <c r="C39" s="10">
        <v>0</v>
      </c>
      <c r="D39" s="10">
        <v>0</v>
      </c>
      <c r="E39" s="10">
        <f>C39+D39</f>
        <v>0</v>
      </c>
      <c r="F39" s="10" t="s">
        <v>26</v>
      </c>
      <c r="G39" s="10">
        <f>0+0+0+0+0+0+0+0+0+0+0+0+0+0+0+0+0+0+0+0+0+0+0+0+0+0+0+0+0+0+0</f>
        <v>0</v>
      </c>
      <c r="H39" s="22"/>
      <c r="I39" s="7">
        <v>79.0426</v>
      </c>
      <c r="J39" s="35"/>
      <c r="K39" s="37"/>
      <c r="L39" s="19" t="s">
        <v>112</v>
      </c>
      <c r="M39" s="7">
        <v>20</v>
      </c>
    </row>
    <row r="40" s="1" customFormat="1" ht="25" customHeight="1" spans="1:13">
      <c r="A40" s="7">
        <v>10</v>
      </c>
      <c r="B40" s="8" t="s">
        <v>65</v>
      </c>
      <c r="C40" s="7">
        <v>3</v>
      </c>
      <c r="D40" s="7">
        <v>2</v>
      </c>
      <c r="E40" s="10">
        <f>D40+C40</f>
        <v>5</v>
      </c>
      <c r="F40" s="10" t="s">
        <v>36</v>
      </c>
      <c r="G40" s="10">
        <f>7+3+2+2+3+2+2+4+2+0+2+2+2+5+0+5+2+1+4+4+5+4+3+4+4+3+5+9+9+5+5</f>
        <v>110</v>
      </c>
      <c r="H40" s="22"/>
      <c r="I40" s="10"/>
      <c r="J40" s="35"/>
      <c r="K40" s="27"/>
      <c r="L40" s="19" t="s">
        <v>66</v>
      </c>
      <c r="M40" s="7">
        <v>84</v>
      </c>
    </row>
    <row r="41" s="1" customFormat="1" ht="80" customHeight="1" spans="1:13">
      <c r="A41" s="7">
        <v>11</v>
      </c>
      <c r="B41" s="32" t="s">
        <v>51</v>
      </c>
      <c r="C41" s="27" t="s">
        <v>67</v>
      </c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9" s="1" customFormat="1" spans="3:12">
      <c r="C49" s="33"/>
      <c r="D49" s="33"/>
      <c r="J49" s="34"/>
    </row>
    <row r="50" spans="3:12">
      <c r="L50" s="1"/>
    </row>
  </sheetData>
  <mergeCells count="12">
    <mergeCell ref="A1:M1"/>
    <mergeCell ref="C25:H25"/>
    <mergeCell ref="K25:M25"/>
    <mergeCell ref="C26:H26"/>
    <mergeCell ref="K26:M26"/>
    <mergeCell ref="C27:I27"/>
    <mergeCell ref="K27:M27"/>
    <mergeCell ref="A29:M29"/>
    <mergeCell ref="C41:M41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6.30</vt:lpstr>
      <vt:lpstr>7.1</vt:lpstr>
      <vt:lpstr>7.2</vt:lpstr>
      <vt:lpstr>7.3</vt:lpstr>
      <vt:lpstr>7.4</vt:lpstr>
      <vt:lpstr>7.5</vt:lpstr>
      <vt:lpstr>7.6</vt:lpstr>
      <vt:lpstr>7.7</vt:lpstr>
      <vt:lpstr>7.8</vt:lpstr>
      <vt:lpstr>7.9</vt:lpstr>
      <vt:lpstr>7.10</vt:lpstr>
      <vt:lpstr>7.11</vt:lpstr>
      <vt:lpstr>7.12</vt:lpstr>
      <vt:lpstr>7.13</vt:lpstr>
      <vt:lpstr>7.14</vt:lpstr>
      <vt:lpstr>7.15</vt:lpstr>
      <vt:lpstr>7.16</vt:lpstr>
      <vt:lpstr>7.17</vt:lpstr>
      <vt:lpstr>7.18</vt:lpstr>
      <vt:lpstr>7.19</vt:lpstr>
      <vt:lpstr>7.20</vt:lpstr>
      <vt:lpstr>7.21</vt:lpstr>
      <vt:lpstr>7.22</vt:lpstr>
      <vt:lpstr>7.23</vt:lpstr>
      <vt:lpstr>7.24</vt:lpstr>
      <vt:lpstr>7.25</vt:lpstr>
      <vt:lpstr>7.26</vt:lpstr>
      <vt:lpstr>7.27</vt:lpstr>
      <vt:lpstr>7.28</vt:lpstr>
      <vt:lpstr>7.29</vt:lpstr>
      <vt:lpstr>7.30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2026-08-25T07:47:19Z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6232A2274CB54920BC2CDF5A93C2DEC2_13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