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12" activeTab="30"/>
  </bookViews>
  <sheets>
    <sheet name="4.30" sheetId="1" r:id="rId1"/>
    <sheet name="5.1" sheetId="2" r:id="rId2"/>
    <sheet name="5.2" sheetId="3" r:id="rId3"/>
    <sheet name="5.3" sheetId="4" r:id="rId4"/>
    <sheet name="5.4" sheetId="5" r:id="rId5"/>
    <sheet name="5.5" sheetId="6" r:id="rId6"/>
    <sheet name="5.6" sheetId="7" r:id="rId7"/>
    <sheet name="5.7" sheetId="8" r:id="rId8"/>
    <sheet name="5.8" sheetId="9" r:id="rId9"/>
    <sheet name="5.9" sheetId="10" r:id="rId10"/>
    <sheet name="5.10" sheetId="11" r:id="rId11"/>
    <sheet name="5.11" sheetId="12" r:id="rId12"/>
    <sheet name="5.12" sheetId="13" r:id="rId13"/>
    <sheet name="5.13" sheetId="14" r:id="rId14"/>
    <sheet name="5.14" sheetId="15" r:id="rId15"/>
    <sheet name="5.15" sheetId="16" r:id="rId16"/>
    <sheet name="5.16" sheetId="17" r:id="rId17"/>
    <sheet name="5.17" sheetId="18" r:id="rId18"/>
    <sheet name="5.18" sheetId="19" r:id="rId19"/>
    <sheet name="5.19" sheetId="20" r:id="rId20"/>
    <sheet name="5.20" sheetId="21" r:id="rId21"/>
    <sheet name="5.21" sheetId="22" r:id="rId22"/>
    <sheet name="5.22" sheetId="23" r:id="rId23"/>
    <sheet name="5.23" sheetId="24" r:id="rId24"/>
    <sheet name="5.24" sheetId="25" r:id="rId25"/>
    <sheet name="5.25" sheetId="26" r:id="rId26"/>
    <sheet name="5.26" sheetId="27" r:id="rId27"/>
    <sheet name="5.27" sheetId="28" r:id="rId28"/>
    <sheet name="5.28" sheetId="29" r:id="rId29"/>
    <sheet name="5.29" sheetId="30" r:id="rId30"/>
    <sheet name="5.30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sharedStrings.xml><?xml version="1.0" encoding="utf-8"?>
<sst xmlns="http://schemas.openxmlformats.org/spreadsheetml/2006/main" count="3138" uniqueCount="186">
  <si>
    <t>103车间4月30日生产情况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</si>
  <si>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</si>
  <si>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</si>
  <si>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</si>
  <si>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</si>
  <si>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</si>
  <si>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</si>
  <si>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</si>
  <si>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</si>
  <si>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</si>
  <si>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</si>
  <si>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</si>
  <si>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</si>
  <si>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</si>
  <si>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</si>
  <si>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</si>
  <si>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硫酸钠（干料）</t>
  </si>
  <si>
    <t>硫酸钠（湿料）</t>
  </si>
  <si>
    <t>硫酸钠杂质料</t>
  </si>
  <si>
    <t>硫酸钠落地料</t>
  </si>
  <si>
    <t>外售硫酸锂</t>
  </si>
  <si>
    <t>剩余硫酸锂量（车）：</t>
  </si>
  <si>
    <t>液碱</t>
  </si>
  <si>
    <t>累计外卖硫酸锂金属量：</t>
  </si>
  <si>
    <t>硫酸</t>
  </si>
  <si>
    <t>除杂退料</t>
  </si>
  <si>
    <t>合成前液</t>
  </si>
  <si>
    <t>m³</t>
  </si>
  <si>
    <t>接102气浮除油后液</t>
  </si>
  <si>
    <t>气浮除油锂金属量：</t>
  </si>
  <si>
    <t>碳酸钠</t>
  </si>
  <si>
    <t>累计接料锂金属量：</t>
  </si>
  <si>
    <t>偏铝酸钠</t>
  </si>
  <si>
    <t>除氟剂</t>
  </si>
  <si>
    <t>活性炭</t>
  </si>
  <si>
    <t>活性炭渣</t>
  </si>
  <si>
    <t>包</t>
  </si>
  <si>
    <t>冷凝水</t>
  </si>
  <si>
    <t>蒸发累计时长\平均蒸发量：</t>
  </si>
  <si>
    <t>蒸发前液进料累计量</t>
  </si>
  <si>
    <t>二效氯离子量</t>
  </si>
  <si>
    <t>g/L</t>
  </si>
  <si>
    <t>需协调事项</t>
  </si>
  <si>
    <t>1、原炭浆化槽AB、除重F、碳酸钠配置AB，需加装吨袋破包装置，消除人工割袋作业的安全隐患；另外，除氟A需增加投料口和破包装置。</t>
  </si>
  <si>
    <t>维修事宜</t>
  </si>
  <si>
    <t>计划情况</t>
  </si>
  <si>
    <t>1、蒸发正常开机，关注元明粉有无杂质；
2、清理卫生；
3、外协施工时注意安全监护；
4、关注外排水PH、镍指标。</t>
  </si>
  <si>
    <t>104车间4月30日生产情况</t>
  </si>
  <si>
    <t>序号</t>
  </si>
  <si>
    <t>内容</t>
  </si>
  <si>
    <t>接102废液</t>
  </si>
  <si>
    <t>接102返镁液</t>
  </si>
  <si>
    <t>接生活废水</t>
  </si>
  <si>
    <t>使用自来水</t>
  </si>
  <si>
    <t>外排水</t>
  </si>
  <si>
    <t>雨水池处理量</t>
  </si>
  <si>
    <t>除COD池处理量</t>
  </si>
  <si>
    <t>钴渣产出</t>
  </si>
  <si>
    <t>1、下雨应急水池关闭，外排打开；
2、104正常处理废水；</t>
  </si>
  <si>
    <t>103车间5月1日生产情况</t>
  </si>
  <si>
    <t>104车间5月1日生产情况</t>
  </si>
  <si>
    <t>103车间5月2日生产情况</t>
  </si>
  <si>
    <t>1、碳酸钠压滤管道漏需补焊，该处管道漏料频繁，已联系四化建将这一段管道换掉；
2、除氟C压滤机油缸漏油。</t>
  </si>
  <si>
    <t>104车间5月2日生产情况</t>
  </si>
  <si>
    <t>103车间5月3日生产情况</t>
  </si>
  <si>
    <t>104车间5月3日生产情况</t>
  </si>
  <si>
    <t>103车间5月4日生产情况</t>
  </si>
  <si>
    <t>104车间5月4日生产情况</t>
  </si>
  <si>
    <t>103车间5月5日生产情况</t>
  </si>
  <si>
    <t>1、MVR保温外皮脱落需维修；
2、沸腾床后关风机需尽快维修好。</t>
  </si>
  <si>
    <t>104车间5月5日生产情况</t>
  </si>
  <si>
    <t>103车间5月6日生产情况</t>
  </si>
  <si>
    <t>1、沸腾床后关风机需尽快维修好。</t>
  </si>
  <si>
    <t>104车间5月6日生产情况</t>
  </si>
  <si>
    <t>103车间5月7日生产情况</t>
  </si>
  <si>
    <t>1、碳酸钠配置AB，搅拌支架以上投料口拆除，四周封闭，安装破包装置，护栏降低；
2、MVR保温安全隐患需尽快解决。</t>
  </si>
  <si>
    <t>1、硫酸钠铰刀减速机恢复；
2、碳酸钠管路漏点；
3、排污泵检查；
4、合成釜厂家到车间处理人孔。</t>
  </si>
  <si>
    <t>1、蒸发退料后加料开车；
2、清理卫生；
3、外协施工时注意安全监护；
4、关注外排水PH、镍指标。</t>
  </si>
  <si>
    <t>104车间5月7日生产情况</t>
  </si>
  <si>
    <t>103车间5月8日生产情况</t>
  </si>
  <si>
    <t>1、碳酸钠配置AB，搅拌支架以上投料口拆除，四周封闭，安装破包装置，护栏降低。</t>
  </si>
  <si>
    <t>1、MVR二效上部外协搭架子重新做保温；
2、合成釜厂家到车间处理人孔。</t>
  </si>
  <si>
    <t>1、蒸发发正常开机，关注蒸发量；
2、清理卫生；
3、外协施工时注意安全监护；
4、关注外排水PH、镍指标。</t>
  </si>
  <si>
    <t>104车间5月8日生产情况</t>
  </si>
  <si>
    <t>103车间5月9日生产情况</t>
  </si>
  <si>
    <t>104车间5月9日生产情况</t>
  </si>
  <si>
    <t>103车间5月10日生产情况</t>
  </si>
  <si>
    <t>1、碳酸钠配置AB，搅拌支架以上投料口拆除，四周封闭，安装破包装置，护栏降低；
2、除氟剂渣明天需要出一车；
3、元明粉库房满；
4、硫酸锂需尽快拉走。</t>
  </si>
  <si>
    <t>104车间5月10日生产情况</t>
  </si>
  <si>
    <t>103车间5月11日生产情况</t>
  </si>
  <si>
    <t>1、碳酸钠配置AB，搅拌支架以上投料口拆除，四周封闭，安装破包装置，护栏降低；
2、硫酸锂需尽快拉走。</t>
  </si>
  <si>
    <t>1、MVR二效上部铁皮已做，正在做防腐；
2、合成釜厂家到车间处理人孔。</t>
  </si>
  <si>
    <t>104车间5月11日生产情况</t>
  </si>
  <si>
    <t>103车间5月12日生产情况</t>
  </si>
  <si>
    <t>1、合成釜厂家到车间处理人孔；
2、104车间除COD池接潜水泵。</t>
  </si>
  <si>
    <t>104车间5月12日生产情况</t>
  </si>
  <si>
    <t>103车间5月13日生产情况</t>
  </si>
  <si>
    <t>1、合成釜厂家到车间处理人孔；
2、104潜水泵漏电检查维修。</t>
  </si>
  <si>
    <t>104车间5月13日生产情况</t>
  </si>
  <si>
    <t>103车间5月14日生产情况</t>
  </si>
  <si>
    <t>1、碳酸钠配置AB，搅拌支架以上投料口拆除，四周封闭，安装破包装置，护栏降低；
2、处理池子底部立杆泵；
3、除氟6台PH计需设备部尽快提报；
4、碳酸锂人孔6个平台。</t>
  </si>
  <si>
    <t>1、合成釜厂家到车间处理人孔；</t>
  </si>
  <si>
    <t>104车间5月14日生产情况</t>
  </si>
  <si>
    <t>103车间5月15日生产情况</t>
  </si>
  <si>
    <t>1、碳酸钠配置AB，搅拌支架以上投料口拆除，四周封闭，安装破包装置，护栏降低；
2、除氟6台PH计需设备部尽快提报；
3、碳酸锂人孔6个平台。</t>
  </si>
  <si>
    <t>104车间5月15日生产情况</t>
  </si>
  <si>
    <t>103车间5月16日生产情况</t>
  </si>
  <si>
    <t>剩余硫酸锂量（吨）：</t>
  </si>
  <si>
    <t>104车间5月16日生产情况</t>
  </si>
  <si>
    <t>103车间5月17日生产情况</t>
  </si>
  <si>
    <t>1、碳酸锂AB泵维修；</t>
  </si>
  <si>
    <t>104车间5月17日生产情况</t>
  </si>
  <si>
    <t>103车间5月18日生产情况</t>
  </si>
  <si>
    <t>1、碳酸钠配置AB，搅拌支架以上投料口拆除，四周封闭，安装破包装置，护栏降低；
2、除氟6台PH计需设备部尽快提报；</t>
  </si>
  <si>
    <t>1、MVR机封水罐安装液位计；
2、合成釜F已清空可以维修。</t>
  </si>
  <si>
    <t>104车间5月18日生产情况</t>
  </si>
  <si>
    <t>103车间5月19日生产情况</t>
  </si>
  <si>
    <t>1、碳酸锂包装机料仓气动下料阀需安装振打器避免堵料；
2、夜班无电工导致泵跳闸无法及时恢复；
3、需设备联系MVR厂家将沉降罐出晶体管路接到二效循环的进口避免超电流；
4、合成釜保温需及时恢复。</t>
  </si>
  <si>
    <t>1、合成釜F更换轴承，恢复电机、减速器；</t>
  </si>
  <si>
    <t>104车间5月19日生产情况</t>
  </si>
  <si>
    <t>镍渣：38包</t>
  </si>
  <si>
    <t>104剩余渣总数：</t>
  </si>
  <si>
    <t>103车间5月20日生产情况</t>
  </si>
  <si>
    <t>1、夜班无电工导致泵跳闸无法及时恢复；
2、需设备联系MVR厂家将沉降罐出晶体管路接到二效循环的进口避免超电流。</t>
  </si>
  <si>
    <t>1、合成釜F更换轴承，恢复电机、减速器；
2、合成D釜布料器排净阀漏；
3、碳酸锂包装机下料斗安装振打器。</t>
  </si>
  <si>
    <t>104车间5月20日生产情况</t>
  </si>
  <si>
    <t>1、下雨应急水池关闭，外排打开；
2、104正常处理废水；
3、104拉走15包渣。</t>
  </si>
  <si>
    <t>103车间5月21日生产情况</t>
  </si>
  <si>
    <t>1、需设备联系MVR厂家将沉降罐出晶体管路接到二效循环的进口避免超电流。</t>
  </si>
  <si>
    <t>1、合成釜F搅拌桨弯曲需矫正，恢复电机、减速器；
2、MVR沉锂泵对口；</t>
  </si>
  <si>
    <t>1、蒸发退料；
2、清理卫生；
3、外协施工时注意安全监护；
4、关注外排水PH、镍指标。</t>
  </si>
  <si>
    <t>104车间5月21日生产情况</t>
  </si>
  <si>
    <t>103车间5月22日生产情况</t>
  </si>
  <si>
    <t>1、合成釜F恢复搅拌桨、电机、减速器；
2、MVR沉锂泵继续对口；</t>
  </si>
  <si>
    <t>104车间5月22日生产情况</t>
  </si>
  <si>
    <t>103车间5月23日生产情况</t>
  </si>
  <si>
    <t>1、合成釜F恢复搅拌桨、电机、减速器；
2、更换压榨水管道止回阀；</t>
  </si>
  <si>
    <t>104车间5月23日生产情况</t>
  </si>
  <si>
    <t>103车间5月24日生产情况</t>
  </si>
  <si>
    <t>1、合成釜F恢复搅拌桨、电机、减速器；
2、碳酸锂离心机下料斗需要补焊；
3、一效循环泵1安装泵头；
4、排污泵冲洗管件已到齐，待停机后安装。</t>
  </si>
  <si>
    <t>104车间5月24日生产情况</t>
  </si>
  <si>
    <t>103车间5月25日生产情况</t>
  </si>
  <si>
    <t>1、合成釜F人孔回装；
2、MVR排污泵安装管道。</t>
  </si>
  <si>
    <t>104车间5月25日生产情况</t>
  </si>
  <si>
    <t>1、下雨应急水池关闭，外排打开；
2、104正常处理废水。</t>
  </si>
  <si>
    <t>103车间5月26日生产情况</t>
  </si>
  <si>
    <t>1、MVR一号离心机异常超电流，二号离心机频繁跳闸、振动大急需维修；
2、除氟B泵异响需检测维修。</t>
  </si>
  <si>
    <t>104车间5月26日生产情况</t>
  </si>
  <si>
    <t>103车间5月27日生产情况</t>
  </si>
  <si>
    <t>班次</t>
  </si>
  <si>
    <t>设备维护计划</t>
  </si>
  <si>
    <t>完成情况</t>
  </si>
  <si>
    <t>纯水储罐区</t>
  </si>
  <si>
    <t>已完成</t>
  </si>
  <si>
    <t>一次浆洗CD</t>
  </si>
  <si>
    <t>二次浆洗CD</t>
  </si>
  <si>
    <t>卸渣区地沟</t>
  </si>
  <si>
    <t>碳酸锂AB压滤机</t>
  </si>
  <si>
    <t>一次浆洗AB压滤机</t>
  </si>
  <si>
    <t>1、碳酸钠泵出口弯头漏料；
2、纯水B泵上方管道滴漏。</t>
  </si>
  <si>
    <t>104车间5月27日生产情况</t>
  </si>
  <si>
    <t>103车间5月28日生产情况</t>
  </si>
  <si>
    <t>碳酸锂AB离心机</t>
  </si>
  <si>
    <t>碳酸锂C压滤机</t>
  </si>
  <si>
    <t>一次浆洗C压滤机</t>
  </si>
  <si>
    <t>蒸发预调C压滤机</t>
  </si>
  <si>
    <t>除重D压滤机</t>
  </si>
  <si>
    <t>除氟CD压滤机</t>
  </si>
  <si>
    <t>104车间5月28日生产情况</t>
  </si>
  <si>
    <t>103车间5月29日生产情况</t>
  </si>
  <si>
    <t>除杂C压滤机</t>
  </si>
  <si>
    <t>除氟A釜</t>
  </si>
  <si>
    <t>合成D釜</t>
  </si>
  <si>
    <t>纯水区域</t>
  </si>
  <si>
    <t>未完成</t>
  </si>
  <si>
    <t>1、合成前液A泵漏料；
2、除氟B管道漏硫酸；
3、MVR排污管冲洗水对口。</t>
  </si>
  <si>
    <t>1、蒸发停机；
2、清理卫生；
3、外协施工时注意安全监护；
4、关注外排水PH、镍指标。</t>
  </si>
  <si>
    <t>104车间5月29日生产情况</t>
  </si>
  <si>
    <t>103车间5月30日生产情况</t>
  </si>
  <si>
    <t>除重A釜</t>
  </si>
  <si>
    <t>除重B釜</t>
  </si>
  <si>
    <t>除重C釜</t>
  </si>
  <si>
    <t>合成E釜</t>
  </si>
  <si>
    <t>合成F釜</t>
  </si>
  <si>
    <t>二次洗液储槽</t>
  </si>
  <si>
    <t>104车间5月30日生产情况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</si>
</sst>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3" borderId="12">
      <alignment vertical="center"/>
    </xf>
    <xf numFmtId="0" fontId="17" fillId="4" borderId="13">
      <alignment vertical="center"/>
    </xf>
    <xf numFmtId="0" fontId="18" fillId="4" borderId="12">
      <alignment vertical="center"/>
    </xf>
    <xf numFmtId="0" fontId="19" fillId="5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Continuous" vertical="center"/>
    </xf>
    <xf numFmtId="176" fontId="1" fillId="0" borderId="1" xfId="0" applyNumberFormat="1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5" xfId="0" applyBorder="1" applyAlignment="1"/>
    <xf numFmtId="49" fontId="4" fillId="0" borderId="3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2" xfId="0" applyBorder="1" applyAlignment="1"/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3.5</v>
      </c>
      <c r="D3" s="11">
        <v>5</v>
      </c>
      <c r="E3" s="12">
        <f t="shared" ref="E3:E12" si="0">C3+D3</f>
        <v>8.5</v>
      </c>
      <c r="F3" s="12" t="s">
        <v>14</v>
      </c>
      <c r="G3" s="12">
        <f>8.5</f>
        <v>8.5</v>
      </c>
      <c r="H3" s="12">
        <v>340</v>
      </c>
      <c r="I3" s="12">
        <f>H3-G3</f>
        <v>331.5</v>
      </c>
      <c r="J3" s="13"/>
      <c r="K3" s="12"/>
      <c r="L3" s="12"/>
      <c r="M3" s="12">
        <f>I3/30</f>
        <v>11.05</v>
      </c>
    </row>
    <row r="4" s="1" customFormat="1" ht="38" customHeight="1" spans="1:13">
      <c r="A4" s="16">
        <v>2</v>
      </c>
      <c r="B4" s="10" t="s">
        <v>15</v>
      </c>
      <c r="C4" s="11">
        <v>12</v>
      </c>
      <c r="D4" s="11"/>
      <c r="E4" s="12">
        <f t="shared" si="0"/>
        <v>12</v>
      </c>
      <c r="F4" s="12" t="s">
        <v>14</v>
      </c>
      <c r="G4" s="12">
        <f>12</f>
        <v>12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23</v>
      </c>
      <c r="D5" s="12">
        <v>104</v>
      </c>
      <c r="E5" s="12">
        <f t="shared" si="0"/>
        <v>127</v>
      </c>
      <c r="F5" s="12" t="s">
        <v>14</v>
      </c>
      <c r="G5" s="12">
        <f>127</f>
        <v>127</v>
      </c>
      <c r="H5" s="12">
        <v>5239</v>
      </c>
      <c r="I5" s="12">
        <f>H5-G5-G7-G6</f>
        <v>5112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</f>
        <v>0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116.84</v>
      </c>
      <c r="D9" s="17"/>
      <c r="E9" s="12">
        <f t="shared" si="0"/>
        <v>116.84</v>
      </c>
      <c r="F9" s="17" t="s">
        <v>14</v>
      </c>
      <c r="G9" s="12">
        <f>116.84</f>
        <v>116.84</v>
      </c>
      <c r="H9" s="17">
        <v>6.27</v>
      </c>
      <c r="I9" s="17">
        <f>H9-K10</f>
        <v>5.323596</v>
      </c>
      <c r="J9" s="22" t="s">
        <v>21</v>
      </c>
      <c r="K9" s="17">
        <v>2</v>
      </c>
      <c r="L9" s="17">
        <v>0.81</v>
      </c>
      <c r="M9" s="46"/>
    </row>
    <row r="10" s="1" customFormat="1" ht="25" customHeight="1" spans="1:13">
      <c r="A10" s="9">
        <v>5</v>
      </c>
      <c r="B10" s="10" t="s">
        <v>22</v>
      </c>
      <c r="C10" s="12">
        <v>7.9515</v>
      </c>
      <c r="D10" s="12">
        <v>1.89</v>
      </c>
      <c r="E10" s="12">
        <f t="shared" si="0"/>
        <v>9.8415</v>
      </c>
      <c r="F10" s="12" t="s">
        <v>14</v>
      </c>
      <c r="G10" s="12">
        <f>9.8415</f>
        <v>9.8415</v>
      </c>
      <c r="H10" s="12"/>
      <c r="I10" s="12">
        <f>G10/(G3*0.1865)</f>
        <v>6.20816905850812</v>
      </c>
      <c r="J10" s="22" t="s">
        <v>23</v>
      </c>
      <c r="K10" s="23">
        <f>0.946404</f>
        <v>0.946404</v>
      </c>
      <c r="L10" s="12"/>
      <c r="M10" s="12">
        <f>C9*L9/100</f>
        <v>0.946404</v>
      </c>
    </row>
    <row r="11" s="1" customFormat="1" ht="25" customHeight="1" spans="1:13">
      <c r="A11" s="9">
        <v>6</v>
      </c>
      <c r="B11" s="10" t="s">
        <v>24</v>
      </c>
      <c r="C11" s="12">
        <v>16.8544</v>
      </c>
      <c r="D11" s="12">
        <v>0</v>
      </c>
      <c r="E11" s="12">
        <f t="shared" si="0"/>
        <v>16.8544</v>
      </c>
      <c r="F11" s="12" t="s">
        <v>14</v>
      </c>
      <c r="G11" s="12">
        <f>16.8544</f>
        <v>16.8544</v>
      </c>
      <c r="H11" s="12"/>
      <c r="I11" s="12">
        <f>G11/(G3*0.1865)</f>
        <v>10.6320138779372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39</v>
      </c>
      <c r="D12" s="12">
        <v>241</v>
      </c>
      <c r="E12" s="12">
        <f t="shared" si="0"/>
        <v>280</v>
      </c>
      <c r="F12" s="12"/>
      <c r="G12" s="12">
        <f>280</f>
        <v>280</v>
      </c>
      <c r="H12" s="12">
        <f>G12*1.05</f>
        <v>294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38</v>
      </c>
      <c r="D13" s="12">
        <v>244</v>
      </c>
      <c r="E13" s="12">
        <f t="shared" ref="E13:E21" si="1">D13+C13</f>
        <v>282</v>
      </c>
      <c r="F13" s="12" t="s">
        <v>27</v>
      </c>
      <c r="G13" s="12">
        <f>282</f>
        <v>282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347.41</v>
      </c>
      <c r="D14" s="12">
        <v>330.25</v>
      </c>
      <c r="E14" s="12">
        <f t="shared" si="1"/>
        <v>677.66</v>
      </c>
      <c r="F14" s="12" t="s">
        <v>27</v>
      </c>
      <c r="G14" s="12">
        <f>677.66</f>
        <v>677.66</v>
      </c>
      <c r="H14" s="12"/>
      <c r="I14" s="12"/>
      <c r="J14" s="22" t="s">
        <v>29</v>
      </c>
      <c r="K14" s="12">
        <v>3.32</v>
      </c>
      <c r="L14" s="12">
        <v>3.27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3</v>
      </c>
      <c r="D15" s="12">
        <v>18</v>
      </c>
      <c r="E15" s="12">
        <f t="shared" si="1"/>
        <v>21</v>
      </c>
      <c r="F15" s="12" t="s">
        <v>14</v>
      </c>
      <c r="G15" s="12">
        <f>21</f>
        <v>21</v>
      </c>
      <c r="H15" s="12"/>
      <c r="I15" s="12">
        <f>G15/(G3*0.1865)</f>
        <v>13.2471219050623</v>
      </c>
      <c r="J15" s="22" t="s">
        <v>31</v>
      </c>
      <c r="K15" s="23">
        <f>2.2333187</f>
        <v>2.2333187</v>
      </c>
      <c r="L15" s="12"/>
      <c r="M15" s="12">
        <f>(C14*K14+L14*D14)/1000</f>
        <v>2.2333187</v>
      </c>
    </row>
    <row r="16" s="1" customFormat="1" ht="25" customHeight="1" spans="1:13">
      <c r="A16" s="9">
        <v>11</v>
      </c>
      <c r="B16" s="10" t="s">
        <v>32</v>
      </c>
      <c r="C16" s="9">
        <v>0.0125</v>
      </c>
      <c r="D16" s="9">
        <v>0</v>
      </c>
      <c r="E16" s="12">
        <f t="shared" si="1"/>
        <v>0.0125</v>
      </c>
      <c r="F16" s="12" t="s">
        <v>14</v>
      </c>
      <c r="G16" s="12">
        <f>0.0125</f>
        <v>0.0125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</f>
        <v>2</v>
      </c>
      <c r="H17" s="27"/>
      <c r="I17" s="12">
        <f>G17/(G3*0.1865)</f>
        <v>1.26163065762498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</f>
        <v>2</v>
      </c>
      <c r="H18" s="27"/>
      <c r="I18" s="12">
        <f>G18/(G3*0.1865)</f>
        <v>1.26163065762498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6</v>
      </c>
      <c r="D19" s="9">
        <v>4</v>
      </c>
      <c r="E19" s="12">
        <f t="shared" si="1"/>
        <v>10</v>
      </c>
      <c r="F19" s="12" t="s">
        <v>36</v>
      </c>
      <c r="G19" s="12">
        <f>10</f>
        <v>10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340</v>
      </c>
      <c r="D20" s="9">
        <v>671</v>
      </c>
      <c r="E20" s="12">
        <f t="shared" si="1"/>
        <v>1011</v>
      </c>
      <c r="F20" s="12" t="s">
        <v>27</v>
      </c>
      <c r="G20" s="12">
        <f>1011</f>
        <v>1011</v>
      </c>
      <c r="H20" s="28"/>
      <c r="I20" s="12">
        <f>E20/M20</f>
        <v>56.1666666666667</v>
      </c>
      <c r="J20" s="22" t="s">
        <v>38</v>
      </c>
      <c r="K20" s="12">
        <f>18</f>
        <v>18</v>
      </c>
      <c r="L20" s="12">
        <f>G20/K20</f>
        <v>56.1666666666667</v>
      </c>
      <c r="M20" s="12">
        <v>18</v>
      </c>
    </row>
    <row r="21" s="1" customFormat="1" ht="25" customHeight="1" spans="1:13">
      <c r="A21" s="16">
        <v>16</v>
      </c>
      <c r="B21" s="10" t="s">
        <v>39</v>
      </c>
      <c r="C21" s="9">
        <v>441</v>
      </c>
      <c r="D21" s="9">
        <v>840</v>
      </c>
      <c r="E21" s="12">
        <f t="shared" si="1"/>
        <v>1281</v>
      </c>
      <c r="F21" s="12" t="s">
        <v>27</v>
      </c>
      <c r="G21" s="12">
        <f>1281</f>
        <v>1281</v>
      </c>
      <c r="H21" s="27"/>
      <c r="I21" s="12">
        <f>E21/M20</f>
        <v>71.1666666666667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0</v>
      </c>
      <c r="D22" s="16">
        <v>28.89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43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E26" s="1"/>
      <c r="F26" s="1"/>
      <c r="G26" s="1"/>
      <c r="H26" s="1"/>
      <c r="I26" s="1"/>
      <c r="J26" s="38"/>
    </row>
    <row r="27" s="1" customFormat="1" ht="45" customHeight="1" spans="1:13">
      <c r="A27" s="5" t="s">
        <v>47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</f>
        <v>0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8.35</v>
      </c>
      <c r="D30" s="12">
        <v>9.28</v>
      </c>
      <c r="E30" s="12">
        <f t="shared" si="2"/>
        <v>17.63</v>
      </c>
      <c r="F30" s="12" t="s">
        <v>27</v>
      </c>
      <c r="G30" s="12">
        <f>17.63</f>
        <v>17.63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18</v>
      </c>
      <c r="D31" s="12">
        <v>10</v>
      </c>
      <c r="E31" s="12">
        <f t="shared" si="2"/>
        <v>28</v>
      </c>
      <c r="F31" s="12" t="s">
        <v>27</v>
      </c>
      <c r="G31" s="12">
        <f>28</f>
        <v>28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4.509</v>
      </c>
      <c r="D32" s="12">
        <v>0</v>
      </c>
      <c r="E32" s="12">
        <f t="shared" si="2"/>
        <v>4.509</v>
      </c>
      <c r="F32" s="12" t="s">
        <v>14</v>
      </c>
      <c r="G32" s="12">
        <f>4.509</f>
        <v>4.509</v>
      </c>
      <c r="H32" s="12"/>
      <c r="I32" s="1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306</v>
      </c>
      <c r="D34" s="12">
        <v>314</v>
      </c>
      <c r="E34" s="12">
        <f t="shared" si="2"/>
        <v>620</v>
      </c>
      <c r="F34" s="12" t="s">
        <v>27</v>
      </c>
      <c r="G34" s="12">
        <f>620</f>
        <v>620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451</v>
      </c>
      <c r="D35" s="12">
        <v>450</v>
      </c>
      <c r="E35" s="12">
        <f t="shared" si="2"/>
        <v>901</v>
      </c>
      <c r="F35" s="12" t="s">
        <v>27</v>
      </c>
      <c r="G35" s="12">
        <f>901</f>
        <v>901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</f>
        <v>0</v>
      </c>
      <c r="H36" s="27"/>
      <c r="I36" s="9">
        <v>405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</f>
        <v>0</v>
      </c>
      <c r="H37" s="27"/>
      <c r="I37" s="9">
        <v>148.5306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</f>
        <v>0</v>
      </c>
      <c r="H38" s="27"/>
      <c r="I38" s="12">
        <v>18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59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8</v>
      </c>
      <c r="D3" s="11">
        <v>8</v>
      </c>
      <c r="E3" s="12">
        <f t="shared" ref="E3:E12" si="0">C3+D3</f>
        <v>16</v>
      </c>
      <c r="F3" s="12" t="s">
        <v>14</v>
      </c>
      <c r="G3" s="12">
        <f>8.5+16</f>
        <v>24.5</v>
      </c>
      <c r="H3" s="12">
        <v>340</v>
      </c>
      <c r="I3" s="12">
        <f>H3-G3</f>
        <v>315.5</v>
      </c>
      <c r="J3" s="13"/>
      <c r="K3" s="12"/>
      <c r="L3" s="12"/>
      <c r="M3" s="12">
        <f>I3/29</f>
        <v>10.8793103448276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</f>
        <v>22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78</v>
      </c>
      <c r="D5" s="12">
        <v>83</v>
      </c>
      <c r="E5" s="12">
        <f t="shared" si="0"/>
        <v>161</v>
      </c>
      <c r="F5" s="12" t="s">
        <v>14</v>
      </c>
      <c r="G5" s="12">
        <f>127+161</f>
        <v>288</v>
      </c>
      <c r="H5" s="12">
        <v>5239</v>
      </c>
      <c r="I5" s="12">
        <f>H5-G5-G7-G6</f>
        <v>4951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</f>
        <v>0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61.93</v>
      </c>
      <c r="D9" s="17"/>
      <c r="E9" s="12">
        <f t="shared" si="0"/>
        <v>61.93</v>
      </c>
      <c r="F9" s="17" t="s">
        <v>14</v>
      </c>
      <c r="G9" s="12">
        <f>116.84+61.93</f>
        <v>178.77</v>
      </c>
      <c r="H9" s="17">
        <v>6.27</v>
      </c>
      <c r="I9" s="17">
        <f>H9-K10</f>
        <v>4.797191</v>
      </c>
      <c r="J9" s="22" t="s">
        <v>21</v>
      </c>
      <c r="K9" s="17">
        <v>0</v>
      </c>
      <c r="L9" s="17">
        <v>0.85</v>
      </c>
      <c r="M9" s="46"/>
    </row>
    <row r="10" s="1" customFormat="1" ht="25" customHeight="1" spans="1:13">
      <c r="A10" s="9">
        <v>5</v>
      </c>
      <c r="B10" s="10" t="s">
        <v>22</v>
      </c>
      <c r="C10" s="12">
        <v>8.019</v>
      </c>
      <c r="D10" s="12">
        <v>0</v>
      </c>
      <c r="E10" s="12">
        <f t="shared" si="0"/>
        <v>8.019</v>
      </c>
      <c r="F10" s="12" t="s">
        <v>14</v>
      </c>
      <c r="G10" s="12">
        <f>9.8415+8.019</f>
        <v>17.8605</v>
      </c>
      <c r="H10" s="12"/>
      <c r="I10" s="12">
        <f>G10/(G3*0.1865)</f>
        <v>3.9088471849866</v>
      </c>
      <c r="J10" s="22" t="s">
        <v>23</v>
      </c>
      <c r="K10" s="23">
        <f>0.946404+0.526405</f>
        <v>1.472809</v>
      </c>
      <c r="L10" s="12"/>
      <c r="M10" s="12">
        <f>C9*L9/100</f>
        <v>0.526405</v>
      </c>
    </row>
    <row r="11" s="1" customFormat="1" ht="25" customHeight="1" spans="1:13">
      <c r="A11" s="9">
        <v>6</v>
      </c>
      <c r="B11" s="10" t="s">
        <v>24</v>
      </c>
      <c r="C11" s="12">
        <v>8.4824</v>
      </c>
      <c r="D11" s="12">
        <v>0</v>
      </c>
      <c r="E11" s="12">
        <f t="shared" si="0"/>
        <v>8.4824</v>
      </c>
      <c r="F11" s="12" t="s">
        <v>14</v>
      </c>
      <c r="G11" s="12">
        <f>16.8544+8.4824</f>
        <v>25.3368</v>
      </c>
      <c r="H11" s="12"/>
      <c r="I11" s="12">
        <f>G11/(G3*0.1865)</f>
        <v>5.54506757126443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272</v>
      </c>
      <c r="D12" s="12">
        <v>223</v>
      </c>
      <c r="E12" s="12">
        <f t="shared" si="0"/>
        <v>495</v>
      </c>
      <c r="F12" s="12"/>
      <c r="G12" s="12">
        <f>280+495</f>
        <v>775</v>
      </c>
      <c r="H12" s="12">
        <f>G12*1.05</f>
        <v>813.75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224</v>
      </c>
      <c r="D13" s="12">
        <v>212</v>
      </c>
      <c r="E13" s="12">
        <f t="shared" ref="E13:E21" si="1">D13+C13</f>
        <v>436</v>
      </c>
      <c r="F13" s="12" t="s">
        <v>27</v>
      </c>
      <c r="G13" s="12">
        <f>282+436</f>
        <v>718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354.9</v>
      </c>
      <c r="D14" s="12">
        <v>377.29</v>
      </c>
      <c r="E14" s="12">
        <f t="shared" si="1"/>
        <v>732.19</v>
      </c>
      <c r="F14" s="12" t="s">
        <v>27</v>
      </c>
      <c r="G14" s="12">
        <f>677.66+732.19</f>
        <v>1409.85</v>
      </c>
      <c r="H14" s="12"/>
      <c r="I14" s="12"/>
      <c r="J14" s="22" t="s">
        <v>29</v>
      </c>
      <c r="K14" s="12">
        <v>3.29</v>
      </c>
      <c r="L14" s="12">
        <v>3.44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21</v>
      </c>
      <c r="D15" s="12">
        <v>18</v>
      </c>
      <c r="E15" s="12">
        <f t="shared" si="1"/>
        <v>39</v>
      </c>
      <c r="F15" s="12" t="s">
        <v>14</v>
      </c>
      <c r="G15" s="12">
        <f>21+39</f>
        <v>60</v>
      </c>
      <c r="H15" s="12"/>
      <c r="I15" s="12">
        <f>G15/(G3*0.1865)</f>
        <v>13.1312578650763</v>
      </c>
      <c r="J15" s="22" t="s">
        <v>31</v>
      </c>
      <c r="K15" s="23">
        <f>2.2333187+2.4654986</f>
        <v>4.6988173</v>
      </c>
      <c r="L15" s="12"/>
      <c r="M15" s="12">
        <f>(C14*K14+L14*D14)/1000</f>
        <v>2.4654986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</f>
        <v>0.0125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</f>
        <v>2</v>
      </c>
      <c r="H17" s="27"/>
      <c r="I17" s="12">
        <f>G17/(G3*0.1865)</f>
        <v>0.437708595502544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</f>
        <v>2</v>
      </c>
      <c r="H18" s="27"/>
      <c r="I18" s="12">
        <f>G18/(G3*0.1865)</f>
        <v>0.437708595502544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0</v>
      </c>
      <c r="D19" s="9">
        <v>5</v>
      </c>
      <c r="E19" s="12">
        <f t="shared" si="1"/>
        <v>5</v>
      </c>
      <c r="F19" s="12" t="s">
        <v>36</v>
      </c>
      <c r="G19" s="12">
        <f>10+5</f>
        <v>15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564</v>
      </c>
      <c r="D20" s="9">
        <v>520</v>
      </c>
      <c r="E20" s="12">
        <f t="shared" si="1"/>
        <v>1084</v>
      </c>
      <c r="F20" s="12" t="s">
        <v>27</v>
      </c>
      <c r="G20" s="12">
        <f>1011+1084</f>
        <v>2095</v>
      </c>
      <c r="H20" s="28"/>
      <c r="I20" s="12">
        <f>E20/M20</f>
        <v>45.1666666666667</v>
      </c>
      <c r="J20" s="22" t="s">
        <v>38</v>
      </c>
      <c r="K20" s="12">
        <f>18+24</f>
        <v>42</v>
      </c>
      <c r="L20" s="12">
        <f>G20/K20</f>
        <v>49.8809523809524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754</v>
      </c>
      <c r="D21" s="9">
        <v>667</v>
      </c>
      <c r="E21" s="12">
        <f t="shared" si="1"/>
        <v>1421</v>
      </c>
      <c r="F21" s="12" t="s">
        <v>27</v>
      </c>
      <c r="G21" s="12">
        <f>1281+1421</f>
        <v>2702</v>
      </c>
      <c r="H21" s="27"/>
      <c r="I21" s="12">
        <f>E21/M20</f>
        <v>59.2083333333333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24.87</v>
      </c>
      <c r="D22" s="16">
        <v>25.25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43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60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</f>
        <v>0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</v>
      </c>
      <c r="D30" s="12">
        <v>0</v>
      </c>
      <c r="E30" s="12">
        <f t="shared" si="2"/>
        <v>8.3</v>
      </c>
      <c r="F30" s="12" t="s">
        <v>27</v>
      </c>
      <c r="G30" s="12">
        <f>17.63+8.3</f>
        <v>25.93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16</v>
      </c>
      <c r="D31" s="12">
        <v>9</v>
      </c>
      <c r="E31" s="12">
        <f t="shared" si="2"/>
        <v>25</v>
      </c>
      <c r="F31" s="12" t="s">
        <v>27</v>
      </c>
      <c r="G31" s="12">
        <f>28+25</f>
        <v>53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7.7625</v>
      </c>
      <c r="D32" s="12">
        <v>0</v>
      </c>
      <c r="E32" s="12">
        <f t="shared" si="2"/>
        <v>7.7625</v>
      </c>
      <c r="F32" s="12" t="s">
        <v>14</v>
      </c>
      <c r="G32" s="12">
        <f>4.509+7.7625</f>
        <v>12.2715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310</v>
      </c>
      <c r="D34" s="12">
        <v>309</v>
      </c>
      <c r="E34" s="12">
        <f t="shared" si="2"/>
        <v>619</v>
      </c>
      <c r="F34" s="12" t="s">
        <v>27</v>
      </c>
      <c r="G34" s="12">
        <f>620+619</f>
        <v>1239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452</v>
      </c>
      <c r="D35" s="12">
        <v>459</v>
      </c>
      <c r="E35" s="12">
        <f t="shared" si="2"/>
        <v>911</v>
      </c>
      <c r="F35" s="12" t="s">
        <v>27</v>
      </c>
      <c r="G35" s="12">
        <f>901+911</f>
        <v>1812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</f>
        <v>0</v>
      </c>
      <c r="H36" s="27"/>
      <c r="I36" s="9">
        <v>337.5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</f>
        <v>0</v>
      </c>
      <c r="H37" s="27"/>
      <c r="I37" s="9">
        <v>153.7422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</f>
        <v>0</v>
      </c>
      <c r="H38" s="27"/>
      <c r="I38" s="12">
        <v>18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61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7</v>
      </c>
      <c r="D3" s="11">
        <v>6</v>
      </c>
      <c r="E3" s="12">
        <f t="shared" ref="E3:E12" si="0">C3+D3</f>
        <v>13</v>
      </c>
      <c r="F3" s="12" t="s">
        <v>14</v>
      </c>
      <c r="G3" s="12">
        <f>8.5+16+13</f>
        <v>37.5</v>
      </c>
      <c r="H3" s="12">
        <v>340</v>
      </c>
      <c r="I3" s="12">
        <f>H3-G3</f>
        <v>302.5</v>
      </c>
      <c r="J3" s="13"/>
      <c r="K3" s="12"/>
      <c r="L3" s="12"/>
      <c r="M3" s="12">
        <f>I3/28</f>
        <v>10.8035714285714</v>
      </c>
    </row>
    <row r="4" s="1" customFormat="1" ht="38" customHeight="1" spans="1:13">
      <c r="A4" s="16">
        <v>2</v>
      </c>
      <c r="B4" s="10" t="s">
        <v>15</v>
      </c>
      <c r="C4" s="11">
        <v>18</v>
      </c>
      <c r="D4" s="11"/>
      <c r="E4" s="12">
        <f t="shared" si="0"/>
        <v>18</v>
      </c>
      <c r="F4" s="12" t="s">
        <v>14</v>
      </c>
      <c r="G4" s="12">
        <f>12+10+18</f>
        <v>40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90</v>
      </c>
      <c r="D5" s="12">
        <v>84</v>
      </c>
      <c r="E5" s="12">
        <f t="shared" si="0"/>
        <v>174</v>
      </c>
      <c r="F5" s="12" t="s">
        <v>14</v>
      </c>
      <c r="G5" s="12">
        <f>127+161+174</f>
        <v>462</v>
      </c>
      <c r="H5" s="12">
        <v>5239</v>
      </c>
      <c r="I5" s="12">
        <f>H5-G5-G7-G6</f>
        <v>4777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</f>
        <v>0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</f>
        <v>178.77</v>
      </c>
      <c r="H9" s="17">
        <v>6.27</v>
      </c>
      <c r="I9" s="17">
        <f>H9-K10</f>
        <v>4.797191</v>
      </c>
      <c r="J9" s="22" t="s">
        <v>21</v>
      </c>
      <c r="K9" s="17">
        <v>2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6.237</v>
      </c>
      <c r="D10" s="12">
        <v>0</v>
      </c>
      <c r="E10" s="12">
        <f t="shared" si="0"/>
        <v>6.237</v>
      </c>
      <c r="F10" s="12" t="s">
        <v>14</v>
      </c>
      <c r="G10" s="12">
        <f>9.8415+8.019+6.237</f>
        <v>24.0975</v>
      </c>
      <c r="H10" s="12"/>
      <c r="I10" s="12">
        <f>G10/(G3*0.1865)</f>
        <v>3.4455764075067</v>
      </c>
      <c r="J10" s="22" t="s">
        <v>23</v>
      </c>
      <c r="K10" s="23">
        <f>0.946404+0.526405+0</f>
        <v>1.472809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14.9408</v>
      </c>
      <c r="D11" s="12">
        <v>0</v>
      </c>
      <c r="E11" s="12">
        <f t="shared" si="0"/>
        <v>14.9408</v>
      </c>
      <c r="F11" s="12" t="s">
        <v>14</v>
      </c>
      <c r="G11" s="12">
        <f>16.8544+8.4824+14.9408</f>
        <v>40.2776</v>
      </c>
      <c r="H11" s="12"/>
      <c r="I11" s="12">
        <f>G11/(G3*0.1865)</f>
        <v>5.75908489722967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226</v>
      </c>
      <c r="D12" s="12">
        <v>211</v>
      </c>
      <c r="E12" s="12">
        <f t="shared" si="0"/>
        <v>437</v>
      </c>
      <c r="F12" s="12"/>
      <c r="G12" s="12">
        <f>280+495+437</f>
        <v>1212</v>
      </c>
      <c r="H12" s="12">
        <f>G12*1.05</f>
        <v>1272.6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207</v>
      </c>
      <c r="D13" s="12">
        <v>180</v>
      </c>
      <c r="E13" s="12">
        <f t="shared" ref="E13:E21" si="1">D13+C13</f>
        <v>387</v>
      </c>
      <c r="F13" s="12" t="s">
        <v>27</v>
      </c>
      <c r="G13" s="12">
        <f>282+436+387</f>
        <v>1105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394.72</v>
      </c>
      <c r="D14" s="12">
        <v>404.22</v>
      </c>
      <c r="E14" s="12">
        <f t="shared" si="1"/>
        <v>798.94</v>
      </c>
      <c r="F14" s="12" t="s">
        <v>27</v>
      </c>
      <c r="G14" s="12">
        <f>677.66+732.19+798.94</f>
        <v>2208.79</v>
      </c>
      <c r="H14" s="12"/>
      <c r="I14" s="12"/>
      <c r="J14" s="22" t="s">
        <v>29</v>
      </c>
      <c r="K14" s="12">
        <v>3.22</v>
      </c>
      <c r="L14" s="12">
        <v>3.2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15</v>
      </c>
      <c r="E15" s="12">
        <f t="shared" si="1"/>
        <v>30</v>
      </c>
      <c r="F15" s="12" t="s">
        <v>14</v>
      </c>
      <c r="G15" s="12">
        <f>21+39+30</f>
        <v>90</v>
      </c>
      <c r="H15" s="12"/>
      <c r="I15" s="12">
        <f>G15/(G3*0.1865)</f>
        <v>12.8686327077748</v>
      </c>
      <c r="J15" s="22" t="s">
        <v>31</v>
      </c>
      <c r="K15" s="23">
        <f>2.2333187+2.4654986+2.5645024</f>
        <v>7.2633197</v>
      </c>
      <c r="L15" s="12"/>
      <c r="M15" s="12">
        <f>(C14*K14+L14*D14)/1000</f>
        <v>2.5645024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</f>
        <v>0.0125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</f>
        <v>4</v>
      </c>
      <c r="H17" s="27"/>
      <c r="I17" s="12">
        <f>G17/(G3*0.1865)</f>
        <v>0.571939231456658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</f>
        <v>4</v>
      </c>
      <c r="H18" s="27"/>
      <c r="I18" s="12">
        <f>G18/(G3*0.1865)</f>
        <v>0.571939231456658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0</v>
      </c>
      <c r="D19" s="9">
        <v>7</v>
      </c>
      <c r="E19" s="12">
        <f t="shared" si="1"/>
        <v>7</v>
      </c>
      <c r="F19" s="12" t="s">
        <v>36</v>
      </c>
      <c r="G19" s="12">
        <f>10+5+7</f>
        <v>22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521</v>
      </c>
      <c r="D20" s="9">
        <v>515</v>
      </c>
      <c r="E20" s="12">
        <f t="shared" si="1"/>
        <v>1036</v>
      </c>
      <c r="F20" s="12" t="s">
        <v>27</v>
      </c>
      <c r="G20" s="12">
        <f>1011+1084+1036</f>
        <v>3131</v>
      </c>
      <c r="H20" s="28"/>
      <c r="I20" s="12">
        <f>E20/M20</f>
        <v>43.1666666666667</v>
      </c>
      <c r="J20" s="22" t="s">
        <v>38</v>
      </c>
      <c r="K20" s="12">
        <f>18+24+24</f>
        <v>66</v>
      </c>
      <c r="L20" s="12">
        <f>G20/K20</f>
        <v>47.4393939393939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679</v>
      </c>
      <c r="D21" s="9">
        <v>627</v>
      </c>
      <c r="E21" s="12">
        <f t="shared" si="1"/>
        <v>1306</v>
      </c>
      <c r="F21" s="12" t="s">
        <v>27</v>
      </c>
      <c r="G21" s="12">
        <f>1281+1421+1306</f>
        <v>4008</v>
      </c>
      <c r="H21" s="27"/>
      <c r="I21" s="12">
        <f>E21/M20</f>
        <v>54.4166666666667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27.98</v>
      </c>
      <c r="D22" s="16">
        <v>29.72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43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62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63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</f>
        <v>0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6.77</v>
      </c>
      <c r="D30" s="12">
        <v>8.34</v>
      </c>
      <c r="E30" s="12">
        <f t="shared" si="2"/>
        <v>15.11</v>
      </c>
      <c r="F30" s="12" t="s">
        <v>27</v>
      </c>
      <c r="G30" s="12">
        <f>17.63+8.3+15.11</f>
        <v>41.04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19</v>
      </c>
      <c r="D31" s="12">
        <v>9</v>
      </c>
      <c r="E31" s="12">
        <f t="shared" si="2"/>
        <v>28</v>
      </c>
      <c r="F31" s="12" t="s">
        <v>27</v>
      </c>
      <c r="G31" s="12">
        <f>28+25+28</f>
        <v>81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</f>
        <v>12.2715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311</v>
      </c>
      <c r="D34" s="12">
        <v>299</v>
      </c>
      <c r="E34" s="12">
        <f t="shared" si="2"/>
        <v>610</v>
      </c>
      <c r="F34" s="12" t="s">
        <v>27</v>
      </c>
      <c r="G34" s="12">
        <f>620+619+610</f>
        <v>1849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463</v>
      </c>
      <c r="D35" s="12">
        <v>469</v>
      </c>
      <c r="E35" s="12">
        <f t="shared" si="2"/>
        <v>932</v>
      </c>
      <c r="F35" s="12" t="s">
        <v>27</v>
      </c>
      <c r="G35" s="12">
        <f>901+911+932</f>
        <v>2744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</f>
        <v>0</v>
      </c>
      <c r="H36" s="27"/>
      <c r="I36" s="9">
        <v>337.5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</f>
        <v>0</v>
      </c>
      <c r="H37" s="27"/>
      <c r="I37" s="9">
        <v>153.7422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2</v>
      </c>
      <c r="E38" s="12">
        <f>D38+C38</f>
        <v>2</v>
      </c>
      <c r="F38" s="12" t="s">
        <v>36</v>
      </c>
      <c r="G38" s="12">
        <f>0+0+2</f>
        <v>2</v>
      </c>
      <c r="H38" s="27"/>
      <c r="I38" s="12">
        <v>20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64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8</v>
      </c>
      <c r="D3" s="11">
        <v>5</v>
      </c>
      <c r="E3" s="12">
        <f t="shared" ref="E3:E12" si="0">C3+D3</f>
        <v>13</v>
      </c>
      <c r="F3" s="12" t="s">
        <v>14</v>
      </c>
      <c r="G3" s="12">
        <f>8.5+16+13+13</f>
        <v>50.5</v>
      </c>
      <c r="H3" s="12">
        <v>340</v>
      </c>
      <c r="I3" s="12">
        <f>H3-G3</f>
        <v>289.5</v>
      </c>
      <c r="J3" s="13"/>
      <c r="K3" s="12"/>
      <c r="L3" s="12"/>
      <c r="M3" s="12">
        <f>I3/27</f>
        <v>10.7222222222222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</f>
        <v>50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96</v>
      </c>
      <c r="D5" s="12">
        <v>87</v>
      </c>
      <c r="E5" s="12">
        <f t="shared" si="0"/>
        <v>183</v>
      </c>
      <c r="F5" s="12" t="s">
        <v>14</v>
      </c>
      <c r="G5" s="12">
        <f>127+161+174+183</f>
        <v>645</v>
      </c>
      <c r="H5" s="12">
        <v>5239</v>
      </c>
      <c r="I5" s="12">
        <f>H5-G5-G7-G6</f>
        <v>4594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</f>
        <v>0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</f>
        <v>178.77</v>
      </c>
      <c r="H9" s="17">
        <v>6.27</v>
      </c>
      <c r="I9" s="17">
        <f>H9-K10</f>
        <v>4.797191</v>
      </c>
      <c r="J9" s="22" t="s">
        <v>21</v>
      </c>
      <c r="K9" s="17">
        <v>1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10.908</v>
      </c>
      <c r="D10" s="12">
        <v>2.727</v>
      </c>
      <c r="E10" s="12">
        <f t="shared" si="0"/>
        <v>13.635</v>
      </c>
      <c r="F10" s="12" t="s">
        <v>14</v>
      </c>
      <c r="G10" s="12">
        <f>9.8415+8.019+6.237+13.635</f>
        <v>37.7325</v>
      </c>
      <c r="H10" s="12"/>
      <c r="I10" s="12">
        <f>G10/(G3*0.1865)</f>
        <v>4.00631752183261</v>
      </c>
      <c r="J10" s="22" t="s">
        <v>23</v>
      </c>
      <c r="K10" s="23">
        <f>0.946404+0.526405+0+0</f>
        <v>1.472809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17.5168</v>
      </c>
      <c r="D11" s="12">
        <v>0</v>
      </c>
      <c r="E11" s="12">
        <f t="shared" si="0"/>
        <v>17.5168</v>
      </c>
      <c r="F11" s="12" t="s">
        <v>14</v>
      </c>
      <c r="G11" s="12">
        <f>16.8544+8.4824+14.9408+17.5168</f>
        <v>57.7944</v>
      </c>
      <c r="H11" s="12"/>
      <c r="I11" s="12">
        <f>G11/(G3*0.1865)</f>
        <v>6.13642661853317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271</v>
      </c>
      <c r="D12" s="12">
        <v>273</v>
      </c>
      <c r="E12" s="12">
        <f t="shared" si="0"/>
        <v>544</v>
      </c>
      <c r="F12" s="12"/>
      <c r="G12" s="12">
        <f>280+495+437+544</f>
        <v>1756</v>
      </c>
      <c r="H12" s="12">
        <f>G12*1.05</f>
        <v>1843.8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165</v>
      </c>
      <c r="D13" s="12">
        <v>251</v>
      </c>
      <c r="E13" s="12">
        <f t="shared" ref="E13:E21" si="1">D13+C13</f>
        <v>416</v>
      </c>
      <c r="F13" s="12" t="s">
        <v>27</v>
      </c>
      <c r="G13" s="12">
        <f>282+436+387+416</f>
        <v>1521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437.6</v>
      </c>
      <c r="D14" s="12">
        <v>443.84</v>
      </c>
      <c r="E14" s="12">
        <f t="shared" si="1"/>
        <v>881.44</v>
      </c>
      <c r="F14" s="12" t="s">
        <v>27</v>
      </c>
      <c r="G14" s="12">
        <f>677.66+732.19+798.94+881.44</f>
        <v>3090.23</v>
      </c>
      <c r="H14" s="12"/>
      <c r="I14" s="12"/>
      <c r="J14" s="22" t="s">
        <v>29</v>
      </c>
      <c r="K14" s="12">
        <v>3.52</v>
      </c>
      <c r="L14" s="12">
        <v>3.71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12</v>
      </c>
      <c r="D15" s="12">
        <v>21</v>
      </c>
      <c r="E15" s="12">
        <f t="shared" si="1"/>
        <v>33</v>
      </c>
      <c r="F15" s="12" t="s">
        <v>14</v>
      </c>
      <c r="G15" s="12">
        <f>21+39+30+33</f>
        <v>123</v>
      </c>
      <c r="H15" s="12"/>
      <c r="I15" s="12">
        <f>G15/(G3*0.1865)</f>
        <v>13.059751015316</v>
      </c>
      <c r="J15" s="22" t="s">
        <v>31</v>
      </c>
      <c r="K15" s="23">
        <f>2.2333187+2.4654986+2.5645024+3.1869984</f>
        <v>10.4503181</v>
      </c>
      <c r="L15" s="12"/>
      <c r="M15" s="12">
        <f>(C14*K14+L14*D14)/1000</f>
        <v>3.1869984</v>
      </c>
    </row>
    <row r="16" s="1" customFormat="1" ht="25" customHeight="1" spans="1:13">
      <c r="A16" s="9">
        <v>11</v>
      </c>
      <c r="B16" s="10" t="s">
        <v>32</v>
      </c>
      <c r="C16" s="9">
        <v>0.075</v>
      </c>
      <c r="D16" s="9">
        <v>0</v>
      </c>
      <c r="E16" s="12">
        <f t="shared" si="1"/>
        <v>0.075</v>
      </c>
      <c r="F16" s="12" t="s">
        <v>14</v>
      </c>
      <c r="G16" s="12">
        <f>0.0125+0+0+0.075</f>
        <v>0.0875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</f>
        <v>6</v>
      </c>
      <c r="H17" s="27"/>
      <c r="I17" s="12">
        <f>G17/(G3*0.1865)</f>
        <v>0.637061025137366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</f>
        <v>6</v>
      </c>
      <c r="H18" s="27"/>
      <c r="I18" s="12">
        <f>G18/(G3*0.1865)</f>
        <v>0.637061025137366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15</v>
      </c>
      <c r="D19" s="9">
        <v>6</v>
      </c>
      <c r="E19" s="12">
        <f t="shared" si="1"/>
        <v>21</v>
      </c>
      <c r="F19" s="12" t="s">
        <v>36</v>
      </c>
      <c r="G19" s="12">
        <f>10+5+7+21</f>
        <v>43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652</v>
      </c>
      <c r="D20" s="9">
        <v>625</v>
      </c>
      <c r="E20" s="12">
        <f t="shared" si="1"/>
        <v>1277</v>
      </c>
      <c r="F20" s="12" t="s">
        <v>27</v>
      </c>
      <c r="G20" s="12">
        <f>1011+1084+1036+1277</f>
        <v>4408</v>
      </c>
      <c r="H20" s="28"/>
      <c r="I20" s="12">
        <f>E20/M20</f>
        <v>53.2083333333333</v>
      </c>
      <c r="J20" s="22" t="s">
        <v>38</v>
      </c>
      <c r="K20" s="12">
        <f>18+24+24+24</f>
        <v>90</v>
      </c>
      <c r="L20" s="12">
        <f>G20/K20</f>
        <v>48.9777777777778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817</v>
      </c>
      <c r="D21" s="9">
        <v>830</v>
      </c>
      <c r="E21" s="12">
        <f t="shared" si="1"/>
        <v>1647</v>
      </c>
      <c r="F21" s="12" t="s">
        <v>27</v>
      </c>
      <c r="G21" s="12">
        <f>1281+1421+1306+1647</f>
        <v>5655</v>
      </c>
      <c r="H21" s="27"/>
      <c r="I21" s="12">
        <f>E21/M20</f>
        <v>68.625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32.02</v>
      </c>
      <c r="D22" s="16">
        <v>30.91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43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65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</f>
        <v>0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8.34</v>
      </c>
      <c r="D30" s="12">
        <v>8.34</v>
      </c>
      <c r="E30" s="12">
        <f t="shared" si="2"/>
        <v>16.68</v>
      </c>
      <c r="F30" s="12" t="s">
        <v>27</v>
      </c>
      <c r="G30" s="12">
        <f>17.63+8.3+15.11+16.68</f>
        <v>57.72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18</v>
      </c>
      <c r="D31" s="12">
        <v>6</v>
      </c>
      <c r="E31" s="12">
        <f t="shared" si="2"/>
        <v>24</v>
      </c>
      <c r="F31" s="12" t="s">
        <v>27</v>
      </c>
      <c r="G31" s="12">
        <f>28+25+28+24</f>
        <v>105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10.5435</v>
      </c>
      <c r="D32" s="12">
        <v>0</v>
      </c>
      <c r="E32" s="12">
        <f t="shared" si="2"/>
        <v>10.5435</v>
      </c>
      <c r="F32" s="12" t="s">
        <v>14</v>
      </c>
      <c r="G32" s="12">
        <f>4.509+7.7625+0+10.5435</f>
        <v>22.815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330</v>
      </c>
      <c r="D34" s="12">
        <v>302</v>
      </c>
      <c r="E34" s="12">
        <f t="shared" si="2"/>
        <v>632</v>
      </c>
      <c r="F34" s="12" t="s">
        <v>27</v>
      </c>
      <c r="G34" s="12">
        <f>620+619+610+632</f>
        <v>2481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467</v>
      </c>
      <c r="D35" s="12">
        <v>447</v>
      </c>
      <c r="E35" s="12">
        <f t="shared" si="2"/>
        <v>914</v>
      </c>
      <c r="F35" s="12" t="s">
        <v>27</v>
      </c>
      <c r="G35" s="12">
        <f>901+911+932+914</f>
        <v>3658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</f>
        <v>0</v>
      </c>
      <c r="H36" s="27"/>
      <c r="I36" s="9">
        <v>105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</f>
        <v>0</v>
      </c>
      <c r="H37" s="27"/>
      <c r="I37" s="9">
        <v>149.3992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</f>
        <v>2</v>
      </c>
      <c r="H38" s="27"/>
      <c r="I38" s="12">
        <v>20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66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9</v>
      </c>
      <c r="D3" s="11">
        <v>7</v>
      </c>
      <c r="E3" s="12">
        <f t="shared" ref="E3:E12" si="0">C3+D3</f>
        <v>16</v>
      </c>
      <c r="F3" s="12" t="s">
        <v>14</v>
      </c>
      <c r="G3" s="12">
        <f>8.5+16+13+13+16</f>
        <v>66.5</v>
      </c>
      <c r="H3" s="12">
        <v>340</v>
      </c>
      <c r="I3" s="12">
        <f>H3-G3</f>
        <v>273.5</v>
      </c>
      <c r="J3" s="13"/>
      <c r="K3" s="12"/>
      <c r="L3" s="12"/>
      <c r="M3" s="12">
        <f>I3/26</f>
        <v>10.5192307692308</v>
      </c>
    </row>
    <row r="4" s="1" customFormat="1" ht="38" customHeight="1" spans="1:13">
      <c r="A4" s="16">
        <v>2</v>
      </c>
      <c r="B4" s="10" t="s">
        <v>15</v>
      </c>
      <c r="C4" s="11">
        <v>14</v>
      </c>
      <c r="D4" s="11"/>
      <c r="E4" s="12">
        <f t="shared" si="0"/>
        <v>14</v>
      </c>
      <c r="F4" s="12" t="s">
        <v>14</v>
      </c>
      <c r="G4" s="12">
        <f>12+10+18+10+14</f>
        <v>64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89</v>
      </c>
      <c r="D5" s="12">
        <v>23</v>
      </c>
      <c r="E5" s="12">
        <f t="shared" si="0"/>
        <v>112</v>
      </c>
      <c r="F5" s="12" t="s">
        <v>14</v>
      </c>
      <c r="G5" s="12">
        <f>127+161+174+183+112</f>
        <v>757</v>
      </c>
      <c r="H5" s="12">
        <v>5239</v>
      </c>
      <c r="I5" s="12">
        <f>H5-G5-G7-G6</f>
        <v>4482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1</v>
      </c>
      <c r="D8" s="12">
        <v>0</v>
      </c>
      <c r="E8" s="12">
        <f t="shared" si="0"/>
        <v>1</v>
      </c>
      <c r="F8" s="12" t="s">
        <v>14</v>
      </c>
      <c r="G8" s="12">
        <f>0+0+0+0+1</f>
        <v>1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</f>
        <v>178.77</v>
      </c>
      <c r="H9" s="17">
        <v>6.27</v>
      </c>
      <c r="I9" s="17">
        <f>H9-K10</f>
        <v>4.797191</v>
      </c>
      <c r="J9" s="22" t="s">
        <v>21</v>
      </c>
      <c r="K9" s="17">
        <v>2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8.1135</v>
      </c>
      <c r="D10" s="12">
        <v>0</v>
      </c>
      <c r="E10" s="12">
        <f t="shared" si="0"/>
        <v>8.1135</v>
      </c>
      <c r="F10" s="12" t="s">
        <v>14</v>
      </c>
      <c r="G10" s="12">
        <f>9.8415+8.019+6.237+13.635+8.1135</f>
        <v>45.846</v>
      </c>
      <c r="H10" s="12"/>
      <c r="I10" s="12">
        <f>G10/(G3*0.1865)</f>
        <v>3.69658731278599</v>
      </c>
      <c r="J10" s="22" t="s">
        <v>23</v>
      </c>
      <c r="K10" s="23">
        <f>0.946404+0.526405+0+0+0</f>
        <v>1.472809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16.9464</v>
      </c>
      <c r="D11" s="12">
        <v>0</v>
      </c>
      <c r="E11" s="12">
        <f t="shared" si="0"/>
        <v>16.9464</v>
      </c>
      <c r="F11" s="12" t="s">
        <v>14</v>
      </c>
      <c r="G11" s="12">
        <f>16.8544+8.4824+14.9408+17.5168+16.9464</f>
        <v>74.7408</v>
      </c>
      <c r="H11" s="12"/>
      <c r="I11" s="12">
        <f>G11/(G3*0.1865)</f>
        <v>6.02639037271463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271</v>
      </c>
      <c r="D12" s="12">
        <v>109</v>
      </c>
      <c r="E12" s="12">
        <f t="shared" si="0"/>
        <v>380</v>
      </c>
      <c r="F12" s="12"/>
      <c r="G12" s="12">
        <f>280+495+437+544+380</f>
        <v>2136</v>
      </c>
      <c r="H12" s="12">
        <f>G12*1.05</f>
        <v>2242.8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274</v>
      </c>
      <c r="D13" s="12">
        <v>102</v>
      </c>
      <c r="E13" s="12">
        <f t="shared" ref="E13:E21" si="1">D13+C13</f>
        <v>376</v>
      </c>
      <c r="F13" s="12" t="s">
        <v>27</v>
      </c>
      <c r="G13" s="12">
        <f>282+436+387+416+376</f>
        <v>1897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294.85</v>
      </c>
      <c r="D14" s="12">
        <v>224.43</v>
      </c>
      <c r="E14" s="12">
        <f t="shared" si="1"/>
        <v>519.28</v>
      </c>
      <c r="F14" s="12" t="s">
        <v>27</v>
      </c>
      <c r="G14" s="12">
        <f>677.66+732.19+798.94+881.44+519.28</f>
        <v>3609.51</v>
      </c>
      <c r="H14" s="12"/>
      <c r="I14" s="12"/>
      <c r="J14" s="22" t="s">
        <v>29</v>
      </c>
      <c r="K14" s="12">
        <v>3.33</v>
      </c>
      <c r="L14" s="12">
        <v>3.16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21</v>
      </c>
      <c r="D15" s="12">
        <v>12</v>
      </c>
      <c r="E15" s="12">
        <f t="shared" si="1"/>
        <v>33</v>
      </c>
      <c r="F15" s="12" t="s">
        <v>14</v>
      </c>
      <c r="G15" s="12">
        <f>21+39+30+33+33</f>
        <v>156</v>
      </c>
      <c r="H15" s="12"/>
      <c r="I15" s="12">
        <f>G15/(G3*0.1865)</f>
        <v>12.5783627970731</v>
      </c>
      <c r="J15" s="22" t="s">
        <v>31</v>
      </c>
      <c r="K15" s="23">
        <f>2.2333187+2.4654986+2.5645024+3.1869984+1.6910493</f>
        <v>12.1413674</v>
      </c>
      <c r="L15" s="12"/>
      <c r="M15" s="12">
        <f>(C14*K14+L14*D14)/1000</f>
        <v>1.6910493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</f>
        <v>0.0875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</f>
        <v>8</v>
      </c>
      <c r="H17" s="27"/>
      <c r="I17" s="12">
        <f>G17/(G3*0.1865)</f>
        <v>0.645044246003749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</f>
        <v>8</v>
      </c>
      <c r="H18" s="27"/>
      <c r="I18" s="12">
        <f>G18/(G3*0.1865)</f>
        <v>0.645044246003749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2</v>
      </c>
      <c r="D19" s="9">
        <v>7</v>
      </c>
      <c r="E19" s="12">
        <f t="shared" si="1"/>
        <v>9</v>
      </c>
      <c r="F19" s="12" t="s">
        <v>36</v>
      </c>
      <c r="G19" s="12">
        <f>10+5+7+21+9</f>
        <v>52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627</v>
      </c>
      <c r="D20" s="9">
        <v>227</v>
      </c>
      <c r="E20" s="12">
        <f t="shared" si="1"/>
        <v>854</v>
      </c>
      <c r="F20" s="12" t="s">
        <v>27</v>
      </c>
      <c r="G20" s="12">
        <f>1011+1084+1036+1277+854</f>
        <v>5262</v>
      </c>
      <c r="H20" s="28"/>
      <c r="I20" s="12">
        <f>E20/M20</f>
        <v>56.9333333333333</v>
      </c>
      <c r="J20" s="22" t="s">
        <v>38</v>
      </c>
      <c r="K20" s="12">
        <f>18+24+24+24+15</f>
        <v>105</v>
      </c>
      <c r="L20" s="12">
        <f>G20/K20</f>
        <v>50.1142857142857</v>
      </c>
      <c r="M20" s="12">
        <v>15</v>
      </c>
    </row>
    <row r="21" s="1" customFormat="1" ht="25" customHeight="1" spans="1:13">
      <c r="A21" s="16">
        <v>16</v>
      </c>
      <c r="B21" s="10" t="s">
        <v>39</v>
      </c>
      <c r="C21" s="9">
        <v>837</v>
      </c>
      <c r="D21" s="9">
        <v>223</v>
      </c>
      <c r="E21" s="12">
        <f t="shared" si="1"/>
        <v>1060</v>
      </c>
      <c r="F21" s="12" t="s">
        <v>27</v>
      </c>
      <c r="G21" s="12">
        <f>1281+1421+1306+1647+1060</f>
        <v>6715</v>
      </c>
      <c r="H21" s="27"/>
      <c r="I21" s="12">
        <f>E21/M20</f>
        <v>70.6666666666667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28.89</v>
      </c>
      <c r="D22" s="16">
        <v>28.08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43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67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30.69</v>
      </c>
      <c r="D29" s="12">
        <v>8.25</v>
      </c>
      <c r="E29" s="12">
        <f t="shared" ref="E29:E35" si="2">D29+C29</f>
        <v>38.94</v>
      </c>
      <c r="F29" s="12" t="s">
        <v>27</v>
      </c>
      <c r="G29" s="12">
        <f>0+0+0+0+38.94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8.34</v>
      </c>
      <c r="D30" s="12">
        <v>8.25</v>
      </c>
      <c r="E30" s="12">
        <f t="shared" si="2"/>
        <v>16.59</v>
      </c>
      <c r="F30" s="12" t="s">
        <v>27</v>
      </c>
      <c r="G30" s="12">
        <f>17.63+8.3+15.11+16.68+16.59</f>
        <v>74.31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7</v>
      </c>
      <c r="D31" s="12">
        <v>8</v>
      </c>
      <c r="E31" s="12">
        <f t="shared" si="2"/>
        <v>15</v>
      </c>
      <c r="F31" s="12" t="s">
        <v>27</v>
      </c>
      <c r="G31" s="12">
        <f>28+25+28+24+15</f>
        <v>120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7.7085</v>
      </c>
      <c r="D32" s="12">
        <v>0</v>
      </c>
      <c r="E32" s="12">
        <f t="shared" si="2"/>
        <v>7.7085</v>
      </c>
      <c r="F32" s="12" t="s">
        <v>14</v>
      </c>
      <c r="G32" s="12">
        <f>4.509+7.7625+0+10.5435+7.7085</f>
        <v>30.5235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317</v>
      </c>
      <c r="D34" s="12">
        <v>309</v>
      </c>
      <c r="E34" s="12">
        <f t="shared" si="2"/>
        <v>626</v>
      </c>
      <c r="F34" s="12" t="s">
        <v>27</v>
      </c>
      <c r="G34" s="12">
        <f>620+619+610+632+626</f>
        <v>3107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488</v>
      </c>
      <c r="D35" s="12">
        <v>424</v>
      </c>
      <c r="E35" s="12">
        <f t="shared" si="2"/>
        <v>912</v>
      </c>
      <c r="F35" s="12" t="s">
        <v>27</v>
      </c>
      <c r="G35" s="12">
        <f>901+911+932+914+912</f>
        <v>4570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</f>
        <v>0</v>
      </c>
      <c r="H36" s="27"/>
      <c r="I36" s="9">
        <v>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</f>
        <v>0</v>
      </c>
      <c r="H37" s="27"/>
      <c r="I37" s="9">
        <v>156.348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3</v>
      </c>
      <c r="D38" s="9">
        <v>0</v>
      </c>
      <c r="E38" s="12">
        <f>D38+C38</f>
        <v>3</v>
      </c>
      <c r="F38" s="12" t="s">
        <v>36</v>
      </c>
      <c r="G38" s="12">
        <f>0+0+2+0+3</f>
        <v>5</v>
      </c>
      <c r="H38" s="27"/>
      <c r="I38" s="12">
        <v>23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68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1.5</v>
      </c>
      <c r="D3" s="11">
        <v>6</v>
      </c>
      <c r="E3" s="12">
        <f t="shared" ref="E3:E12" si="0">C3+D3</f>
        <v>7.5</v>
      </c>
      <c r="F3" s="12" t="s">
        <v>14</v>
      </c>
      <c r="G3" s="12">
        <f>8.5+16+13+13+16+7.5</f>
        <v>74</v>
      </c>
      <c r="H3" s="12">
        <v>340</v>
      </c>
      <c r="I3" s="12">
        <f>H3-G3</f>
        <v>266</v>
      </c>
      <c r="J3" s="13"/>
      <c r="K3" s="12"/>
      <c r="L3" s="12"/>
      <c r="M3" s="12">
        <f>I3/25</f>
        <v>10.64</v>
      </c>
    </row>
    <row r="4" s="1" customFormat="1" ht="38" customHeight="1" spans="1:13">
      <c r="A4" s="16">
        <v>2</v>
      </c>
      <c r="B4" s="10" t="s">
        <v>15</v>
      </c>
      <c r="C4" s="11">
        <v>16</v>
      </c>
      <c r="D4" s="11"/>
      <c r="E4" s="12">
        <f t="shared" si="0"/>
        <v>16</v>
      </c>
      <c r="F4" s="12" t="s">
        <v>14</v>
      </c>
      <c r="G4" s="12">
        <f>12+10+18+10+14+16</f>
        <v>80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71</v>
      </c>
      <c r="D5" s="12">
        <v>106</v>
      </c>
      <c r="E5" s="12">
        <f t="shared" si="0"/>
        <v>177</v>
      </c>
      <c r="F5" s="12" t="s">
        <v>14</v>
      </c>
      <c r="G5" s="12">
        <f>127+161+174+183+112+177</f>
        <v>934</v>
      </c>
      <c r="H5" s="12">
        <v>5239</v>
      </c>
      <c r="I5" s="12">
        <f>H5-G5-G7-G6</f>
        <v>4305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</f>
        <v>1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41.52</v>
      </c>
      <c r="D9" s="17"/>
      <c r="E9" s="12">
        <f t="shared" si="0"/>
        <v>41.52</v>
      </c>
      <c r="F9" s="17" t="s">
        <v>14</v>
      </c>
      <c r="G9" s="12">
        <f>116.84+61.93+0+0+0+41.52</f>
        <v>220.29</v>
      </c>
      <c r="H9" s="17">
        <v>6.27</v>
      </c>
      <c r="I9" s="17">
        <f>H9-K10</f>
        <v>4.427663</v>
      </c>
      <c r="J9" s="22" t="s">
        <v>21</v>
      </c>
      <c r="K9" s="17">
        <v>2</v>
      </c>
      <c r="L9" s="17">
        <v>0.89</v>
      </c>
      <c r="M9" s="46"/>
    </row>
    <row r="10" s="1" customFormat="1" ht="25" customHeight="1" spans="1:13">
      <c r="A10" s="9">
        <v>5</v>
      </c>
      <c r="B10" s="10" t="s">
        <v>22</v>
      </c>
      <c r="C10" s="12">
        <v>6.9255</v>
      </c>
      <c r="D10" s="12">
        <v>0</v>
      </c>
      <c r="E10" s="12">
        <f t="shared" si="0"/>
        <v>6.9255</v>
      </c>
      <c r="F10" s="12" t="s">
        <v>14</v>
      </c>
      <c r="G10" s="12">
        <f>9.8415+8.019+6.237+13.635+8.1135+6.9255</f>
        <v>52.7715</v>
      </c>
      <c r="H10" s="12"/>
      <c r="I10" s="12">
        <f>G10/(G3*0.1865)</f>
        <v>3.82374465618433</v>
      </c>
      <c r="J10" s="22" t="s">
        <v>23</v>
      </c>
      <c r="K10" s="23">
        <f>0.946404+0.526405+0+0+0+0.369528</f>
        <v>1.842337</v>
      </c>
      <c r="L10" s="12"/>
      <c r="M10" s="12">
        <f>C9*L9/100</f>
        <v>0.369528</v>
      </c>
    </row>
    <row r="11" s="1" customFormat="1" ht="25" customHeight="1" spans="1:13">
      <c r="A11" s="9">
        <v>6</v>
      </c>
      <c r="B11" s="10" t="s">
        <v>24</v>
      </c>
      <c r="C11" s="12">
        <v>4.3424</v>
      </c>
      <c r="D11" s="12">
        <v>0</v>
      </c>
      <c r="E11" s="12">
        <f t="shared" si="0"/>
        <v>4.3424</v>
      </c>
      <c r="F11" s="12" t="s">
        <v>14</v>
      </c>
      <c r="G11" s="12">
        <f>16.8544+8.4824+14.9408+17.5168+16.9464+4.3424</f>
        <v>79.0832</v>
      </c>
      <c r="H11" s="12"/>
      <c r="I11" s="12">
        <f>G11/(G3*0.1865)</f>
        <v>5.73025143105572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130</v>
      </c>
      <c r="D12" s="12">
        <v>264</v>
      </c>
      <c r="E12" s="12">
        <f t="shared" si="0"/>
        <v>394</v>
      </c>
      <c r="F12" s="12"/>
      <c r="G12" s="12">
        <f>280+495+437+544+380+394</f>
        <v>2530</v>
      </c>
      <c r="H12" s="12">
        <f>G12*1.05</f>
        <v>2656.5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92</v>
      </c>
      <c r="D13" s="12">
        <v>194</v>
      </c>
      <c r="E13" s="12">
        <f t="shared" ref="E13:E21" si="1">D13+C13</f>
        <v>286</v>
      </c>
      <c r="F13" s="12" t="s">
        <v>27</v>
      </c>
      <c r="G13" s="12">
        <f>282+436+387+416+376+286</f>
        <v>2183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414.47</v>
      </c>
      <c r="D14" s="12">
        <v>422.53</v>
      </c>
      <c r="E14" s="12">
        <f t="shared" si="1"/>
        <v>837</v>
      </c>
      <c r="F14" s="12" t="s">
        <v>27</v>
      </c>
      <c r="G14" s="12">
        <f>677.66+732.19+798.94+881.44+519.28+837</f>
        <v>4446.51</v>
      </c>
      <c r="H14" s="12"/>
      <c r="I14" s="12"/>
      <c r="J14" s="22" t="s">
        <v>29</v>
      </c>
      <c r="K14" s="12">
        <v>3.1</v>
      </c>
      <c r="L14" s="12">
        <v>3.19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6</v>
      </c>
      <c r="D15" s="12">
        <v>15</v>
      </c>
      <c r="E15" s="12">
        <f t="shared" si="1"/>
        <v>21</v>
      </c>
      <c r="F15" s="12" t="s">
        <v>14</v>
      </c>
      <c r="G15" s="12">
        <f>21+39+30+33+33+21</f>
        <v>177</v>
      </c>
      <c r="H15" s="12"/>
      <c r="I15" s="12">
        <f>G15/(G3*0.1865)</f>
        <v>12.8251575972756</v>
      </c>
      <c r="J15" s="22" t="s">
        <v>31</v>
      </c>
      <c r="K15" s="23">
        <f>2.2333187+2.4654986+2.5645024+3.1869984+1.6910493+2.6327277</f>
        <v>14.7740951</v>
      </c>
      <c r="L15" s="12"/>
      <c r="M15" s="12">
        <f>(C14*K14+L14*D14)/1000</f>
        <v>2.6327277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0.0875</v>
      </c>
      <c r="E16" s="12">
        <f t="shared" si="1"/>
        <v>0.0875</v>
      </c>
      <c r="F16" s="12" t="s">
        <v>14</v>
      </c>
      <c r="G16" s="12">
        <f>0.0125+0+0+0.075+0+0.0875</f>
        <v>0.175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</f>
        <v>8</v>
      </c>
      <c r="H17" s="27"/>
      <c r="I17" s="12">
        <f>G17/(G3*0.1865)</f>
        <v>0.579668139989856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</f>
        <v>8</v>
      </c>
      <c r="H18" s="27"/>
      <c r="I18" s="12">
        <f>G18/(G3*0.1865)</f>
        <v>0.579668139989856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3</v>
      </c>
      <c r="D19" s="9">
        <v>3</v>
      </c>
      <c r="E19" s="12">
        <f t="shared" si="1"/>
        <v>6</v>
      </c>
      <c r="F19" s="12" t="s">
        <v>36</v>
      </c>
      <c r="G19" s="12">
        <f>10+5+7+21+9+6</f>
        <v>58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468</v>
      </c>
      <c r="D20" s="9">
        <v>656</v>
      </c>
      <c r="E20" s="12">
        <f t="shared" si="1"/>
        <v>1124</v>
      </c>
      <c r="F20" s="12" t="s">
        <v>27</v>
      </c>
      <c r="G20" s="12">
        <f>1011+1084+1036+1277+854+1124</f>
        <v>6386</v>
      </c>
      <c r="H20" s="28"/>
      <c r="I20" s="12">
        <f>E20/M20</f>
        <v>52.2790697674419</v>
      </c>
      <c r="J20" s="22" t="s">
        <v>38</v>
      </c>
      <c r="K20" s="12">
        <f>18+24+24+24+15+21.5</f>
        <v>126.5</v>
      </c>
      <c r="L20" s="12">
        <f>G20/K20</f>
        <v>50.4822134387352</v>
      </c>
      <c r="M20" s="12">
        <v>21.5</v>
      </c>
    </row>
    <row r="21" s="1" customFormat="1" ht="25" customHeight="1" spans="1:13">
      <c r="A21" s="16">
        <v>16</v>
      </c>
      <c r="B21" s="10" t="s">
        <v>39</v>
      </c>
      <c r="C21" s="9">
        <v>535</v>
      </c>
      <c r="D21" s="9">
        <v>857</v>
      </c>
      <c r="E21" s="12">
        <f t="shared" si="1"/>
        <v>1392</v>
      </c>
      <c r="F21" s="12" t="s">
        <v>27</v>
      </c>
      <c r="G21" s="12">
        <f>1281+1421+1306+1647+1060+1392</f>
        <v>8107</v>
      </c>
      <c r="H21" s="27"/>
      <c r="I21" s="12">
        <f>E21/M20</f>
        <v>64.7441860465116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29.74</v>
      </c>
      <c r="D22" s="16">
        <v>33.84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43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69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70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8.33</v>
      </c>
      <c r="D30" s="12">
        <v>8.25</v>
      </c>
      <c r="E30" s="12">
        <f t="shared" si="2"/>
        <v>16.58</v>
      </c>
      <c r="F30" s="12" t="s">
        <v>27</v>
      </c>
      <c r="G30" s="12">
        <f>17.63+8.3+15.11+16.68+16.59+16.58</f>
        <v>90.89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6</v>
      </c>
      <c r="D31" s="12">
        <v>10</v>
      </c>
      <c r="E31" s="12">
        <f t="shared" si="2"/>
        <v>16</v>
      </c>
      <c r="F31" s="12" t="s">
        <v>27</v>
      </c>
      <c r="G31" s="12">
        <f>28+25+28+24+15+16</f>
        <v>136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9.288</v>
      </c>
      <c r="D32" s="12">
        <v>0</v>
      </c>
      <c r="E32" s="12">
        <f t="shared" si="2"/>
        <v>9.288</v>
      </c>
      <c r="F32" s="12" t="s">
        <v>14</v>
      </c>
      <c r="G32" s="12">
        <f>4.509+7.7625+0+10.5435+7.7085+9.288</f>
        <v>39.8115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308</v>
      </c>
      <c r="D34" s="12">
        <v>315</v>
      </c>
      <c r="E34" s="12">
        <f t="shared" si="2"/>
        <v>623</v>
      </c>
      <c r="F34" s="12" t="s">
        <v>27</v>
      </c>
      <c r="G34" s="12">
        <f>620+619+610+632+626+623</f>
        <v>3730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403</v>
      </c>
      <c r="D35" s="12">
        <v>474</v>
      </c>
      <c r="E35" s="12">
        <f t="shared" si="2"/>
        <v>877</v>
      </c>
      <c r="F35" s="12" t="s">
        <v>27</v>
      </c>
      <c r="G35" s="12">
        <f>901+911+932+914+912+877</f>
        <v>5447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</f>
        <v>0</v>
      </c>
      <c r="H36" s="27"/>
      <c r="I36" s="9">
        <v>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</f>
        <v>0</v>
      </c>
      <c r="H37" s="27"/>
      <c r="I37" s="9">
        <v>159.8224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</f>
        <v>5</v>
      </c>
      <c r="H38" s="27"/>
      <c r="I38" s="12">
        <v>23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71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7.5</v>
      </c>
      <c r="D3" s="11">
        <v>4.5</v>
      </c>
      <c r="E3" s="12">
        <f t="shared" ref="E3:E12" si="0">C3+D3</f>
        <v>12</v>
      </c>
      <c r="F3" s="12" t="s">
        <v>14</v>
      </c>
      <c r="G3" s="12">
        <f>8.5+16+13+13+16+7.5+12</f>
        <v>86</v>
      </c>
      <c r="H3" s="12">
        <v>340</v>
      </c>
      <c r="I3" s="12">
        <f>H3-G3</f>
        <v>254</v>
      </c>
      <c r="J3" s="13"/>
      <c r="K3" s="12"/>
      <c r="L3" s="12"/>
      <c r="M3" s="12">
        <f>I3/24</f>
        <v>10.5833333333333</v>
      </c>
    </row>
    <row r="4" s="1" customFormat="1" ht="38" customHeight="1" spans="1:13">
      <c r="A4" s="16">
        <v>2</v>
      </c>
      <c r="B4" s="10" t="s">
        <v>15</v>
      </c>
      <c r="C4" s="11">
        <v>8</v>
      </c>
      <c r="D4" s="11"/>
      <c r="E4" s="12">
        <f t="shared" si="0"/>
        <v>8</v>
      </c>
      <c r="F4" s="12" t="s">
        <v>14</v>
      </c>
      <c r="G4" s="12">
        <f>12+10+18+10+14+16+8</f>
        <v>88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17</v>
      </c>
      <c r="D5" s="12">
        <v>70</v>
      </c>
      <c r="E5" s="12">
        <f t="shared" si="0"/>
        <v>87</v>
      </c>
      <c r="F5" s="12" t="s">
        <v>14</v>
      </c>
      <c r="G5" s="12">
        <f>127+161+174+183+112+177+87</f>
        <v>1021</v>
      </c>
      <c r="H5" s="12">
        <v>5239</v>
      </c>
      <c r="I5" s="12">
        <f>H5-G5-G7-G6</f>
        <v>4218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2</v>
      </c>
      <c r="D8" s="12">
        <v>1</v>
      </c>
      <c r="E8" s="12">
        <f t="shared" si="0"/>
        <v>3</v>
      </c>
      <c r="F8" s="12" t="s">
        <v>14</v>
      </c>
      <c r="G8" s="12">
        <f>0+0+0+0+1+0+3</f>
        <v>4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</f>
        <v>220.29</v>
      </c>
      <c r="H9" s="17">
        <v>6.27</v>
      </c>
      <c r="I9" s="17">
        <f>H9-K10</f>
        <v>4.427663</v>
      </c>
      <c r="J9" s="22" t="s">
        <v>21</v>
      </c>
      <c r="K9" s="17">
        <v>3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7.3035</v>
      </c>
      <c r="D10" s="12">
        <v>0</v>
      </c>
      <c r="E10" s="12">
        <f t="shared" si="0"/>
        <v>7.3035</v>
      </c>
      <c r="F10" s="12" t="s">
        <v>14</v>
      </c>
      <c r="G10" s="12">
        <f>9.8415+8.019+6.237+13.635+8.1135+6.9255+7.3035</f>
        <v>60.075</v>
      </c>
      <c r="H10" s="12"/>
      <c r="I10" s="12">
        <f>G10/(G3*0.1865)</f>
        <v>3.7455577030987</v>
      </c>
      <c r="J10" s="22" t="s">
        <v>23</v>
      </c>
      <c r="K10" s="23">
        <f>0.946404+0.526405+0+0+0+0.369528+0</f>
        <v>1.842337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22.08</v>
      </c>
      <c r="D11" s="12">
        <v>0</v>
      </c>
      <c r="E11" s="12">
        <f t="shared" si="0"/>
        <v>22.08</v>
      </c>
      <c r="F11" s="12" t="s">
        <v>14</v>
      </c>
      <c r="G11" s="12">
        <f>16.8544+8.4824+14.9408+17.5168+16.9464+4.3424+22.08</f>
        <v>101.1632</v>
      </c>
      <c r="H11" s="12"/>
      <c r="I11" s="12">
        <f>G11/(G3*0.1865)</f>
        <v>6.30732589313548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263</v>
      </c>
      <c r="D12" s="12">
        <v>37</v>
      </c>
      <c r="E12" s="12">
        <f t="shared" si="0"/>
        <v>300</v>
      </c>
      <c r="F12" s="12"/>
      <c r="G12" s="12">
        <f>280+495+437+544+380+394+300</f>
        <v>2830</v>
      </c>
      <c r="H12" s="12">
        <f>G12*1.05</f>
        <v>2971.5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233</v>
      </c>
      <c r="D13" s="12">
        <v>10</v>
      </c>
      <c r="E13" s="12">
        <f t="shared" ref="E13:E21" si="1">D13+C13</f>
        <v>243</v>
      </c>
      <c r="F13" s="12" t="s">
        <v>27</v>
      </c>
      <c r="G13" s="12">
        <f>282+436+387+416+376+286+243</f>
        <v>2426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375.53</v>
      </c>
      <c r="D14" s="12">
        <v>409.43</v>
      </c>
      <c r="E14" s="12">
        <f t="shared" si="1"/>
        <v>784.96</v>
      </c>
      <c r="F14" s="12" t="s">
        <v>27</v>
      </c>
      <c r="G14" s="12">
        <f>677.66+732.19+798.94+881.44+519.28+837+784.96</f>
        <v>5231.47</v>
      </c>
      <c r="H14" s="12"/>
      <c r="I14" s="12"/>
      <c r="J14" s="22" t="s">
        <v>29</v>
      </c>
      <c r="K14" s="12">
        <v>3.23</v>
      </c>
      <c r="L14" s="12">
        <v>3.2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3</v>
      </c>
      <c r="E15" s="12">
        <f t="shared" si="1"/>
        <v>18</v>
      </c>
      <c r="F15" s="12" t="s">
        <v>14</v>
      </c>
      <c r="G15" s="12">
        <f>21+39+30+33+33+21+18</f>
        <v>195</v>
      </c>
      <c r="H15" s="12"/>
      <c r="I15" s="12">
        <f>G15/(G3*0.1865)</f>
        <v>12.1578652035663</v>
      </c>
      <c r="J15" s="22" t="s">
        <v>31</v>
      </c>
      <c r="K15" s="23">
        <f>2.2333187+2.4654986+2.5645024+3.1869984+1.6910493+2.6327277+2.5231379</f>
        <v>17.297233</v>
      </c>
      <c r="L15" s="12"/>
      <c r="M15" s="12">
        <f>(C14*K14+L14*D14)/1000</f>
        <v>2.5231379</v>
      </c>
    </row>
    <row r="16" s="1" customFormat="1" ht="25" customHeight="1" spans="1:13">
      <c r="A16" s="9">
        <v>11</v>
      </c>
      <c r="B16" s="10" t="s">
        <v>32</v>
      </c>
      <c r="C16" s="9">
        <v>0.05</v>
      </c>
      <c r="D16" s="9">
        <v>0</v>
      </c>
      <c r="E16" s="12">
        <f t="shared" si="1"/>
        <v>0.05</v>
      </c>
      <c r="F16" s="12" t="s">
        <v>14</v>
      </c>
      <c r="G16" s="12">
        <f>0.0125+0+0+0.075+0+0.0875+0.05</f>
        <v>0.225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</f>
        <v>10</v>
      </c>
      <c r="H17" s="27"/>
      <c r="I17" s="12">
        <f>G17/(G3*0.1865)</f>
        <v>0.623480266849554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</f>
        <v>10</v>
      </c>
      <c r="H18" s="27"/>
      <c r="I18" s="12">
        <f>G18/(G3*0.1865)</f>
        <v>0.623480266849554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2</v>
      </c>
      <c r="D19" s="9">
        <v>5</v>
      </c>
      <c r="E19" s="12">
        <f t="shared" si="1"/>
        <v>7</v>
      </c>
      <c r="F19" s="12" t="s">
        <v>36</v>
      </c>
      <c r="G19" s="12">
        <f>10+5+7+21+9+6+7</f>
        <v>65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198</v>
      </c>
      <c r="D20" s="9">
        <v>589</v>
      </c>
      <c r="E20" s="12">
        <f t="shared" si="1"/>
        <v>787</v>
      </c>
      <c r="F20" s="12" t="s">
        <v>27</v>
      </c>
      <c r="G20" s="12">
        <f>1011+1084+1036+1277+854+1124+787</f>
        <v>7173</v>
      </c>
      <c r="H20" s="28"/>
      <c r="I20" s="12">
        <f>E20/M20</f>
        <v>60.5384615384615</v>
      </c>
      <c r="J20" s="22" t="s">
        <v>38</v>
      </c>
      <c r="K20" s="12">
        <f>18+24+24+24+15+21.5+13</f>
        <v>139.5</v>
      </c>
      <c r="L20" s="12">
        <f>G20/K20</f>
        <v>51.4193548387097</v>
      </c>
      <c r="M20" s="12">
        <v>13</v>
      </c>
    </row>
    <row r="21" s="1" customFormat="1" ht="25" customHeight="1" spans="1:13">
      <c r="A21" s="16">
        <v>16</v>
      </c>
      <c r="B21" s="10" t="s">
        <v>39</v>
      </c>
      <c r="C21" s="9">
        <v>353</v>
      </c>
      <c r="D21" s="9">
        <v>591</v>
      </c>
      <c r="E21" s="12">
        <f t="shared" si="1"/>
        <v>944</v>
      </c>
      <c r="F21" s="12" t="s">
        <v>27</v>
      </c>
      <c r="G21" s="12">
        <f>1281+1421+1306+1647+1060+1392+944</f>
        <v>9051</v>
      </c>
      <c r="H21" s="27"/>
      <c r="I21" s="12">
        <f>E21/M20</f>
        <v>72.6153846153846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30.61</v>
      </c>
      <c r="D22" s="16">
        <v>29.84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43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72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46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73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</f>
        <v>90.89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11</v>
      </c>
      <c r="D31" s="12">
        <v>9</v>
      </c>
      <c r="E31" s="12">
        <f t="shared" si="2"/>
        <v>20</v>
      </c>
      <c r="F31" s="12" t="s">
        <v>27</v>
      </c>
      <c r="G31" s="12">
        <f>28+25+28+24+15+16+20</f>
        <v>156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</f>
        <v>39.8115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310</v>
      </c>
      <c r="D34" s="12">
        <v>0</v>
      </c>
      <c r="E34" s="12">
        <f t="shared" si="2"/>
        <v>310</v>
      </c>
      <c r="F34" s="12" t="s">
        <v>27</v>
      </c>
      <c r="G34" s="12">
        <f>620+619+610+632+626+623+310</f>
        <v>4040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393</v>
      </c>
      <c r="D35" s="12">
        <v>360</v>
      </c>
      <c r="E35" s="12">
        <f t="shared" si="2"/>
        <v>753</v>
      </c>
      <c r="F35" s="12" t="s">
        <v>27</v>
      </c>
      <c r="G35" s="12">
        <f>901+911+932+914+912+877+753</f>
        <v>6200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</f>
        <v>0</v>
      </c>
      <c r="H36" s="27"/>
      <c r="I36" s="9">
        <v>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</f>
        <v>0</v>
      </c>
      <c r="H37" s="27"/>
      <c r="I37" s="9">
        <v>142.4504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</f>
        <v>5</v>
      </c>
      <c r="H38" s="27"/>
      <c r="I38" s="12">
        <v>23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74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0.5</v>
      </c>
      <c r="D3" s="11">
        <v>7.5</v>
      </c>
      <c r="E3" s="12">
        <f t="shared" ref="E3:E12" si="0">C3+D3</f>
        <v>8</v>
      </c>
      <c r="F3" s="12" t="s">
        <v>14</v>
      </c>
      <c r="G3" s="12">
        <f>8.5+16+13+13+16+7.5+12+8</f>
        <v>94</v>
      </c>
      <c r="H3" s="12">
        <v>340</v>
      </c>
      <c r="I3" s="12">
        <f>H3-G3</f>
        <v>246</v>
      </c>
      <c r="J3" s="13"/>
      <c r="K3" s="12"/>
      <c r="L3" s="12"/>
      <c r="M3" s="12">
        <f>I3/23</f>
        <v>10.695652173913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12+10+18+10+14+16+8+10</f>
        <v>98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100</v>
      </c>
      <c r="D5" s="12">
        <v>46</v>
      </c>
      <c r="E5" s="12">
        <f t="shared" si="0"/>
        <v>146</v>
      </c>
      <c r="F5" s="12" t="s">
        <v>14</v>
      </c>
      <c r="G5" s="12">
        <f>127+161+174+183+112+177+87+146</f>
        <v>1167</v>
      </c>
      <c r="H5" s="12">
        <v>5239</v>
      </c>
      <c r="I5" s="12">
        <f>H5-G5-G7-G6</f>
        <v>4072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</f>
        <v>4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37.57</v>
      </c>
      <c r="D9" s="17"/>
      <c r="E9" s="12">
        <f t="shared" si="0"/>
        <v>37.57</v>
      </c>
      <c r="F9" s="17" t="s">
        <v>14</v>
      </c>
      <c r="G9" s="12">
        <f>116.84+61.93+0+0+0+41.52+0+37.57</f>
        <v>257.86</v>
      </c>
      <c r="H9" s="17">
        <v>6.27</v>
      </c>
      <c r="I9" s="17">
        <f>H9-K10</f>
        <v>4.082019</v>
      </c>
      <c r="J9" s="22" t="s">
        <v>21</v>
      </c>
      <c r="K9" s="17">
        <v>4</v>
      </c>
      <c r="L9" s="17">
        <v>0.92</v>
      </c>
      <c r="M9" s="46"/>
    </row>
    <row r="10" s="1" customFormat="1" ht="25" customHeight="1" spans="1:13">
      <c r="A10" s="9">
        <v>5</v>
      </c>
      <c r="B10" s="10" t="s">
        <v>22</v>
      </c>
      <c r="C10" s="12">
        <v>4.6305</v>
      </c>
      <c r="D10" s="12">
        <v>0</v>
      </c>
      <c r="E10" s="12">
        <f t="shared" si="0"/>
        <v>4.6305</v>
      </c>
      <c r="F10" s="12" t="s">
        <v>14</v>
      </c>
      <c r="G10" s="12">
        <f>9.8415+8.019+6.237+13.635+8.1135+6.9255+7.3035+4.6305</f>
        <v>64.7055</v>
      </c>
      <c r="H10" s="12"/>
      <c r="I10" s="12">
        <f>G10/(G3*0.1865)</f>
        <v>3.69091894358565</v>
      </c>
      <c r="J10" s="22" t="s">
        <v>23</v>
      </c>
      <c r="K10" s="23">
        <f>0.946404+0.526405+0+0+0+0.369528+0+0.345644</f>
        <v>2.187981</v>
      </c>
      <c r="L10" s="12"/>
      <c r="M10" s="12">
        <f>C9*L9/100</f>
        <v>0.345644</v>
      </c>
    </row>
    <row r="11" s="1" customFormat="1" ht="25" customHeight="1" spans="1:13">
      <c r="A11" s="9">
        <v>6</v>
      </c>
      <c r="B11" s="10" t="s">
        <v>24</v>
      </c>
      <c r="C11" s="12">
        <v>11.8496</v>
      </c>
      <c r="D11" s="12">
        <v>0</v>
      </c>
      <c r="E11" s="12">
        <f t="shared" si="0"/>
        <v>11.8496</v>
      </c>
      <c r="F11" s="12" t="s">
        <v>14</v>
      </c>
      <c r="G11" s="12">
        <f>16.8544+8.4824+14.9408+17.5168+16.9464+4.3424+22.08+11.8496</f>
        <v>113.0128</v>
      </c>
      <c r="H11" s="12"/>
      <c r="I11" s="12">
        <f>G11/(G3*0.1865)</f>
        <v>6.44645485140608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262</v>
      </c>
      <c r="D12" s="12">
        <v>316</v>
      </c>
      <c r="E12" s="12">
        <f t="shared" si="0"/>
        <v>578</v>
      </c>
      <c r="F12" s="12"/>
      <c r="G12" s="12">
        <f>280+495+437+544+380+394+300+578</f>
        <v>3408</v>
      </c>
      <c r="H12" s="12">
        <f>G12*1.05</f>
        <v>3578.4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159</v>
      </c>
      <c r="D13" s="12">
        <v>237</v>
      </c>
      <c r="E13" s="12">
        <f t="shared" ref="E13:E21" si="1">D13+C13</f>
        <v>396</v>
      </c>
      <c r="F13" s="12" t="s">
        <v>27</v>
      </c>
      <c r="G13" s="12">
        <f>282+436+387+416+376+286+243+396</f>
        <v>2822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368.56</v>
      </c>
      <c r="D14" s="12">
        <v>367.56</v>
      </c>
      <c r="E14" s="12">
        <f t="shared" si="1"/>
        <v>736.12</v>
      </c>
      <c r="F14" s="12" t="s">
        <v>27</v>
      </c>
      <c r="G14" s="12">
        <f>677.66+732.19+798.94+881.44+519.28+837+784.96+736.12</f>
        <v>5967.59</v>
      </c>
      <c r="H14" s="12"/>
      <c r="I14" s="12"/>
      <c r="J14" s="22" t="s">
        <v>29</v>
      </c>
      <c r="K14" s="12">
        <v>3.11</v>
      </c>
      <c r="L14" s="12">
        <v>3.18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12</v>
      </c>
      <c r="D15" s="12">
        <v>21</v>
      </c>
      <c r="E15" s="12">
        <f t="shared" si="1"/>
        <v>33</v>
      </c>
      <c r="F15" s="12" t="s">
        <v>14</v>
      </c>
      <c r="G15" s="12">
        <f>21+39+30+33+33+21+18+33</f>
        <v>228</v>
      </c>
      <c r="H15" s="12"/>
      <c r="I15" s="12">
        <f>G15/(G3*0.1865)</f>
        <v>13.0055330557299</v>
      </c>
      <c r="J15" s="22" t="s">
        <v>31</v>
      </c>
      <c r="K15" s="23">
        <f>2.2333187+2.4654986+2.5645024+3.1869984+1.6910493+2.6327277+2.5231379+2.3150624</f>
        <v>19.6122954</v>
      </c>
      <c r="L15" s="12"/>
      <c r="M15" s="12">
        <f>(C14*K14+L14*D14)/1000</f>
        <v>2.3150624</v>
      </c>
    </row>
    <row r="16" s="1" customFormat="1" ht="25" customHeight="1" spans="1:13">
      <c r="A16" s="9">
        <v>11</v>
      </c>
      <c r="B16" s="10" t="s">
        <v>32</v>
      </c>
      <c r="C16" s="9">
        <v>0.05</v>
      </c>
      <c r="D16" s="9">
        <v>0</v>
      </c>
      <c r="E16" s="12">
        <f t="shared" si="1"/>
        <v>0.05</v>
      </c>
      <c r="F16" s="12" t="s">
        <v>14</v>
      </c>
      <c r="G16" s="12">
        <f>0.0125+0+0+0.075+0+0.0875+0.05+0.05</f>
        <v>0.275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</f>
        <v>10</v>
      </c>
      <c r="H17" s="27"/>
      <c r="I17" s="12">
        <f>G17/(G3*0.1865)</f>
        <v>0.570418116479379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</f>
        <v>10</v>
      </c>
      <c r="H18" s="27"/>
      <c r="I18" s="12">
        <f>G18/(G3*0.1865)</f>
        <v>0.570418116479379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1</v>
      </c>
      <c r="D19" s="9">
        <v>5</v>
      </c>
      <c r="E19" s="12">
        <f t="shared" si="1"/>
        <v>6</v>
      </c>
      <c r="F19" s="12" t="s">
        <v>36</v>
      </c>
      <c r="G19" s="12">
        <f>10+5+7+21+9+6+7+6</f>
        <v>71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688</v>
      </c>
      <c r="D20" s="9">
        <v>506</v>
      </c>
      <c r="E20" s="12">
        <f t="shared" si="1"/>
        <v>1194</v>
      </c>
      <c r="F20" s="12" t="s">
        <v>27</v>
      </c>
      <c r="G20" s="12">
        <f>1011+1084+1036+1277+854+1124+787+1194</f>
        <v>8367</v>
      </c>
      <c r="H20" s="28"/>
      <c r="I20" s="12">
        <f>E20/M20</f>
        <v>58.2439024390244</v>
      </c>
      <c r="J20" s="22" t="s">
        <v>38</v>
      </c>
      <c r="K20" s="12">
        <f>18+24+24+24+15+21.5+13+20.5</f>
        <v>160</v>
      </c>
      <c r="L20" s="12">
        <f>G20/K20</f>
        <v>52.29375</v>
      </c>
      <c r="M20" s="12">
        <v>20.5</v>
      </c>
    </row>
    <row r="21" s="1" customFormat="1" ht="25" customHeight="1" spans="1:13">
      <c r="A21" s="16">
        <v>16</v>
      </c>
      <c r="B21" s="10" t="s">
        <v>39</v>
      </c>
      <c r="C21" s="9">
        <v>881</v>
      </c>
      <c r="D21" s="9">
        <v>622</v>
      </c>
      <c r="E21" s="12">
        <f t="shared" si="1"/>
        <v>1503</v>
      </c>
      <c r="F21" s="12" t="s">
        <v>27</v>
      </c>
      <c r="G21" s="12">
        <f>1281+1421+1306+1647+1060+1392+944+1503</f>
        <v>10554</v>
      </c>
      <c r="H21" s="27"/>
      <c r="I21" s="12">
        <f>E21/M20</f>
        <v>73.3170731707317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31.63</v>
      </c>
      <c r="D22" s="16">
        <v>27.57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75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76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77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78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</f>
        <v>90.89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16</v>
      </c>
      <c r="D31" s="12">
        <v>10</v>
      </c>
      <c r="E31" s="12">
        <f t="shared" si="2"/>
        <v>26</v>
      </c>
      <c r="F31" s="12" t="s">
        <v>27</v>
      </c>
      <c r="G31" s="12">
        <f>28+25+28+24+15+16+20+26</f>
        <v>182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</f>
        <v>39.8115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294</v>
      </c>
      <c r="D34" s="12">
        <v>309</v>
      </c>
      <c r="E34" s="12">
        <f t="shared" si="2"/>
        <v>603</v>
      </c>
      <c r="F34" s="12" t="s">
        <v>27</v>
      </c>
      <c r="G34" s="12">
        <f>620+619+610+632+626+623+310+603</f>
        <v>4643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396</v>
      </c>
      <c r="D35" s="12">
        <v>458</v>
      </c>
      <c r="E35" s="12">
        <f t="shared" si="2"/>
        <v>854</v>
      </c>
      <c r="F35" s="12" t="s">
        <v>27</v>
      </c>
      <c r="G35" s="12">
        <f>901+911+932+914+912+877+753+854</f>
        <v>7054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</f>
        <v>0</v>
      </c>
      <c r="H36" s="27"/>
      <c r="I36" s="9">
        <v>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</f>
        <v>0</v>
      </c>
      <c r="H37" s="27"/>
      <c r="I37" s="9">
        <v>124.2098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</f>
        <v>5</v>
      </c>
      <c r="H38" s="27"/>
      <c r="I38" s="12">
        <v>23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79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9.5</v>
      </c>
      <c r="D3" s="11">
        <v>4.5</v>
      </c>
      <c r="E3" s="12">
        <f t="shared" ref="E3:E12" si="0">C3+D3</f>
        <v>14</v>
      </c>
      <c r="F3" s="12" t="s">
        <v>14</v>
      </c>
      <c r="G3" s="12">
        <f>8.5+16+13+13+16+7.5+12+8+14</f>
        <v>108</v>
      </c>
      <c r="H3" s="12">
        <v>340</v>
      </c>
      <c r="I3" s="12">
        <f>H3-G3</f>
        <v>232</v>
      </c>
      <c r="J3" s="13"/>
      <c r="K3" s="12"/>
      <c r="L3" s="12"/>
      <c r="M3" s="12">
        <f>I3/22</f>
        <v>10.5454545454545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12+10+18+10+14+16+8+10+10</f>
        <v>108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16</v>
      </c>
      <c r="D5" s="12">
        <v>131</v>
      </c>
      <c r="E5" s="12">
        <f t="shared" si="0"/>
        <v>147</v>
      </c>
      <c r="F5" s="12" t="s">
        <v>14</v>
      </c>
      <c r="G5" s="12">
        <f>127+161+174+183+112+177+87+146+147</f>
        <v>1314</v>
      </c>
      <c r="H5" s="12">
        <v>5239</v>
      </c>
      <c r="I5" s="12">
        <f>H5-G5-G7-G6</f>
        <v>3925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</f>
        <v>4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</f>
        <v>257.86</v>
      </c>
      <c r="H9" s="17">
        <v>6.27</v>
      </c>
      <c r="I9" s="17">
        <f>H9-K10</f>
        <v>4.082019</v>
      </c>
      <c r="J9" s="22" t="s">
        <v>21</v>
      </c>
      <c r="K9" s="17">
        <v>4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6.345</v>
      </c>
      <c r="D10" s="12">
        <v>0</v>
      </c>
      <c r="E10" s="12">
        <f t="shared" si="0"/>
        <v>6.345</v>
      </c>
      <c r="F10" s="12" t="s">
        <v>14</v>
      </c>
      <c r="G10" s="12">
        <f>9.8415+8.019+6.237+13.635+8.1135+6.9255+7.3035+4.6305+6.345</f>
        <v>71.0505</v>
      </c>
      <c r="H10" s="12"/>
      <c r="I10" s="12">
        <f>G10/(G3*0.1865)</f>
        <v>3.52747989276139</v>
      </c>
      <c r="J10" s="22" t="s">
        <v>23</v>
      </c>
      <c r="K10" s="23">
        <f>0.946404+0.526405+0+0+0+0.369528+0+0.345644+0</f>
        <v>2.187981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11.9232</v>
      </c>
      <c r="D11" s="12">
        <v>0</v>
      </c>
      <c r="E11" s="12">
        <f t="shared" si="0"/>
        <v>11.9232</v>
      </c>
      <c r="F11" s="12" t="s">
        <v>14</v>
      </c>
      <c r="G11" s="12">
        <f>16.8544+8.4824+14.9408+17.5168+16.9464+4.3424+22.08+11.8496+11.9232</f>
        <v>124.936</v>
      </c>
      <c r="H11" s="12"/>
      <c r="I11" s="12">
        <f>G11/(G3*0.1865)</f>
        <v>6.20276040115182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82</v>
      </c>
      <c r="D12" s="12">
        <v>247</v>
      </c>
      <c r="E12" s="12">
        <f t="shared" si="0"/>
        <v>329</v>
      </c>
      <c r="F12" s="12"/>
      <c r="G12" s="12">
        <f>280+495+437+544+380+394+300+578+329</f>
        <v>3737</v>
      </c>
      <c r="H12" s="12">
        <f>G12*1.05</f>
        <v>3923.85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166</v>
      </c>
      <c r="D13" s="12">
        <v>187</v>
      </c>
      <c r="E13" s="12">
        <f t="shared" ref="E13:E21" si="1">D13+C13</f>
        <v>353</v>
      </c>
      <c r="F13" s="12" t="s">
        <v>27</v>
      </c>
      <c r="G13" s="12">
        <f>282+436+387+416+376+286+243+396+353</f>
        <v>3175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401.47</v>
      </c>
      <c r="D14" s="12">
        <v>340.47</v>
      </c>
      <c r="E14" s="12">
        <f t="shared" si="1"/>
        <v>741.94</v>
      </c>
      <c r="F14" s="12" t="s">
        <v>27</v>
      </c>
      <c r="G14" s="12">
        <f>677.66+732.19+798.94+881.44+519.28+837+784.96+736.12+741.94</f>
        <v>6709.53</v>
      </c>
      <c r="H14" s="12"/>
      <c r="I14" s="12"/>
      <c r="J14" s="22" t="s">
        <v>29</v>
      </c>
      <c r="K14" s="12">
        <v>3.01</v>
      </c>
      <c r="L14" s="12">
        <v>3.13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18</v>
      </c>
      <c r="D15" s="12">
        <v>12</v>
      </c>
      <c r="E15" s="12">
        <f t="shared" si="1"/>
        <v>30</v>
      </c>
      <c r="F15" s="12" t="s">
        <v>14</v>
      </c>
      <c r="G15" s="12">
        <f>21+39+30+33+33+21+18+33+30</f>
        <v>258</v>
      </c>
      <c r="H15" s="12"/>
      <c r="I15" s="12">
        <f>G15/(G3*0.1865)</f>
        <v>12.8090557044981</v>
      </c>
      <c r="J15" s="22" t="s">
        <v>31</v>
      </c>
      <c r="K15" s="23">
        <f>2.2333187+2.4654986+2.5645024+3.1869984+1.6910493+2.6327277+2.5231379+2.3150624+2.2740958</f>
        <v>21.8863912</v>
      </c>
      <c r="L15" s="12"/>
      <c r="M15" s="12">
        <f>(C14*K14+L14*D14)/1000</f>
        <v>2.2740958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</f>
        <v>0.275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</f>
        <v>12</v>
      </c>
      <c r="H17" s="27"/>
      <c r="I17" s="12">
        <f>G17/(G3*0.1865)</f>
        <v>0.595770032767352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</f>
        <v>12</v>
      </c>
      <c r="H18" s="27"/>
      <c r="I18" s="12">
        <f>G18/(G3*0.1865)</f>
        <v>0.595770032767352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10</v>
      </c>
      <c r="D19" s="9">
        <v>1</v>
      </c>
      <c r="E19" s="12">
        <f t="shared" si="1"/>
        <v>11</v>
      </c>
      <c r="F19" s="12" t="s">
        <v>36</v>
      </c>
      <c r="G19" s="12">
        <f>10+5+7+21+9+6+7+6+11</f>
        <v>82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349</v>
      </c>
      <c r="D20" s="9">
        <v>686</v>
      </c>
      <c r="E20" s="12">
        <f t="shared" si="1"/>
        <v>1035</v>
      </c>
      <c r="F20" s="12" t="s">
        <v>27</v>
      </c>
      <c r="G20" s="12">
        <f>1011+1084+1036+1277+854+1124+787+1194+1035</f>
        <v>9402</v>
      </c>
      <c r="H20" s="28"/>
      <c r="I20" s="12">
        <f>E20/M20</f>
        <v>57.5</v>
      </c>
      <c r="J20" s="22" t="s">
        <v>38</v>
      </c>
      <c r="K20" s="12">
        <f>18+24+24+24+15+21.5+13+20.5+18</f>
        <v>178</v>
      </c>
      <c r="L20" s="12">
        <f>G20/K20</f>
        <v>52.8202247191011</v>
      </c>
      <c r="M20" s="12">
        <v>18</v>
      </c>
    </row>
    <row r="21" s="1" customFormat="1" ht="25" customHeight="1" spans="1:13">
      <c r="A21" s="16">
        <v>16</v>
      </c>
      <c r="B21" s="10" t="s">
        <v>39</v>
      </c>
      <c r="C21" s="9">
        <v>427</v>
      </c>
      <c r="D21" s="9">
        <v>865</v>
      </c>
      <c r="E21" s="12">
        <f t="shared" si="1"/>
        <v>1292</v>
      </c>
      <c r="F21" s="12" t="s">
        <v>27</v>
      </c>
      <c r="G21" s="12">
        <f>1281+1421+1306+1647+1060+1392+944+1503+1292</f>
        <v>11846</v>
      </c>
      <c r="H21" s="27"/>
      <c r="I21" s="12">
        <f>E21/M20</f>
        <v>71.7777777777778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0</v>
      </c>
      <c r="D22" s="16">
        <v>26.74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80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81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83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</f>
        <v>90.89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17</v>
      </c>
      <c r="D31" s="12">
        <v>11</v>
      </c>
      <c r="E31" s="12">
        <f t="shared" si="2"/>
        <v>28</v>
      </c>
      <c r="F31" s="12" t="s">
        <v>27</v>
      </c>
      <c r="G31" s="12">
        <f>28+25+28+24+15+16+20+26+28</f>
        <v>210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</f>
        <v>39.8115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299</v>
      </c>
      <c r="D34" s="12">
        <v>308</v>
      </c>
      <c r="E34" s="12">
        <f t="shared" si="2"/>
        <v>607</v>
      </c>
      <c r="F34" s="12" t="s">
        <v>27</v>
      </c>
      <c r="G34" s="12">
        <f>620+619+610+632+626+623+310+603+607</f>
        <v>5250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393</v>
      </c>
      <c r="D35" s="12">
        <v>427</v>
      </c>
      <c r="E35" s="12">
        <f t="shared" si="2"/>
        <v>820</v>
      </c>
      <c r="F35" s="12" t="s">
        <v>27</v>
      </c>
      <c r="G35" s="12">
        <f>901+911+932+914+912+877+753+854+820</f>
        <v>7874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</f>
        <v>0</v>
      </c>
      <c r="H36" s="27"/>
      <c r="I36" s="9">
        <v>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</f>
        <v>0</v>
      </c>
      <c r="H37" s="27"/>
      <c r="I37" s="9">
        <v>111.1808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</f>
        <v>5</v>
      </c>
      <c r="H38" s="27"/>
      <c r="I38" s="12">
        <v>23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84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8.5</v>
      </c>
      <c r="D3" s="11">
        <v>8</v>
      </c>
      <c r="E3" s="12">
        <f t="shared" ref="E3:E12" si="0">C3+D3</f>
        <v>16.5</v>
      </c>
      <c r="F3" s="12" t="s">
        <v>14</v>
      </c>
      <c r="G3" s="12">
        <f>8.5+16+13+13+16+7.5+12+8+14+16.5</f>
        <v>124.5</v>
      </c>
      <c r="H3" s="12">
        <v>340</v>
      </c>
      <c r="I3" s="12">
        <f>H3-G3</f>
        <v>215.5</v>
      </c>
      <c r="J3" s="13"/>
      <c r="K3" s="12"/>
      <c r="L3" s="12"/>
      <c r="M3" s="12">
        <f>I3/21</f>
        <v>10.2619047619048</v>
      </c>
    </row>
    <row r="4" s="1" customFormat="1" ht="38" customHeight="1" spans="1:13">
      <c r="A4" s="16">
        <v>2</v>
      </c>
      <c r="B4" s="10" t="s">
        <v>15</v>
      </c>
      <c r="C4" s="11">
        <v>12</v>
      </c>
      <c r="D4" s="11"/>
      <c r="E4" s="12">
        <f t="shared" si="0"/>
        <v>12</v>
      </c>
      <c r="F4" s="12" t="s">
        <v>14</v>
      </c>
      <c r="G4" s="12">
        <f>12+10+18+10+14+16+8+10+10+12</f>
        <v>120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103</v>
      </c>
      <c r="D5" s="12">
        <v>106</v>
      </c>
      <c r="E5" s="12">
        <f t="shared" si="0"/>
        <v>209</v>
      </c>
      <c r="F5" s="12" t="s">
        <v>14</v>
      </c>
      <c r="G5" s="12">
        <f>127+161+174+183+112+177+87+146+147+209</f>
        <v>1523</v>
      </c>
      <c r="H5" s="12">
        <v>5239</v>
      </c>
      <c r="I5" s="12">
        <f>H5-G5-G7-G6</f>
        <v>3716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1</v>
      </c>
      <c r="D8" s="12">
        <v>0</v>
      </c>
      <c r="E8" s="12">
        <f t="shared" si="0"/>
        <v>1</v>
      </c>
      <c r="F8" s="12" t="s">
        <v>14</v>
      </c>
      <c r="G8" s="12">
        <f>0+0+0+0+1+0+3+0+0+1</f>
        <v>5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</f>
        <v>257.86</v>
      </c>
      <c r="H9" s="17">
        <v>6.27</v>
      </c>
      <c r="I9" s="17">
        <f>H9-K10</f>
        <v>4.082019</v>
      </c>
      <c r="J9" s="22" t="s">
        <v>21</v>
      </c>
      <c r="K9" s="17">
        <v>4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9.3285</v>
      </c>
      <c r="D10" s="12">
        <v>0</v>
      </c>
      <c r="E10" s="12">
        <f t="shared" si="0"/>
        <v>9.3285</v>
      </c>
      <c r="F10" s="12" t="s">
        <v>14</v>
      </c>
      <c r="G10" s="12">
        <f>9.8415+8.019+6.237+13.635+8.1135+6.9255+7.3035+4.6305+6.345+9.3285</f>
        <v>80.379</v>
      </c>
      <c r="H10" s="12"/>
      <c r="I10" s="12">
        <f>G10/(G3*0.1865)</f>
        <v>3.4617397202752</v>
      </c>
      <c r="J10" s="22" t="s">
        <v>23</v>
      </c>
      <c r="K10" s="23">
        <f>0.946404+0.526405+0+0+0+0.369528+0+0.345644+0+0</f>
        <v>2.187981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17.0936</v>
      </c>
      <c r="D11" s="12">
        <v>0</v>
      </c>
      <c r="E11" s="12">
        <f t="shared" si="0"/>
        <v>17.0936</v>
      </c>
      <c r="F11" s="12" t="s">
        <v>14</v>
      </c>
      <c r="G11" s="12">
        <f>16.8544+8.4824+14.9408+17.5168+16.9464+4.3424+22.08+11.8496+11.9232+17.0936</f>
        <v>142.0296</v>
      </c>
      <c r="H11" s="12"/>
      <c r="I11" s="12">
        <f>G11/(G3*0.1865)</f>
        <v>6.11689008042895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262</v>
      </c>
      <c r="D12" s="12">
        <v>267</v>
      </c>
      <c r="E12" s="12">
        <f t="shared" si="0"/>
        <v>529</v>
      </c>
      <c r="F12" s="12"/>
      <c r="G12" s="12">
        <f>280+495+437+544+380+394+300+578+329+529</f>
        <v>4266</v>
      </c>
      <c r="H12" s="12">
        <f>G12*1.05</f>
        <v>4479.3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242</v>
      </c>
      <c r="D13" s="12">
        <v>228</v>
      </c>
      <c r="E13" s="12">
        <f t="shared" ref="E13:E21" si="1">D13+C13</f>
        <v>470</v>
      </c>
      <c r="F13" s="12" t="s">
        <v>27</v>
      </c>
      <c r="G13" s="12">
        <f>282+436+387+416+376+286+243+396+353+470</f>
        <v>3645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377.15</v>
      </c>
      <c r="D14" s="12">
        <v>404.6</v>
      </c>
      <c r="E14" s="12">
        <f t="shared" si="1"/>
        <v>781.75</v>
      </c>
      <c r="F14" s="12" t="s">
        <v>27</v>
      </c>
      <c r="G14" s="12">
        <f>677.66+732.19+798.94+881.44+519.28+837+784.96+736.12+741.94+781.75</f>
        <v>7491.28</v>
      </c>
      <c r="H14" s="12"/>
      <c r="I14" s="12"/>
      <c r="J14" s="22" t="s">
        <v>29</v>
      </c>
      <c r="K14" s="12">
        <v>3.08</v>
      </c>
      <c r="L14" s="12">
        <v>2.99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18</v>
      </c>
      <c r="D15" s="12">
        <v>18</v>
      </c>
      <c r="E15" s="12">
        <f t="shared" si="1"/>
        <v>36</v>
      </c>
      <c r="F15" s="12" t="s">
        <v>14</v>
      </c>
      <c r="G15" s="12">
        <f>21+39+30+33+33+21+18+33+30+36</f>
        <v>294</v>
      </c>
      <c r="H15" s="12"/>
      <c r="I15" s="12">
        <f>G15/(G3*0.1865)</f>
        <v>12.6619076843567</v>
      </c>
      <c r="J15" s="22" t="s">
        <v>31</v>
      </c>
      <c r="K15" s="23">
        <f>2.2333187+2.4654986+2.5645024+3.1869984+1.6910493+2.6327277+2.5231379+2.3150624+2.2740958+2.371376</f>
        <v>24.2577672</v>
      </c>
      <c r="L15" s="12"/>
      <c r="M15" s="12">
        <f>(C14*K14+L14*D14)/1000</f>
        <v>2.371376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</f>
        <v>0.275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</f>
        <v>14</v>
      </c>
      <c r="H17" s="27"/>
      <c r="I17" s="12">
        <f>G17/(G3*0.1865)</f>
        <v>0.602947984969368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</f>
        <v>14</v>
      </c>
      <c r="H18" s="27"/>
      <c r="I18" s="12">
        <f>G18/(G3*0.1865)</f>
        <v>0.602947984969368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8</v>
      </c>
      <c r="D19" s="9">
        <v>3</v>
      </c>
      <c r="E19" s="12">
        <f t="shared" si="1"/>
        <v>11</v>
      </c>
      <c r="F19" s="12" t="s">
        <v>36</v>
      </c>
      <c r="G19" s="12">
        <f>10+5+7+21+9+6+7+6+11+11</f>
        <v>93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690</v>
      </c>
      <c r="D20" s="9">
        <v>661</v>
      </c>
      <c r="E20" s="12">
        <f t="shared" si="1"/>
        <v>1351</v>
      </c>
      <c r="F20" s="12" t="s">
        <v>27</v>
      </c>
      <c r="G20" s="12">
        <f>1011+1084+1036+1277+854+1124+787+1194+1035+1351</f>
        <v>10753</v>
      </c>
      <c r="H20" s="28"/>
      <c r="I20" s="12">
        <f>E20/M20</f>
        <v>56.2916666666667</v>
      </c>
      <c r="J20" s="22" t="s">
        <v>38</v>
      </c>
      <c r="K20" s="12">
        <f>18+24+24+24+15+21.5+13+20.5+18+24</f>
        <v>202</v>
      </c>
      <c r="L20" s="12">
        <f>G20/K20</f>
        <v>53.2326732673267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883</v>
      </c>
      <c r="D21" s="9">
        <v>866</v>
      </c>
      <c r="E21" s="12">
        <f t="shared" si="1"/>
        <v>1749</v>
      </c>
      <c r="F21" s="12" t="s">
        <v>27</v>
      </c>
      <c r="G21" s="12">
        <f>1281+1421+1306+1647+1060+1392+944+1503+1292+1749</f>
        <v>13595</v>
      </c>
      <c r="H21" s="27"/>
      <c r="I21" s="12">
        <f>E21/M20</f>
        <v>72.875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27.67</v>
      </c>
      <c r="D22" s="16">
        <v>26.26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80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81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85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8.32</v>
      </c>
      <c r="E30" s="12">
        <f t="shared" si="2"/>
        <v>8.32</v>
      </c>
      <c r="F30" s="12" t="s">
        <v>27</v>
      </c>
      <c r="G30" s="12">
        <f>17.63+8.3+15.11+16.68+16.59+16.58+0+0+0+8.32</f>
        <v>99.21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17</v>
      </c>
      <c r="D31" s="12">
        <v>8</v>
      </c>
      <c r="E31" s="12">
        <f t="shared" si="2"/>
        <v>25</v>
      </c>
      <c r="F31" s="12" t="s">
        <v>27</v>
      </c>
      <c r="G31" s="12">
        <f>28+25+28+24+15+16+20+26+28+25</f>
        <v>235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</f>
        <v>39.8115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296</v>
      </c>
      <c r="D34" s="12">
        <v>307</v>
      </c>
      <c r="E34" s="12">
        <f t="shared" si="2"/>
        <v>603</v>
      </c>
      <c r="F34" s="12" t="s">
        <v>27</v>
      </c>
      <c r="G34" s="12">
        <f>620+619+610+632+626+623+310+603+607+603</f>
        <v>5853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399</v>
      </c>
      <c r="D35" s="12">
        <v>360</v>
      </c>
      <c r="E35" s="12">
        <f t="shared" si="2"/>
        <v>759</v>
      </c>
      <c r="F35" s="12" t="s">
        <v>27</v>
      </c>
      <c r="G35" s="12">
        <f>901+911+932+914+912+877+753+854+820+759</f>
        <v>8633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</f>
        <v>0</v>
      </c>
      <c r="H36" s="27"/>
      <c r="I36" s="9">
        <v>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</f>
        <v>0</v>
      </c>
      <c r="H37" s="27"/>
      <c r="I37" s="9">
        <v>110.3122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2</v>
      </c>
      <c r="E38" s="12">
        <f>D38+C38</f>
        <v>2</v>
      </c>
      <c r="F38" s="12" t="s">
        <v>36</v>
      </c>
      <c r="G38" s="12">
        <f>0+0+2+0+3+0+0+0+0+2</f>
        <v>7</v>
      </c>
      <c r="H38" s="27"/>
      <c r="I38" s="12">
        <v>25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86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7.5</v>
      </c>
      <c r="D3" s="11">
        <v>7</v>
      </c>
      <c r="E3" s="12">
        <f t="shared" ref="E3:E12" si="0">C3+D3</f>
        <v>14.5</v>
      </c>
      <c r="F3" s="12" t="s">
        <v>14</v>
      </c>
      <c r="G3" s="12">
        <f>8.5+16+13+13+16+7.5+12+8+14+16.5+14.5</f>
        <v>139</v>
      </c>
      <c r="H3" s="12">
        <v>340</v>
      </c>
      <c r="I3" s="12">
        <f>H3-G3</f>
        <v>201</v>
      </c>
      <c r="J3" s="13"/>
      <c r="K3" s="12"/>
      <c r="L3" s="12"/>
      <c r="M3" s="12">
        <f>I3/20</f>
        <v>10.05</v>
      </c>
    </row>
    <row r="4" s="1" customFormat="1" ht="38" customHeight="1" spans="1:13">
      <c r="A4" s="16">
        <v>2</v>
      </c>
      <c r="B4" s="10" t="s">
        <v>15</v>
      </c>
      <c r="C4" s="11">
        <v>18</v>
      </c>
      <c r="D4" s="11"/>
      <c r="E4" s="12">
        <f t="shared" si="0"/>
        <v>18</v>
      </c>
      <c r="F4" s="12" t="s">
        <v>14</v>
      </c>
      <c r="G4" s="12">
        <f>12+10+18+10+14+16+8+10+10+12+18</f>
        <v>138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114</v>
      </c>
      <c r="D5" s="12">
        <v>82</v>
      </c>
      <c r="E5" s="12">
        <f t="shared" si="0"/>
        <v>196</v>
      </c>
      <c r="F5" s="12" t="s">
        <v>14</v>
      </c>
      <c r="G5" s="12">
        <f>127+161+174+183+112+177+87+146+147+209+196</f>
        <v>1719</v>
      </c>
      <c r="H5" s="12">
        <v>5239</v>
      </c>
      <c r="I5" s="12">
        <f>H5-G5-G7-G6</f>
        <v>3520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</f>
        <v>5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</f>
        <v>257.86</v>
      </c>
      <c r="H9" s="17">
        <v>6.27</v>
      </c>
      <c r="I9" s="17">
        <f>H9-K10</f>
        <v>4.082019</v>
      </c>
      <c r="J9" s="22" t="s">
        <v>21</v>
      </c>
      <c r="K9" s="17">
        <v>3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7.425</v>
      </c>
      <c r="D10" s="12">
        <v>3.051</v>
      </c>
      <c r="E10" s="12">
        <f t="shared" si="0"/>
        <v>10.476</v>
      </c>
      <c r="F10" s="12" t="s">
        <v>14</v>
      </c>
      <c r="G10" s="12">
        <f>9.8415+8.019+6.237+13.635+8.1135+6.9255+7.3035+4.6305+6.345+9.3285+10.476</f>
        <v>90.855</v>
      </c>
      <c r="H10" s="12"/>
      <c r="I10" s="12">
        <f>G10/(G3*0.1865)</f>
        <v>3.5047350859259</v>
      </c>
      <c r="J10" s="22" t="s">
        <v>23</v>
      </c>
      <c r="K10" s="23">
        <f>0.946404+0.526405+0+0+0+0.369528+0+0.345644+0+0+0</f>
        <v>2.187981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13.7264</v>
      </c>
      <c r="D11" s="12">
        <v>0</v>
      </c>
      <c r="E11" s="12">
        <f t="shared" si="0"/>
        <v>13.7264</v>
      </c>
      <c r="F11" s="12" t="s">
        <v>14</v>
      </c>
      <c r="G11" s="12">
        <f>16.8544+8.4824+14.9408+17.5168+16.9464+4.3424+22.08+11.8496+11.9232+17.0936+13.7264</f>
        <v>155.756</v>
      </c>
      <c r="H11" s="12"/>
      <c r="I11" s="12">
        <f>G11/(G3*0.1865)</f>
        <v>6.00829363318996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272</v>
      </c>
      <c r="D12" s="12">
        <v>225</v>
      </c>
      <c r="E12" s="12">
        <f t="shared" si="0"/>
        <v>497</v>
      </c>
      <c r="F12" s="12"/>
      <c r="G12" s="12">
        <f>280+495+437+544+380+394+300+578+329+529+497</f>
        <v>4763</v>
      </c>
      <c r="H12" s="12">
        <f>G12*1.05</f>
        <v>5001.15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230</v>
      </c>
      <c r="D13" s="12">
        <v>198</v>
      </c>
      <c r="E13" s="12">
        <f t="shared" ref="E13:E21" si="1">D13+C13</f>
        <v>428</v>
      </c>
      <c r="F13" s="12" t="s">
        <v>27</v>
      </c>
      <c r="G13" s="12">
        <f>282+436+387+416+376+286+243+396+353+470+428</f>
        <v>4073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327.37</v>
      </c>
      <c r="D14" s="12">
        <v>353.28</v>
      </c>
      <c r="E14" s="12">
        <f t="shared" si="1"/>
        <v>680.65</v>
      </c>
      <c r="F14" s="12" t="s">
        <v>27</v>
      </c>
      <c r="G14" s="12">
        <f>677.66+732.19+798.94+881.44+519.28+837+784.96+736.12+741.94+781.75+680.65</f>
        <v>8171.93</v>
      </c>
      <c r="H14" s="12"/>
      <c r="I14" s="12"/>
      <c r="J14" s="22" t="s">
        <v>29</v>
      </c>
      <c r="K14" s="12">
        <v>3.21</v>
      </c>
      <c r="L14" s="12">
        <v>3.03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18</v>
      </c>
      <c r="D15" s="12">
        <v>18</v>
      </c>
      <c r="E15" s="12">
        <f t="shared" si="1"/>
        <v>36</v>
      </c>
      <c r="F15" s="12" t="s">
        <v>14</v>
      </c>
      <c r="G15" s="12">
        <f>21+39+30+33+33+21+18+33+30+36+36</f>
        <v>330</v>
      </c>
      <c r="H15" s="12"/>
      <c r="I15" s="12">
        <f>G15/(G3*0.1865)</f>
        <v>12.7297625706405</v>
      </c>
      <c r="J15" s="22" t="s">
        <v>31</v>
      </c>
      <c r="K15" s="23">
        <f>2.2333187+2.4654986+2.5645024+3.1869984+1.6910493+2.6327277+2.5231379+2.3150624+2.2740958+2.371376+2.1212961</f>
        <v>26.3790633</v>
      </c>
      <c r="L15" s="12"/>
      <c r="M15" s="12">
        <f>(C14*K14+L14*D14)/1000</f>
        <v>2.1212961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</f>
        <v>0.275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</f>
        <v>14</v>
      </c>
      <c r="H17" s="27"/>
      <c r="I17" s="12">
        <f>G17/(G3*0.1865)</f>
        <v>0.540050533299902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</f>
        <v>14</v>
      </c>
      <c r="H18" s="27"/>
      <c r="I18" s="12">
        <f>G18/(G3*0.1865)</f>
        <v>0.540050533299902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5</v>
      </c>
      <c r="D19" s="9">
        <v>3</v>
      </c>
      <c r="E19" s="12">
        <f t="shared" si="1"/>
        <v>8</v>
      </c>
      <c r="F19" s="12" t="s">
        <v>36</v>
      </c>
      <c r="G19" s="12">
        <f>10+5+7+21+9+6+7+6+11+11+8</f>
        <v>101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660</v>
      </c>
      <c r="D20" s="9">
        <v>497</v>
      </c>
      <c r="E20" s="12">
        <f t="shared" si="1"/>
        <v>1157</v>
      </c>
      <c r="F20" s="12" t="s">
        <v>27</v>
      </c>
      <c r="G20" s="12">
        <f>1011+1084+1036+1277+854+1124+787+1194+1035+1351+1157</f>
        <v>11910</v>
      </c>
      <c r="H20" s="28"/>
      <c r="I20" s="12">
        <f>E20/M20</f>
        <v>48.2083333333333</v>
      </c>
      <c r="J20" s="22" t="s">
        <v>38</v>
      </c>
      <c r="K20" s="12">
        <f>18+24+24+24+15+21.5+13+20.5+18+24+24</f>
        <v>226</v>
      </c>
      <c r="L20" s="12">
        <f>G20/K20</f>
        <v>52.6991150442478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865</v>
      </c>
      <c r="D21" s="9">
        <v>639</v>
      </c>
      <c r="E21" s="12">
        <f t="shared" si="1"/>
        <v>1504</v>
      </c>
      <c r="F21" s="12" t="s">
        <v>27</v>
      </c>
      <c r="G21" s="12">
        <f>1281+1421+1306+1647+1060+1392+944+1503+1292+1749+1504</f>
        <v>15099</v>
      </c>
      <c r="H21" s="27"/>
      <c r="I21" s="12">
        <f>E21/M20</f>
        <v>62.6666666666667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30.1</v>
      </c>
      <c r="D22" s="16">
        <v>30.51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87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81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88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8.28</v>
      </c>
      <c r="E30" s="12">
        <f t="shared" si="2"/>
        <v>8.28</v>
      </c>
      <c r="F30" s="12" t="s">
        <v>27</v>
      </c>
      <c r="G30" s="12">
        <f>17.63+8.3+15.11+16.68+16.59+16.58+0+0+0+8.32+8.28</f>
        <v>107.49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11</v>
      </c>
      <c r="D31" s="12">
        <v>4</v>
      </c>
      <c r="E31" s="12">
        <f t="shared" si="2"/>
        <v>15</v>
      </c>
      <c r="F31" s="12" t="s">
        <v>27</v>
      </c>
      <c r="G31" s="12">
        <f>28+25+28+24+15+16+20+26+28+25+15</f>
        <v>250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8.127</v>
      </c>
      <c r="D32" s="12">
        <v>0</v>
      </c>
      <c r="E32" s="12">
        <f t="shared" si="2"/>
        <v>8.127</v>
      </c>
      <c r="F32" s="12" t="s">
        <v>14</v>
      </c>
      <c r="G32" s="12">
        <f>4.509+7.7625+0+10.5435+7.7085+9.288+0+0+0+0+8.127</f>
        <v>47.9385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304</v>
      </c>
      <c r="D34" s="12">
        <v>305</v>
      </c>
      <c r="E34" s="12">
        <f t="shared" si="2"/>
        <v>609</v>
      </c>
      <c r="F34" s="12" t="s">
        <v>27</v>
      </c>
      <c r="G34" s="12">
        <f>620+619+610+632+626+623+310+603+607+603+609</f>
        <v>6462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381</v>
      </c>
      <c r="D35" s="12">
        <v>404</v>
      </c>
      <c r="E35" s="12">
        <f t="shared" si="2"/>
        <v>785</v>
      </c>
      <c r="F35" s="12" t="s">
        <v>27</v>
      </c>
      <c r="G35" s="12">
        <f>901+911+932+914+912+877+753+854+820+759+785</f>
        <v>9418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</f>
        <v>0</v>
      </c>
      <c r="H36" s="27"/>
      <c r="I36" s="9">
        <v>67.5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</f>
        <v>0</v>
      </c>
      <c r="H37" s="27"/>
      <c r="I37" s="9">
        <v>122.4726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</f>
        <v>7</v>
      </c>
      <c r="H38" s="27"/>
      <c r="I38" s="12">
        <v>25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89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5.5</v>
      </c>
      <c r="D3" s="11">
        <v>6</v>
      </c>
      <c r="E3" s="12">
        <f t="shared" ref="E3:E12" si="0">C3+D3</f>
        <v>11.5</v>
      </c>
      <c r="F3" s="12" t="s">
        <v>14</v>
      </c>
      <c r="G3" s="12">
        <f>8.5+16+13+13+16+7.5+12+8+14+16.5+14.5+11.5</f>
        <v>150.5</v>
      </c>
      <c r="H3" s="12">
        <v>340</v>
      </c>
      <c r="I3" s="12">
        <f>H3-G3</f>
        <v>189.5</v>
      </c>
      <c r="J3" s="13"/>
      <c r="K3" s="12"/>
      <c r="L3" s="12"/>
      <c r="M3" s="12">
        <f>I3/19</f>
        <v>9.97368421052632</v>
      </c>
    </row>
    <row r="4" s="1" customFormat="1" ht="38" customHeight="1" spans="1:13">
      <c r="A4" s="16">
        <v>2</v>
      </c>
      <c r="B4" s="10" t="s">
        <v>15</v>
      </c>
      <c r="C4" s="11">
        <v>14</v>
      </c>
      <c r="D4" s="11"/>
      <c r="E4" s="12">
        <f t="shared" si="0"/>
        <v>14</v>
      </c>
      <c r="F4" s="12" t="s">
        <v>14</v>
      </c>
      <c r="G4" s="12">
        <f>12+10+18+10+14+16+8+10+10+12+18+14</f>
        <v>152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91</v>
      </c>
      <c r="D5" s="12">
        <v>100</v>
      </c>
      <c r="E5" s="12">
        <f t="shared" si="0"/>
        <v>191</v>
      </c>
      <c r="F5" s="12" t="s">
        <v>14</v>
      </c>
      <c r="G5" s="12">
        <f>127+161+174+183+112+177+87+146+147+209+196+191</f>
        <v>1910</v>
      </c>
      <c r="H5" s="12">
        <v>5239</v>
      </c>
      <c r="I5" s="12">
        <f>H5-G5-G7-G6</f>
        <v>3329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</f>
        <v>5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40.96</v>
      </c>
      <c r="D9" s="17"/>
      <c r="E9" s="12">
        <f t="shared" si="0"/>
        <v>40.96</v>
      </c>
      <c r="F9" s="17" t="s">
        <v>14</v>
      </c>
      <c r="G9" s="12">
        <f>116.84+61.93+0+0+0+41.52+0+37.57+0+0+0+40.96</f>
        <v>298.82</v>
      </c>
      <c r="H9" s="17">
        <v>6.27</v>
      </c>
      <c r="I9" s="17">
        <f>H9-K10</f>
        <v>3.746147</v>
      </c>
      <c r="J9" s="22" t="s">
        <v>21</v>
      </c>
      <c r="K9" s="17">
        <v>5</v>
      </c>
      <c r="L9" s="17">
        <v>0.82</v>
      </c>
      <c r="M9" s="46"/>
    </row>
    <row r="10" s="1" customFormat="1" ht="25" customHeight="1" spans="1:13">
      <c r="A10" s="9">
        <v>5</v>
      </c>
      <c r="B10" s="10" t="s">
        <v>22</v>
      </c>
      <c r="C10" s="12">
        <v>8.7075</v>
      </c>
      <c r="D10" s="12">
        <v>0</v>
      </c>
      <c r="E10" s="12">
        <f t="shared" si="0"/>
        <v>8.7075</v>
      </c>
      <c r="F10" s="12" t="s">
        <v>14</v>
      </c>
      <c r="G10" s="12">
        <f>9.8415+8.019+6.237+13.635+8.1135+6.9255+7.3035+4.6305+6.345+9.3285+10.476+8.7075</f>
        <v>99.5625</v>
      </c>
      <c r="H10" s="12"/>
      <c r="I10" s="12">
        <f>G10/(G3*0.1865)</f>
        <v>3.54715737532621</v>
      </c>
      <c r="J10" s="22" t="s">
        <v>23</v>
      </c>
      <c r="K10" s="23">
        <f>0.946404+0.526405+0+0+0+0.369528+0+0.345644+0+0+0+0.335872</f>
        <v>2.523853</v>
      </c>
      <c r="L10" s="12"/>
      <c r="M10" s="12">
        <f>C9*L9/100</f>
        <v>0.335872</v>
      </c>
    </row>
    <row r="11" s="1" customFormat="1" ht="25" customHeight="1" spans="1:13">
      <c r="A11" s="9">
        <v>6</v>
      </c>
      <c r="B11" s="10" t="s">
        <v>24</v>
      </c>
      <c r="C11" s="12">
        <v>18.86</v>
      </c>
      <c r="D11" s="12">
        <v>0</v>
      </c>
      <c r="E11" s="12">
        <f t="shared" si="0"/>
        <v>18.86</v>
      </c>
      <c r="F11" s="12" t="s">
        <v>14</v>
      </c>
      <c r="G11" s="12">
        <f>16.8544+8.4824+14.9408+17.5168+16.9464+4.3424+22.08+11.8496+11.9232+17.0936+13.7264+18.86</f>
        <v>174.616</v>
      </c>
      <c r="H11" s="12"/>
      <c r="I11" s="12">
        <f>G11/(G3*0.1865)</f>
        <v>6.22112173006867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229</v>
      </c>
      <c r="D12" s="12">
        <v>253</v>
      </c>
      <c r="E12" s="12">
        <f t="shared" si="0"/>
        <v>482</v>
      </c>
      <c r="F12" s="12"/>
      <c r="G12" s="12">
        <f>280+495+437+544+380+394+300+578+329+529+497+482</f>
        <v>5245</v>
      </c>
      <c r="H12" s="12">
        <f>G12*1.05</f>
        <v>5507.25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146</v>
      </c>
      <c r="D13" s="12">
        <v>142</v>
      </c>
      <c r="E13" s="12">
        <f t="shared" ref="E13:E21" si="1">D13+C13</f>
        <v>288</v>
      </c>
      <c r="F13" s="12" t="s">
        <v>27</v>
      </c>
      <c r="G13" s="12">
        <f>282+436+387+416+376+286+243+396+353+470+428+288</f>
        <v>4361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367.12</v>
      </c>
      <c r="D14" s="12">
        <v>341.6</v>
      </c>
      <c r="E14" s="12">
        <f t="shared" si="1"/>
        <v>708.72</v>
      </c>
      <c r="F14" s="12" t="s">
        <v>27</v>
      </c>
      <c r="G14" s="12">
        <f>677.66+732.19+798.94+881.44+519.28+837+784.96+736.12+741.94+781.75+680.65+708.72</f>
        <v>8880.65</v>
      </c>
      <c r="H14" s="12"/>
      <c r="I14" s="12"/>
      <c r="J14" s="22" t="s">
        <v>29</v>
      </c>
      <c r="K14" s="12">
        <v>2.93</v>
      </c>
      <c r="L14" s="12">
        <v>3.04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12</v>
      </c>
      <c r="D15" s="12">
        <v>12</v>
      </c>
      <c r="E15" s="12">
        <f t="shared" si="1"/>
        <v>24</v>
      </c>
      <c r="F15" s="12" t="s">
        <v>14</v>
      </c>
      <c r="G15" s="12">
        <f>21+39+30+33+33+21+18+33+30+36+36+24</f>
        <v>354</v>
      </c>
      <c r="H15" s="12"/>
      <c r="I15" s="12">
        <f>G15/(G3*0.1865)</f>
        <v>12.612115112271</v>
      </c>
      <c r="J15" s="22" t="s">
        <v>31</v>
      </c>
      <c r="K15" s="23">
        <f>2.2333187+2.4654986+2.5645024+3.1869984+1.6910493+2.6327277+2.5231379+2.3150624+2.2740958+2.371376+2.1212961+2.1141256</f>
        <v>28.4931889</v>
      </c>
      <c r="L15" s="12"/>
      <c r="M15" s="12">
        <f>(C14*K14+L14*D14)/1000</f>
        <v>2.1141256</v>
      </c>
    </row>
    <row r="16" s="1" customFormat="1" ht="25" customHeight="1" spans="1:13">
      <c r="A16" s="9">
        <v>11</v>
      </c>
      <c r="B16" s="10" t="s">
        <v>32</v>
      </c>
      <c r="C16" s="9">
        <v>0.075</v>
      </c>
      <c r="D16" s="9">
        <v>0.05</v>
      </c>
      <c r="E16" s="12">
        <f t="shared" si="1"/>
        <v>0.125</v>
      </c>
      <c r="F16" s="12" t="s">
        <v>14</v>
      </c>
      <c r="G16" s="12">
        <f>0.0125+0+0+0.075+0+0.0875+0.05+0.05+0+0+0+0.125</f>
        <v>0.4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</f>
        <v>16</v>
      </c>
      <c r="H17" s="27"/>
      <c r="I17" s="12">
        <f>G17/(G3*0.1865)</f>
        <v>0.570039101119592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</f>
        <v>16</v>
      </c>
      <c r="H18" s="27"/>
      <c r="I18" s="12">
        <f>G18/(G3*0.1865)</f>
        <v>0.570039101119592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6</v>
      </c>
      <c r="D19" s="9">
        <v>2</v>
      </c>
      <c r="E19" s="12">
        <f t="shared" si="1"/>
        <v>8</v>
      </c>
      <c r="F19" s="12" t="s">
        <v>36</v>
      </c>
      <c r="G19" s="12">
        <f>10+5+7+21+9+6+7+6+11+11+8+8</f>
        <v>109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547</v>
      </c>
      <c r="D20" s="9">
        <v>623</v>
      </c>
      <c r="E20" s="12">
        <f t="shared" si="1"/>
        <v>1170</v>
      </c>
      <c r="F20" s="12" t="s">
        <v>27</v>
      </c>
      <c r="G20" s="12">
        <f>1011+1084+1036+1277+854+1124+787+1194+1035+1351+1157+1170</f>
        <v>13080</v>
      </c>
      <c r="H20" s="28"/>
      <c r="I20" s="12">
        <f>E20/M20</f>
        <v>48.75</v>
      </c>
      <c r="J20" s="22" t="s">
        <v>38</v>
      </c>
      <c r="K20" s="12">
        <f>18+24+24+24+15+21.5+13+20.5+18+24+24+24</f>
        <v>250</v>
      </c>
      <c r="L20" s="12">
        <f>G20/K20</f>
        <v>52.32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672</v>
      </c>
      <c r="D21" s="9">
        <v>791</v>
      </c>
      <c r="E21" s="12">
        <f t="shared" si="1"/>
        <v>1463</v>
      </c>
      <c r="F21" s="12" t="s">
        <v>27</v>
      </c>
      <c r="G21" s="12">
        <f>1281+1421+1306+1647+1060+1392+944+1503+1292+1749+1504+1463</f>
        <v>16562</v>
      </c>
      <c r="H21" s="27"/>
      <c r="I21" s="12">
        <f>E21/M20</f>
        <v>60.9583333333333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33.01</v>
      </c>
      <c r="D22" s="16">
        <v>35.73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90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91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92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8.25</v>
      </c>
      <c r="D30" s="12">
        <v>8.14</v>
      </c>
      <c r="E30" s="12">
        <f t="shared" si="2"/>
        <v>16.39</v>
      </c>
      <c r="F30" s="12" t="s">
        <v>27</v>
      </c>
      <c r="G30" s="12">
        <f>17.63+8.3+15.11+16.68+16.59+16.58+0+0+0+8.32+8.28+16.39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9</v>
      </c>
      <c r="D31" s="12">
        <v>10</v>
      </c>
      <c r="E31" s="12">
        <f t="shared" si="2"/>
        <v>19</v>
      </c>
      <c r="F31" s="12" t="s">
        <v>27</v>
      </c>
      <c r="G31" s="12">
        <f>28+25+28+24+15+16+20+26+28+25+15+19</f>
        <v>269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10.179</v>
      </c>
      <c r="D32" s="12">
        <v>0</v>
      </c>
      <c r="E32" s="12">
        <f t="shared" si="2"/>
        <v>10.179</v>
      </c>
      <c r="F32" s="12" t="s">
        <v>14</v>
      </c>
      <c r="G32" s="12">
        <f>4.509+7.7625+0+10.5435+7.7085+9.288+0+0+0+0+8.127+10.179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309</v>
      </c>
      <c r="D34" s="12">
        <v>275</v>
      </c>
      <c r="E34" s="12">
        <f t="shared" si="2"/>
        <v>584</v>
      </c>
      <c r="F34" s="12" t="s">
        <v>27</v>
      </c>
      <c r="G34" s="12">
        <f>620+619+610+632+626+623+310+603+607+603+609+584</f>
        <v>7046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436</v>
      </c>
      <c r="D35" s="12">
        <v>300</v>
      </c>
      <c r="E35" s="12">
        <f t="shared" si="2"/>
        <v>736</v>
      </c>
      <c r="F35" s="12" t="s">
        <v>27</v>
      </c>
      <c r="G35" s="12">
        <f>901+911+932+914+912+877+753+854+820+759+785+736</f>
        <v>10154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</f>
        <v>0</v>
      </c>
      <c r="H36" s="27"/>
      <c r="I36" s="9">
        <v>885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</f>
        <v>0</v>
      </c>
      <c r="H37" s="27"/>
      <c r="I37" s="9">
        <v>135.5016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3</v>
      </c>
      <c r="D38" s="9">
        <v>0</v>
      </c>
      <c r="E38" s="12">
        <f>D38+C38</f>
        <v>3</v>
      </c>
      <c r="F38" s="12" t="s">
        <v>36</v>
      </c>
      <c r="G38" s="12">
        <f>0+0+2+0+3+0+0+0+0+2+0+3</f>
        <v>10</v>
      </c>
      <c r="H38" s="27"/>
      <c r="I38" s="12">
        <v>18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5.5</v>
      </c>
      <c r="D3" s="11">
        <v>8</v>
      </c>
      <c r="E3" s="12">
        <f t="shared" ref="E3:E12" si="0">C3+D3</f>
        <v>13.5</v>
      </c>
      <c r="F3" s="12" t="s">
        <v>14</v>
      </c>
      <c r="G3" s="12">
        <f>8.5+16+13+13+16+7.5+12+8+14+16.5+14.5+11.5+13.5</f>
        <v>164</v>
      </c>
      <c r="H3" s="12">
        <v>340</v>
      </c>
      <c r="I3" s="12">
        <f>H3-G3</f>
        <v>176</v>
      </c>
      <c r="J3" s="13"/>
      <c r="K3" s="12"/>
      <c r="L3" s="12"/>
      <c r="M3" s="12">
        <f>I3/18</f>
        <v>9.77777777777778</v>
      </c>
    </row>
    <row r="4" s="1" customFormat="1" ht="38" customHeight="1" spans="1:13">
      <c r="A4" s="16">
        <v>2</v>
      </c>
      <c r="B4" s="10" t="s">
        <v>15</v>
      </c>
      <c r="C4" s="11">
        <v>12</v>
      </c>
      <c r="D4" s="11"/>
      <c r="E4" s="12">
        <f t="shared" si="0"/>
        <v>12</v>
      </c>
      <c r="F4" s="12" t="s">
        <v>14</v>
      </c>
      <c r="G4" s="12">
        <f>12+10+18+10+14+16+8+10+10+12+18+14+12</f>
        <v>164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65</v>
      </c>
      <c r="D5" s="12">
        <v>80</v>
      </c>
      <c r="E5" s="12">
        <f t="shared" si="0"/>
        <v>145</v>
      </c>
      <c r="F5" s="12" t="s">
        <v>14</v>
      </c>
      <c r="G5" s="12">
        <f>127+161+174+183+112+177+87+146+147+209+196+191+145</f>
        <v>2055</v>
      </c>
      <c r="H5" s="12">
        <v>5239</v>
      </c>
      <c r="I5" s="12">
        <f>H5-G5-G7-G6</f>
        <v>3184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</f>
        <v>5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30.91</v>
      </c>
      <c r="D9" s="17"/>
      <c r="E9" s="12">
        <f t="shared" si="0"/>
        <v>30.91</v>
      </c>
      <c r="F9" s="17" t="s">
        <v>14</v>
      </c>
      <c r="G9" s="12">
        <f>116.84+61.93+0+0+0+41.52+0+37.57+0+0+0+40.96+30.91</f>
        <v>329.73</v>
      </c>
      <c r="H9" s="17">
        <v>6.27</v>
      </c>
      <c r="I9" s="17">
        <f>H9-K10</f>
        <v>3.480321</v>
      </c>
      <c r="J9" s="22" t="s">
        <v>21</v>
      </c>
      <c r="K9" s="17">
        <v>5</v>
      </c>
      <c r="L9" s="17">
        <v>0.86</v>
      </c>
      <c r="M9" s="46"/>
    </row>
    <row r="10" s="1" customFormat="1" ht="25" customHeight="1" spans="1:13">
      <c r="A10" s="9">
        <v>5</v>
      </c>
      <c r="B10" s="10" t="s">
        <v>22</v>
      </c>
      <c r="C10" s="12">
        <v>7.3845</v>
      </c>
      <c r="D10" s="12">
        <v>1.9845</v>
      </c>
      <c r="E10" s="12">
        <f t="shared" si="0"/>
        <v>9.369</v>
      </c>
      <c r="F10" s="12" t="s">
        <v>14</v>
      </c>
      <c r="G10" s="12">
        <f>9.8415+8.019+6.237+13.635+8.1135+6.9255+7.3035+4.6305+6.345+9.3285+10.476+8.7075+9.369</f>
        <v>108.9315</v>
      </c>
      <c r="H10" s="12"/>
      <c r="I10" s="12">
        <f>G10/(G3*0.1865)</f>
        <v>3.56148237755836</v>
      </c>
      <c r="J10" s="22" t="s">
        <v>23</v>
      </c>
      <c r="K10" s="23">
        <f>0.946404+0.526405+0+0+0+0.369528+0+0.345644+0+0+0+0.335872+0.265826</f>
        <v>2.789679</v>
      </c>
      <c r="L10" s="12"/>
      <c r="M10" s="12">
        <f>C9*L9/100</f>
        <v>0.265826</v>
      </c>
    </row>
    <row r="11" s="1" customFormat="1" ht="25" customHeight="1" spans="1:13">
      <c r="A11" s="9">
        <v>6</v>
      </c>
      <c r="B11" s="10" t="s">
        <v>24</v>
      </c>
      <c r="C11" s="12">
        <v>11.3528</v>
      </c>
      <c r="D11" s="12">
        <v>0</v>
      </c>
      <c r="E11" s="12">
        <f t="shared" si="0"/>
        <v>11.3528</v>
      </c>
      <c r="F11" s="12" t="s">
        <v>14</v>
      </c>
      <c r="G11" s="12">
        <f>16.8544+8.4824+14.9408+17.5168+16.9464+4.3424+22.08+11.8496+11.9232+17.0936+13.7264+18.86+11.3528</f>
        <v>185.9688</v>
      </c>
      <c r="H11" s="12"/>
      <c r="I11" s="12">
        <f>G11/(G3*0.1865)</f>
        <v>6.08019355260577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244</v>
      </c>
      <c r="D12" s="12">
        <v>218</v>
      </c>
      <c r="E12" s="12">
        <f t="shared" si="0"/>
        <v>462</v>
      </c>
      <c r="F12" s="12"/>
      <c r="G12" s="12">
        <f>280+495+437+544+380+394+300+578+329+529+497+482+462</f>
        <v>5707</v>
      </c>
      <c r="H12" s="12">
        <f>G12*1.05</f>
        <v>5992.35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233</v>
      </c>
      <c r="D13" s="12">
        <v>188</v>
      </c>
      <c r="E13" s="12">
        <f t="shared" ref="E13:E21" si="1">D13+C13</f>
        <v>421</v>
      </c>
      <c r="F13" s="12" t="s">
        <v>27</v>
      </c>
      <c r="G13" s="12">
        <f>282+436+387+416+376+286+243+396+353+470+428+288+421</f>
        <v>4782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372.69</v>
      </c>
      <c r="D14" s="12">
        <v>400.91</v>
      </c>
      <c r="E14" s="12">
        <f t="shared" si="1"/>
        <v>773.6</v>
      </c>
      <c r="F14" s="12" t="s">
        <v>27</v>
      </c>
      <c r="G14" s="12">
        <f>677.66+732.19+798.94+881.44+519.28+837+784.96+736.12+741.94+781.75+680.65+708.72+773.6</f>
        <v>9654.25</v>
      </c>
      <c r="H14" s="12"/>
      <c r="I14" s="12"/>
      <c r="J14" s="22" t="s">
        <v>29</v>
      </c>
      <c r="K14" s="12">
        <v>3.13</v>
      </c>
      <c r="L14" s="12">
        <v>3.2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18</v>
      </c>
      <c r="D15" s="12">
        <v>15</v>
      </c>
      <c r="E15" s="12">
        <f t="shared" si="1"/>
        <v>33</v>
      </c>
      <c r="F15" s="12" t="s">
        <v>14</v>
      </c>
      <c r="G15" s="12">
        <f>21+39+30+33+33+21+18+33+30+36+36+24+33</f>
        <v>387</v>
      </c>
      <c r="H15" s="12"/>
      <c r="I15" s="12">
        <f>G15/(G3*0.1865)</f>
        <v>12.6528477081017</v>
      </c>
      <c r="J15" s="22" t="s">
        <v>31</v>
      </c>
      <c r="K15" s="23">
        <f>2.2333187+2.4654986+2.5645024+3.1869984+1.6910493+2.6327277+2.5231379+2.3150624+2.2740958+2.371376+2.1212961+2.1141256+2.4494317</f>
        <v>30.9426206</v>
      </c>
      <c r="L15" s="12"/>
      <c r="M15" s="12">
        <f>(C14*K14+L14*D14)/1000</f>
        <v>2.4494317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</f>
        <v>0.4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</f>
        <v>16</v>
      </c>
      <c r="H17" s="27"/>
      <c r="I17" s="12">
        <f>G17/(G3*0.1865)</f>
        <v>0.523115150722553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</f>
        <v>16</v>
      </c>
      <c r="H18" s="27"/>
      <c r="I18" s="12">
        <f>G18/(G3*0.1865)</f>
        <v>0.523115150722553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0</v>
      </c>
      <c r="D19" s="9">
        <v>6</v>
      </c>
      <c r="E19" s="12">
        <f t="shared" si="1"/>
        <v>6</v>
      </c>
      <c r="F19" s="12" t="s">
        <v>36</v>
      </c>
      <c r="G19" s="12">
        <f>10+5+7+21+9+6+7+6+11+11+8+8+6</f>
        <v>115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589</v>
      </c>
      <c r="D20" s="9">
        <v>530</v>
      </c>
      <c r="E20" s="12">
        <f t="shared" si="1"/>
        <v>1119</v>
      </c>
      <c r="F20" s="12" t="s">
        <v>27</v>
      </c>
      <c r="G20" s="12">
        <f>1011+1084+1036+1277+854+1124+787+1194+1035+1351+1157+1170+1119</f>
        <v>14199</v>
      </c>
      <c r="H20" s="28"/>
      <c r="I20" s="12">
        <f>E20/M20</f>
        <v>46.625</v>
      </c>
      <c r="J20" s="22" t="s">
        <v>38</v>
      </c>
      <c r="K20" s="12">
        <f>18+24+24+24+15+21.5+13+20.5+18+24+24+24+24</f>
        <v>274</v>
      </c>
      <c r="L20" s="12">
        <f>G20/K20</f>
        <v>51.8211678832117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639</v>
      </c>
      <c r="D21" s="9">
        <v>682</v>
      </c>
      <c r="E21" s="12">
        <f t="shared" si="1"/>
        <v>1321</v>
      </c>
      <c r="F21" s="12" t="s">
        <v>27</v>
      </c>
      <c r="G21" s="12">
        <f>1281+1421+1306+1647+1060+1392+944+1503+1292+1749+1504+1463+1321</f>
        <v>17883</v>
      </c>
      <c r="H21" s="27"/>
      <c r="I21" s="12">
        <f>E21/M20</f>
        <v>55.0416666666667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34.47</v>
      </c>
      <c r="D22" s="16">
        <v>28.16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90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94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95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8</v>
      </c>
      <c r="D31" s="12">
        <v>7</v>
      </c>
      <c r="E31" s="12">
        <f t="shared" si="2"/>
        <v>15</v>
      </c>
      <c r="F31" s="12" t="s">
        <v>27</v>
      </c>
      <c r="G31" s="12">
        <f>28+25+28+24+15+16+20+26+28+25+15+19+15</f>
        <v>284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252</v>
      </c>
      <c r="D34" s="12">
        <v>85</v>
      </c>
      <c r="E34" s="12">
        <f t="shared" si="2"/>
        <v>337</v>
      </c>
      <c r="F34" s="12" t="s">
        <v>27</v>
      </c>
      <c r="G34" s="12">
        <f>620+619+610+632+626+623+310+603+607+603+609+584+337</f>
        <v>7383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422</v>
      </c>
      <c r="D35" s="12">
        <v>339</v>
      </c>
      <c r="E35" s="12">
        <f t="shared" si="2"/>
        <v>761</v>
      </c>
      <c r="F35" s="12" t="s">
        <v>27</v>
      </c>
      <c r="G35" s="12">
        <f>901+911+932+914+912+877+753+854+820+759+785+736+761</f>
        <v>10915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</f>
        <v>0</v>
      </c>
      <c r="H36" s="27"/>
      <c r="I36" s="9">
        <v>825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</f>
        <v>0</v>
      </c>
      <c r="H37" s="27"/>
      <c r="I37" s="9">
        <v>60.802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</f>
        <v>10</v>
      </c>
      <c r="H38" s="27"/>
      <c r="I38" s="12">
        <v>18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5.5</v>
      </c>
      <c r="D3" s="11">
        <v>4.5</v>
      </c>
      <c r="E3" s="12">
        <f t="shared" ref="E3:E12" si="0">C3+D3</f>
        <v>10</v>
      </c>
      <c r="F3" s="12" t="s">
        <v>14</v>
      </c>
      <c r="G3" s="12">
        <f>8.5+16+13+13+16+7.5+12+8+14+16.5+14.5+11.5+13.5+10</f>
        <v>174</v>
      </c>
      <c r="H3" s="12">
        <v>340</v>
      </c>
      <c r="I3" s="12">
        <f>H3-G3</f>
        <v>166</v>
      </c>
      <c r="J3" s="13"/>
      <c r="K3" s="12"/>
      <c r="L3" s="12"/>
      <c r="M3" s="12">
        <f>I3/17</f>
        <v>9.76470588235294</v>
      </c>
    </row>
    <row r="4" s="1" customFormat="1" ht="38" customHeight="1" spans="1:13">
      <c r="A4" s="16">
        <v>2</v>
      </c>
      <c r="B4" s="10" t="s">
        <v>15</v>
      </c>
      <c r="C4" s="11">
        <v>14</v>
      </c>
      <c r="D4" s="11"/>
      <c r="E4" s="12">
        <f t="shared" si="0"/>
        <v>14</v>
      </c>
      <c r="F4" s="12" t="s">
        <v>14</v>
      </c>
      <c r="G4" s="12">
        <f>12+10+18+10+14+16+8+10+10+12+18+14+12+14</f>
        <v>178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47</v>
      </c>
      <c r="D5" s="12">
        <v>45</v>
      </c>
      <c r="E5" s="12">
        <f t="shared" si="0"/>
        <v>92</v>
      </c>
      <c r="F5" s="12" t="s">
        <v>14</v>
      </c>
      <c r="G5" s="12">
        <f>127+161+174+183+112+177+87+146+147+209+196+191+145+92</f>
        <v>2147</v>
      </c>
      <c r="H5" s="12">
        <v>5239</v>
      </c>
      <c r="I5" s="12">
        <f>H5-G5-G7-G6</f>
        <v>3092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</f>
        <v>5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40.68</v>
      </c>
      <c r="D9" s="17"/>
      <c r="E9" s="12">
        <f t="shared" si="0"/>
        <v>40.68</v>
      </c>
      <c r="F9" s="17" t="s">
        <v>14</v>
      </c>
      <c r="G9" s="12">
        <f>116.84+61.93+0+0+0+41.52+0+37.57+0+0+0+40.96+30.91+40.68</f>
        <v>370.41</v>
      </c>
      <c r="H9" s="17">
        <v>6.27</v>
      </c>
      <c r="I9" s="17">
        <f>H9-K10</f>
        <v>3.122337</v>
      </c>
      <c r="J9" s="22" t="s">
        <v>21</v>
      </c>
      <c r="K9" s="17">
        <v>4</v>
      </c>
      <c r="L9" s="17">
        <v>0.88</v>
      </c>
      <c r="M9" s="46"/>
    </row>
    <row r="10" s="1" customFormat="1" ht="25" customHeight="1" spans="1:13">
      <c r="A10" s="9">
        <v>5</v>
      </c>
      <c r="B10" s="10" t="s">
        <v>22</v>
      </c>
      <c r="C10" s="12">
        <v>5.481</v>
      </c>
      <c r="D10" s="12">
        <v>0</v>
      </c>
      <c r="E10" s="12">
        <f t="shared" si="0"/>
        <v>5.481</v>
      </c>
      <c r="F10" s="12" t="s">
        <v>14</v>
      </c>
      <c r="G10" s="12">
        <f>9.8415+8.019+6.237+13.635+8.1135+6.9255+7.3035+4.6305+6.345+9.3285+10.476+8.7075+9.369+5.481</f>
        <v>114.4125</v>
      </c>
      <c r="H10" s="12"/>
      <c r="I10" s="12">
        <f>G10/(G3*0.1865)</f>
        <v>3.52570028658593</v>
      </c>
      <c r="J10" s="22" t="s">
        <v>23</v>
      </c>
      <c r="K10" s="23">
        <f>0.946404+0.526405+0+0+0+0.369528+0+0.345644+0+0+0+0.335872+0.265826+0.357984</f>
        <v>3.147663</v>
      </c>
      <c r="L10" s="12"/>
      <c r="M10" s="12">
        <f>C9*L9/100</f>
        <v>0.357984</v>
      </c>
    </row>
    <row r="11" s="1" customFormat="1" ht="25" customHeight="1" spans="1:13">
      <c r="A11" s="9">
        <v>6</v>
      </c>
      <c r="B11" s="10" t="s">
        <v>24</v>
      </c>
      <c r="C11" s="12">
        <v>15.1432</v>
      </c>
      <c r="D11" s="12">
        <v>0</v>
      </c>
      <c r="E11" s="12">
        <f t="shared" si="0"/>
        <v>15.1432</v>
      </c>
      <c r="F11" s="12" t="s">
        <v>14</v>
      </c>
      <c r="G11" s="12">
        <f>16.8544+8.4824+14.9408+17.5168+16.9464+4.3424+22.08+11.8496+11.9232+17.0936+13.7264+18.86+11.3528+15.1432</f>
        <v>201.112</v>
      </c>
      <c r="H11" s="12"/>
      <c r="I11" s="12">
        <f>G11/(G3*0.1865)</f>
        <v>6.19740531878833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272</v>
      </c>
      <c r="D12" s="12">
        <v>51</v>
      </c>
      <c r="E12" s="12">
        <f t="shared" si="0"/>
        <v>323</v>
      </c>
      <c r="F12" s="12"/>
      <c r="G12" s="12">
        <f>280+495+437+544+380+394+300+578+329+529+497+482+462+323</f>
        <v>6030</v>
      </c>
      <c r="H12" s="12">
        <f>G12*1.05</f>
        <v>6331.5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184</v>
      </c>
      <c r="D13" s="12">
        <v>49</v>
      </c>
      <c r="E13" s="12">
        <f t="shared" ref="E13:E21" si="1">D13+C13</f>
        <v>233</v>
      </c>
      <c r="F13" s="12" t="s">
        <v>27</v>
      </c>
      <c r="G13" s="12">
        <f>282+436+387+416+376+286+243+396+353+470+428+288+421+233</f>
        <v>5015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186.47</v>
      </c>
      <c r="D14" s="12">
        <v>191.13</v>
      </c>
      <c r="E14" s="12">
        <f t="shared" si="1"/>
        <v>377.6</v>
      </c>
      <c r="F14" s="12" t="s">
        <v>27</v>
      </c>
      <c r="G14" s="12">
        <f>677.66+732.19+798.94+881.44+519.28+837+784.96+736.12+741.94+781.75+680.65+708.72+773.6+377.6</f>
        <v>10031.85</v>
      </c>
      <c r="H14" s="12"/>
      <c r="I14" s="12"/>
      <c r="J14" s="22" t="s">
        <v>29</v>
      </c>
      <c r="K14" s="12">
        <v>3.29</v>
      </c>
      <c r="L14" s="12">
        <v>3.16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3</v>
      </c>
      <c r="E15" s="12">
        <f t="shared" si="1"/>
        <v>18</v>
      </c>
      <c r="F15" s="12" t="s">
        <v>14</v>
      </c>
      <c r="G15" s="12">
        <f>21+39+30+33+33+21+18+33+30+36+36+24+33+18</f>
        <v>405</v>
      </c>
      <c r="H15" s="12"/>
      <c r="I15" s="12">
        <f>G15/(G3*0.1865)</f>
        <v>12.4803549967644</v>
      </c>
      <c r="J15" s="22" t="s">
        <v>31</v>
      </c>
      <c r="K15" s="23">
        <f>2.2333187+2.4654986+2.5645024+3.1869984+1.6910493+2.6327277+2.5231379+2.3150624+2.2740958+2.371376+2.1212961+2.1141256+2.4494317+1.2174571</f>
        <v>32.1600777</v>
      </c>
      <c r="L15" s="12"/>
      <c r="M15" s="12">
        <f>(C14*K14+L14*D14)/1000</f>
        <v>1.2174571</v>
      </c>
    </row>
    <row r="16" s="1" customFormat="1" ht="25" customHeight="1" spans="1:13">
      <c r="A16" s="9">
        <v>11</v>
      </c>
      <c r="B16" s="10" t="s">
        <v>32</v>
      </c>
      <c r="C16" s="9">
        <v>0.075</v>
      </c>
      <c r="D16" s="9">
        <v>0</v>
      </c>
      <c r="E16" s="12">
        <f t="shared" si="1"/>
        <v>0.075</v>
      </c>
      <c r="F16" s="12" t="s">
        <v>14</v>
      </c>
      <c r="G16" s="12">
        <f>0.0125+0+0+0.075+0+0.0875+0.05+0.05+0+0+0+0.125+0+0.075</f>
        <v>0.475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</f>
        <v>18</v>
      </c>
      <c r="H17" s="27"/>
      <c r="I17" s="12">
        <f>G17/(G3*0.1865)</f>
        <v>0.554682444300638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</f>
        <v>18</v>
      </c>
      <c r="H18" s="27"/>
      <c r="I18" s="12">
        <f>G18/(G3*0.1865)</f>
        <v>0.554682444300638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5</v>
      </c>
      <c r="D19" s="9">
        <v>0</v>
      </c>
      <c r="E19" s="12">
        <f t="shared" si="1"/>
        <v>5</v>
      </c>
      <c r="F19" s="12" t="s">
        <v>36</v>
      </c>
      <c r="G19" s="12">
        <f>10+5+7+21+9+6+7+6+11+11+8+8+6+5</f>
        <v>120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323</v>
      </c>
      <c r="D20" s="9">
        <v>426</v>
      </c>
      <c r="E20" s="12">
        <f t="shared" si="1"/>
        <v>749</v>
      </c>
      <c r="F20" s="12" t="s">
        <v>27</v>
      </c>
      <c r="G20" s="12">
        <f>1011+1084+1036+1277+854+1124+787+1194+1035+1351+1157+1170+1119+749</f>
        <v>14948</v>
      </c>
      <c r="H20" s="28"/>
      <c r="I20" s="12">
        <f>E20/M20</f>
        <v>44.0588235294118</v>
      </c>
      <c r="J20" s="22" t="s">
        <v>38</v>
      </c>
      <c r="K20" s="12">
        <f>18+24+24+24+15+21.5+13+20.5+18+24+24+24+24+17</f>
        <v>291</v>
      </c>
      <c r="L20" s="12">
        <f>G20/K20</f>
        <v>51.3676975945017</v>
      </c>
      <c r="M20" s="12">
        <v>17</v>
      </c>
    </row>
    <row r="21" s="1" customFormat="1" ht="25" customHeight="1" spans="1:13">
      <c r="A21" s="16">
        <v>16</v>
      </c>
      <c r="B21" s="10" t="s">
        <v>39</v>
      </c>
      <c r="C21" s="9">
        <v>472</v>
      </c>
      <c r="D21" s="9">
        <v>413</v>
      </c>
      <c r="E21" s="12">
        <f t="shared" si="1"/>
        <v>885</v>
      </c>
      <c r="F21" s="12" t="s">
        <v>27</v>
      </c>
      <c r="G21" s="12">
        <f>1281+1421+1306+1647+1060+1392+944+1503+1292+1749+1504+1463+1321+885</f>
        <v>18768</v>
      </c>
      <c r="H21" s="27"/>
      <c r="I21" s="12">
        <f>E21/M20</f>
        <v>52.0588235294118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32.43</v>
      </c>
      <c r="D22" s="16">
        <v>33.15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90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97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98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19</v>
      </c>
      <c r="D31" s="12">
        <v>13</v>
      </c>
      <c r="E31" s="12">
        <f t="shared" si="2"/>
        <v>32</v>
      </c>
      <c r="F31" s="12" t="s">
        <v>27</v>
      </c>
      <c r="G31" s="12">
        <f>28+25+28+24+15+16+20+26+28+25+15+19+15+32</f>
        <v>316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49</v>
      </c>
      <c r="D34" s="12">
        <v>0</v>
      </c>
      <c r="E34" s="12">
        <f t="shared" si="2"/>
        <v>49</v>
      </c>
      <c r="F34" s="12" t="s">
        <v>27</v>
      </c>
      <c r="G34" s="12">
        <f>620+619+610+632+626+623+310+603+607+603+609+584+337+49</f>
        <v>7432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0</v>
      </c>
      <c r="D35" s="12">
        <v>0</v>
      </c>
      <c r="E35" s="12">
        <f t="shared" si="2"/>
        <v>0</v>
      </c>
      <c r="F35" s="12" t="s">
        <v>27</v>
      </c>
      <c r="G35" s="12">
        <f>901+911+932+914+912+877+753+854+820+759+785+736+761+0</f>
        <v>10915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</f>
        <v>0</v>
      </c>
      <c r="H36" s="27"/>
      <c r="I36" s="9">
        <v>997.5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</f>
        <v>0</v>
      </c>
      <c r="H37" s="27"/>
      <c r="I37" s="9">
        <v>37.3498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8</v>
      </c>
      <c r="D38" s="9">
        <v>4</v>
      </c>
      <c r="E38" s="12">
        <f>D38+C38</f>
        <v>12</v>
      </c>
      <c r="F38" s="12" t="s">
        <v>36</v>
      </c>
      <c r="G38" s="12">
        <f>0+0+2+0+3+0+0+0+0+2+0+3+0+12</f>
        <v>22</v>
      </c>
      <c r="H38" s="27"/>
      <c r="I38" s="12">
        <v>20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3</v>
      </c>
      <c r="D3" s="11">
        <v>2.5</v>
      </c>
      <c r="E3" s="12">
        <f t="shared" ref="E3:E12" si="0">C3+D3</f>
        <v>5.5</v>
      </c>
      <c r="F3" s="12" t="s">
        <v>14</v>
      </c>
      <c r="G3" s="12">
        <f>8.5+16+13+13+16+7.5+12+8+14+16.5+14.5+11.5+13.5+10+5.5</f>
        <v>179.5</v>
      </c>
      <c r="H3" s="12">
        <v>340</v>
      </c>
      <c r="I3" s="12">
        <f>H3-G3</f>
        <v>160.5</v>
      </c>
      <c r="J3" s="13"/>
      <c r="K3" s="12"/>
      <c r="L3" s="12"/>
      <c r="M3" s="12">
        <f>I3/16</f>
        <v>10.03125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12+10+18+10+14+16+8+10+10+12+18+14+12+14+10</f>
        <v>188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52</v>
      </c>
      <c r="D5" s="12">
        <v>68</v>
      </c>
      <c r="E5" s="12">
        <f t="shared" si="0"/>
        <v>120</v>
      </c>
      <c r="F5" s="12" t="s">
        <v>14</v>
      </c>
      <c r="G5" s="12">
        <f>127+161+174+183+112+177+87+146+147+209+196+191+145+92+120</f>
        <v>2267</v>
      </c>
      <c r="H5" s="12">
        <v>5239</v>
      </c>
      <c r="I5" s="12">
        <f>H5-G5-G7-G6</f>
        <v>2972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</f>
        <v>5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31.37</v>
      </c>
      <c r="D9" s="17"/>
      <c r="E9" s="12">
        <f t="shared" si="0"/>
        <v>31.37</v>
      </c>
      <c r="F9" s="17" t="s">
        <v>14</v>
      </c>
      <c r="G9" s="12">
        <f>116.84+61.93+0+0+0+41.52+0+37.57+0+0+0+40.96+30.91+40.68+31.37</f>
        <v>401.78</v>
      </c>
      <c r="H9" s="17">
        <v>6.27</v>
      </c>
      <c r="I9" s="17">
        <f>H9-K10</f>
        <v>2.833733</v>
      </c>
      <c r="J9" s="22" t="s">
        <v>21</v>
      </c>
      <c r="K9" s="17">
        <v>3</v>
      </c>
      <c r="L9" s="17">
        <v>0.92</v>
      </c>
      <c r="M9" s="46"/>
    </row>
    <row r="10" s="1" customFormat="1" ht="25" customHeight="1" spans="1:13">
      <c r="A10" s="9">
        <v>5</v>
      </c>
      <c r="B10" s="10" t="s">
        <v>22</v>
      </c>
      <c r="C10" s="12">
        <v>4.752</v>
      </c>
      <c r="D10" s="12">
        <v>0</v>
      </c>
      <c r="E10" s="12">
        <f t="shared" si="0"/>
        <v>4.752</v>
      </c>
      <c r="F10" s="12" t="s">
        <v>14</v>
      </c>
      <c r="G10" s="12">
        <f>9.8415+8.019+6.237+13.635+8.1135+6.9255+7.3035+4.6305+6.345+9.3285+10.476+8.7075+9.369+5.481+4.752</f>
        <v>119.1645</v>
      </c>
      <c r="H10" s="12"/>
      <c r="I10" s="12">
        <f>G10/(G3*0.1865)</f>
        <v>3.55961973608549</v>
      </c>
      <c r="J10" s="22" t="s">
        <v>23</v>
      </c>
      <c r="K10" s="23">
        <f>0.946404+0.526405+0+0+0+0.369528+0+0.345644+0+0+0+0.335872+0.265826+0.357984+0.288604</f>
        <v>3.436267</v>
      </c>
      <c r="L10" s="12"/>
      <c r="M10" s="12">
        <f>C9*L9/100</f>
        <v>0.288604</v>
      </c>
    </row>
    <row r="11" s="1" customFormat="1" ht="25" customHeight="1" spans="1:13">
      <c r="A11" s="9">
        <v>6</v>
      </c>
      <c r="B11" s="10" t="s">
        <v>24</v>
      </c>
      <c r="C11" s="12">
        <v>10.2856</v>
      </c>
      <c r="D11" s="12">
        <v>0</v>
      </c>
      <c r="E11" s="12">
        <f t="shared" si="0"/>
        <v>10.2856</v>
      </c>
      <c r="F11" s="12" t="s">
        <v>14</v>
      </c>
      <c r="G11" s="12">
        <f>16.8544+8.4824+14.9408+17.5168+16.9464+4.3424+22.08+11.8496+11.9232+17.0936+13.7264+18.86+11.3528+15.1432+10.2856</f>
        <v>211.3976</v>
      </c>
      <c r="H11" s="12"/>
      <c r="I11" s="12">
        <f>G11/(G3*0.1865)</f>
        <v>6.31475875047608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121</v>
      </c>
      <c r="D12" s="12">
        <v>197</v>
      </c>
      <c r="E12" s="12">
        <f t="shared" si="0"/>
        <v>318</v>
      </c>
      <c r="F12" s="12"/>
      <c r="G12" s="12">
        <f>280+495+437+544+380+394+300+578+329+529+497+482+462+323+318</f>
        <v>6348</v>
      </c>
      <c r="H12" s="12">
        <f>G12*1.05</f>
        <v>6665.4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141</v>
      </c>
      <c r="D13" s="12">
        <v>140</v>
      </c>
      <c r="E13" s="12">
        <f t="shared" ref="E13:E21" si="1">D13+C13</f>
        <v>281</v>
      </c>
      <c r="F13" s="12" t="s">
        <v>27</v>
      </c>
      <c r="G13" s="12">
        <f>282+436+387+416+376+286+243+396+353+470+428+288+421+233+281</f>
        <v>5296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254.94</v>
      </c>
      <c r="D14" s="12">
        <v>308.16</v>
      </c>
      <c r="E14" s="12">
        <f t="shared" si="1"/>
        <v>563.1</v>
      </c>
      <c r="F14" s="12" t="s">
        <v>27</v>
      </c>
      <c r="G14" s="12">
        <f>677.66+732.19+798.94+881.44+519.28+837+784.96+736.12+741.94+781.75+680.65+708.72+773.6+377.6+563.1</f>
        <v>10594.95</v>
      </c>
      <c r="H14" s="12"/>
      <c r="I14" s="12"/>
      <c r="J14" s="22" t="s">
        <v>29</v>
      </c>
      <c r="K14" s="12">
        <v>3.16</v>
      </c>
      <c r="L14" s="12">
        <v>3.01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12</v>
      </c>
      <c r="D15" s="12">
        <v>9</v>
      </c>
      <c r="E15" s="12">
        <f t="shared" si="1"/>
        <v>21</v>
      </c>
      <c r="F15" s="12" t="s">
        <v>14</v>
      </c>
      <c r="G15" s="12">
        <f>21+39+30+33+33+21+18+33+30+36+36+24+33+18+21</f>
        <v>426</v>
      </c>
      <c r="H15" s="12"/>
      <c r="I15" s="12">
        <f>G15/(G3*0.1865)</f>
        <v>12.7252496135378</v>
      </c>
      <c r="J15" s="22" t="s">
        <v>31</v>
      </c>
      <c r="K15" s="23">
        <f>2.2333187+2.4654986+2.5645024+3.1869984+1.6910493+2.6327277+2.5231379+2.3150624+2.2740958+2.371376+2.1212961+2.1141256+2.4494317+1.2174571+1.733172</f>
        <v>33.8932497</v>
      </c>
      <c r="L15" s="12"/>
      <c r="M15" s="12">
        <f>(C14*K14+L14*D14)/1000</f>
        <v>1.733172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</f>
        <v>0.475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</f>
        <v>18</v>
      </c>
      <c r="H17" s="27"/>
      <c r="I17" s="12">
        <f>G17/(G3*0.1865)</f>
        <v>0.537686603388919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</f>
        <v>18</v>
      </c>
      <c r="H18" s="27"/>
      <c r="I18" s="12">
        <f>G18/(G3*0.1865)</f>
        <v>0.537686603388919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0</v>
      </c>
      <c r="D19" s="9">
        <v>4</v>
      </c>
      <c r="E19" s="12">
        <f t="shared" si="1"/>
        <v>4</v>
      </c>
      <c r="F19" s="12" t="s">
        <v>36</v>
      </c>
      <c r="G19" s="12">
        <f>10+5+7+21+9+6+7+6+11+11+8+8+6+5+4</f>
        <v>124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303</v>
      </c>
      <c r="D20" s="9">
        <v>525</v>
      </c>
      <c r="E20" s="12">
        <f t="shared" si="1"/>
        <v>828</v>
      </c>
      <c r="F20" s="12" t="s">
        <v>27</v>
      </c>
      <c r="G20" s="12">
        <f>1011+1084+1036+1277+854+1124+787+1194+1035+1351+1157+1170+1119+749+828</f>
        <v>15776</v>
      </c>
      <c r="H20" s="28"/>
      <c r="I20" s="12">
        <f>E20/M20</f>
        <v>48.7058823529412</v>
      </c>
      <c r="J20" s="22" t="s">
        <v>38</v>
      </c>
      <c r="K20" s="12">
        <f>18+24+24+24+15+21.5+13+20.5+18+24+24+24+24+17+17</f>
        <v>308</v>
      </c>
      <c r="L20" s="12">
        <f>G20/K20</f>
        <v>51.2207792207792</v>
      </c>
      <c r="M20" s="12">
        <v>17</v>
      </c>
    </row>
    <row r="21" s="1" customFormat="1" ht="25" customHeight="1" spans="1:13">
      <c r="A21" s="16">
        <v>16</v>
      </c>
      <c r="B21" s="10" t="s">
        <v>39</v>
      </c>
      <c r="C21" s="9">
        <v>361</v>
      </c>
      <c r="D21" s="9">
        <v>628</v>
      </c>
      <c r="E21" s="12">
        <f t="shared" si="1"/>
        <v>989</v>
      </c>
      <c r="F21" s="12" t="s">
        <v>27</v>
      </c>
      <c r="G21" s="12">
        <f>1281+1421+1306+1647+1060+1392+944+1503+1292+1749+1504+1463+1321+885+989</f>
        <v>19757</v>
      </c>
      <c r="H21" s="27"/>
      <c r="I21" s="12">
        <f>E21/M20</f>
        <v>58.1764705882353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30.49</v>
      </c>
      <c r="D22" s="16">
        <v>30.39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100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101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102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14</v>
      </c>
      <c r="D31" s="12">
        <v>12</v>
      </c>
      <c r="E31" s="12">
        <f t="shared" si="2"/>
        <v>26</v>
      </c>
      <c r="F31" s="12" t="s">
        <v>27</v>
      </c>
      <c r="G31" s="12">
        <f>28+25+28+24+15+16+20+26+28+25+15+19+15+32+26</f>
        <v>342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30</v>
      </c>
      <c r="D34" s="12">
        <v>172</v>
      </c>
      <c r="E34" s="12">
        <f t="shared" si="2"/>
        <v>202</v>
      </c>
      <c r="F34" s="12" t="s">
        <v>27</v>
      </c>
      <c r="G34" s="12">
        <f>620+619+610+632+626+623+310+603+607+603+609+584+337+49+202</f>
        <v>7634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118</v>
      </c>
      <c r="D35" s="12">
        <v>473</v>
      </c>
      <c r="E35" s="12">
        <f t="shared" si="2"/>
        <v>591</v>
      </c>
      <c r="F35" s="12" t="s">
        <v>27</v>
      </c>
      <c r="G35" s="12">
        <f>901+911+932+914+912+877+753+854+820+759+785+736+761+0+591</f>
        <v>11506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</f>
        <v>0</v>
      </c>
      <c r="H36" s="27"/>
      <c r="I36" s="9">
        <v>757.5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</f>
        <v>0</v>
      </c>
      <c r="H37" s="27"/>
      <c r="I37" s="9">
        <v>68.6194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1</v>
      </c>
      <c r="D38" s="9">
        <v>0</v>
      </c>
      <c r="E38" s="12">
        <f>D38+C38</f>
        <v>1</v>
      </c>
      <c r="F38" s="12" t="s">
        <v>36</v>
      </c>
      <c r="G38" s="12">
        <f>0+0+2+0+3+0+0+0+0+2+0+3+0+12+1</f>
        <v>23</v>
      </c>
      <c r="H38" s="27"/>
      <c r="I38" s="12">
        <v>21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103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6.5</v>
      </c>
      <c r="D3" s="11">
        <v>6</v>
      </c>
      <c r="E3" s="12">
        <f t="shared" ref="E3:E12" si="0">C3+D3</f>
        <v>12.5</v>
      </c>
      <c r="F3" s="12" t="s">
        <v>14</v>
      </c>
      <c r="G3" s="12">
        <f>8.5+16+13+13+16+7.5+12+8+14+16.5+14.5+11.5+13.5+10+5.5+12.5</f>
        <v>192</v>
      </c>
      <c r="H3" s="12">
        <v>340</v>
      </c>
      <c r="I3" s="12">
        <f>H3-G3</f>
        <v>148</v>
      </c>
      <c r="J3" s="13"/>
      <c r="K3" s="12"/>
      <c r="L3" s="12"/>
      <c r="M3" s="12">
        <f>I3/15</f>
        <v>9.86666666666667</v>
      </c>
    </row>
    <row r="4" s="1" customFormat="1" ht="38" customHeight="1" spans="1:13">
      <c r="A4" s="16">
        <v>2</v>
      </c>
      <c r="B4" s="10" t="s">
        <v>15</v>
      </c>
      <c r="C4" s="11">
        <v>4</v>
      </c>
      <c r="D4" s="11"/>
      <c r="E4" s="12">
        <f t="shared" si="0"/>
        <v>4</v>
      </c>
      <c r="F4" s="12" t="s">
        <v>14</v>
      </c>
      <c r="G4" s="12">
        <f>12+10+18+10+14+16+8+10+10+12+18+14+12+14+10+4</f>
        <v>192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75</v>
      </c>
      <c r="D5" s="12">
        <v>72</v>
      </c>
      <c r="E5" s="12">
        <f t="shared" si="0"/>
        <v>147</v>
      </c>
      <c r="F5" s="12" t="s">
        <v>14</v>
      </c>
      <c r="G5" s="12">
        <f>127+161+174+183+112+177+87+146+147+209+196+191+145+92+120+147</f>
        <v>2414</v>
      </c>
      <c r="H5" s="12">
        <v>5239</v>
      </c>
      <c r="I5" s="12">
        <f>H5-G5-G7-G6</f>
        <v>2825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1</v>
      </c>
      <c r="D8" s="12">
        <v>0</v>
      </c>
      <c r="E8" s="12">
        <f t="shared" si="0"/>
        <v>1</v>
      </c>
      <c r="F8" s="12" t="s">
        <v>14</v>
      </c>
      <c r="G8" s="12">
        <f>0+0+0+0+1+0+3+0+0+1+0+0+0+0+0+1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31.83</v>
      </c>
      <c r="D9" s="17"/>
      <c r="E9" s="12">
        <f t="shared" si="0"/>
        <v>31.83</v>
      </c>
      <c r="F9" s="17" t="s">
        <v>14</v>
      </c>
      <c r="G9" s="12">
        <f>116.84+61.93+0+0+0+41.52+0+37.57+0+0+0+40.96+30.91+40.68+31.37+31.83</f>
        <v>433.61</v>
      </c>
      <c r="H9" s="17">
        <v>6.27</v>
      </c>
      <c r="I9" s="17">
        <f>H9-K10</f>
        <v>2.547263</v>
      </c>
      <c r="J9" s="22" t="s">
        <v>21</v>
      </c>
      <c r="K9" s="17">
        <v>3</v>
      </c>
      <c r="L9" s="17">
        <v>0.9</v>
      </c>
      <c r="M9" s="46"/>
    </row>
    <row r="10" s="1" customFormat="1" ht="25" customHeight="1" spans="1:13">
      <c r="A10" s="9">
        <v>5</v>
      </c>
      <c r="B10" s="10" t="s">
        <v>22</v>
      </c>
      <c r="C10" s="12">
        <v>9.5715</v>
      </c>
      <c r="D10" s="12">
        <v>0</v>
      </c>
      <c r="E10" s="12">
        <f t="shared" si="0"/>
        <v>9.5715</v>
      </c>
      <c r="F10" s="12" t="s">
        <v>14</v>
      </c>
      <c r="G10" s="12">
        <f>9.8415+8.019+6.237+13.635+8.1135+6.9255+7.3035+4.6305+6.345+9.3285+10.476+8.7075+9.369+5.481+4.752+9.5715</f>
        <v>128.736</v>
      </c>
      <c r="H10" s="12"/>
      <c r="I10" s="12">
        <f>G10/(G3*0.1865)</f>
        <v>3.59517426273458</v>
      </c>
      <c r="J10" s="22" t="s">
        <v>23</v>
      </c>
      <c r="K10" s="23">
        <f>0.946404+0.526405+0+0+0+0.369528+0+0.345644+0+0+0+0.335872+0.265826+0.357984+0.288604+0.28647</f>
        <v>3.722737</v>
      </c>
      <c r="L10" s="12"/>
      <c r="M10" s="12">
        <f>C9*L9/100</f>
        <v>0.28647</v>
      </c>
    </row>
    <row r="11" s="1" customFormat="1" ht="25" customHeight="1" spans="1:13">
      <c r="A11" s="9">
        <v>6</v>
      </c>
      <c r="B11" s="10" t="s">
        <v>24</v>
      </c>
      <c r="C11" s="12">
        <v>10.8744</v>
      </c>
      <c r="D11" s="12">
        <v>0</v>
      </c>
      <c r="E11" s="12">
        <f t="shared" si="0"/>
        <v>10.8744</v>
      </c>
      <c r="F11" s="12" t="s">
        <v>14</v>
      </c>
      <c r="G11" s="12">
        <f>16.8544+8.4824+14.9408+17.5168+16.9464+4.3424+22.08+11.8496+11.9232+17.0936+13.7264+18.86+11.3528+15.1432+10.2856+10.8744</f>
        <v>222.272</v>
      </c>
      <c r="H11" s="12"/>
      <c r="I11" s="12">
        <f>G11/(G3*0.1865)</f>
        <v>6.20732797140304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243</v>
      </c>
      <c r="D12" s="12">
        <v>216</v>
      </c>
      <c r="E12" s="12">
        <f t="shared" si="0"/>
        <v>459</v>
      </c>
      <c r="F12" s="12"/>
      <c r="G12" s="12">
        <f>280+495+437+544+380+394+300+578+329+529+497+482+462+323+318+459</f>
        <v>6807</v>
      </c>
      <c r="H12" s="12">
        <f>G12*1.05</f>
        <v>7147.35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162</v>
      </c>
      <c r="D13" s="12">
        <v>197</v>
      </c>
      <c r="E13" s="12">
        <f t="shared" ref="E13:E21" si="1">D13+C13</f>
        <v>359</v>
      </c>
      <c r="F13" s="12" t="s">
        <v>27</v>
      </c>
      <c r="G13" s="12">
        <f>282+436+387+416+376+286+243+396+353+470+428+288+421+233+281+359</f>
        <v>5655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313.59</v>
      </c>
      <c r="D14" s="12">
        <v>322.88</v>
      </c>
      <c r="E14" s="12">
        <f t="shared" si="1"/>
        <v>636.47</v>
      </c>
      <c r="F14" s="12" t="s">
        <v>27</v>
      </c>
      <c r="G14" s="12">
        <f>677.66+732.19+798.94+881.44+519.28+837+784.96+736.12+741.94+781.75+680.65+708.72+773.6+377.6+563.1+636.47</f>
        <v>11231.42</v>
      </c>
      <c r="H14" s="12"/>
      <c r="I14" s="12"/>
      <c r="J14" s="22" t="s">
        <v>29</v>
      </c>
      <c r="K14" s="12">
        <v>3.23</v>
      </c>
      <c r="L14" s="12">
        <v>3.25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15</v>
      </c>
      <c r="E15" s="12">
        <f t="shared" si="1"/>
        <v>30</v>
      </c>
      <c r="F15" s="12" t="s">
        <v>14</v>
      </c>
      <c r="G15" s="12">
        <f>21+39+30+33+33+21+18+33+30+36+36+24+33+18+21+30</f>
        <v>456</v>
      </c>
      <c r="H15" s="12"/>
      <c r="I15" s="12">
        <f>G15/(G3*0.1865)</f>
        <v>12.7345844504021</v>
      </c>
      <c r="J15" s="22" t="s">
        <v>31</v>
      </c>
      <c r="K15" s="23">
        <f>2.2333187+2.4654986+2.5645024+3.1869984+1.6910493+2.6327277+2.5231379+2.3150624+2.2740958+2.371376+2.1212961+2.1141256+2.4494317+1.2174571+1.733172+2.0622557</f>
        <v>35.9555054</v>
      </c>
      <c r="L15" s="12"/>
      <c r="M15" s="12">
        <f>(C14*K14+L14*D14)/1000</f>
        <v>2.0622557</v>
      </c>
    </row>
    <row r="16" s="1" customFormat="1" ht="25" customHeight="1" spans="1:13">
      <c r="A16" s="9">
        <v>11</v>
      </c>
      <c r="B16" s="10" t="s">
        <v>32</v>
      </c>
      <c r="C16" s="9">
        <v>0.075</v>
      </c>
      <c r="D16" s="9">
        <v>0</v>
      </c>
      <c r="E16" s="12">
        <f t="shared" si="1"/>
        <v>0.075</v>
      </c>
      <c r="F16" s="12" t="s">
        <v>14</v>
      </c>
      <c r="G16" s="12">
        <f>0.0125+0+0+0.075+0+0.0875+0.05+0.05+0+0+0+0.125+0+0.075+0+0.075</f>
        <v>0.55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</f>
        <v>20</v>
      </c>
      <c r="H17" s="27"/>
      <c r="I17" s="12">
        <f>G17/(G3*0.1865)</f>
        <v>0.558534405719392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</f>
        <v>20</v>
      </c>
      <c r="H18" s="27"/>
      <c r="I18" s="12">
        <f>G18/(G3*0.1865)</f>
        <v>0.558534405719392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8</v>
      </c>
      <c r="D19" s="9">
        <v>2</v>
      </c>
      <c r="E19" s="12">
        <f t="shared" si="1"/>
        <v>10</v>
      </c>
      <c r="F19" s="12" t="s">
        <v>36</v>
      </c>
      <c r="G19" s="12">
        <f>10+5+7+21+9+6+7+6+11+11+8+8+6+5+4+10</f>
        <v>134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533</v>
      </c>
      <c r="D20" s="9">
        <v>435</v>
      </c>
      <c r="E20" s="12">
        <f t="shared" si="1"/>
        <v>968</v>
      </c>
      <c r="F20" s="12" t="s">
        <v>27</v>
      </c>
      <c r="G20" s="12">
        <f>1011+1084+1036+1277+854+1124+787+1194+1035+1351+1157+1170+1119+749+828+968</f>
        <v>16744</v>
      </c>
      <c r="H20" s="28"/>
      <c r="I20" s="12">
        <f>E20/M20</f>
        <v>40.3333333333333</v>
      </c>
      <c r="J20" s="22" t="s">
        <v>38</v>
      </c>
      <c r="K20" s="12">
        <f>18+24+24+24+15+21.5+13+20.5+18+24+24+24+24+17+17+24</f>
        <v>332</v>
      </c>
      <c r="L20" s="12">
        <f>G20/K20</f>
        <v>50.433734939759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718</v>
      </c>
      <c r="D21" s="9">
        <v>595</v>
      </c>
      <c r="E21" s="12">
        <f t="shared" si="1"/>
        <v>1313</v>
      </c>
      <c r="F21" s="12" t="s">
        <v>27</v>
      </c>
      <c r="G21" s="12">
        <f>1281+1421+1306+1647+1060+1392+944+1503+1292+1749+1504+1463+1321+885+989+1313</f>
        <v>21070</v>
      </c>
      <c r="H21" s="27"/>
      <c r="I21" s="12">
        <f>E21/M20</f>
        <v>54.7083333333333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31.46</v>
      </c>
      <c r="D22" s="16">
        <v>28.98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104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105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10</v>
      </c>
      <c r="D31" s="12">
        <v>7</v>
      </c>
      <c r="E31" s="12">
        <f t="shared" si="2"/>
        <v>17</v>
      </c>
      <c r="F31" s="12" t="s">
        <v>27</v>
      </c>
      <c r="G31" s="12">
        <f>28+25+28+24+15+16+20+26+28+25+15+19+15+32+26+17</f>
        <v>359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150</v>
      </c>
      <c r="D34" s="12">
        <v>58</v>
      </c>
      <c r="E34" s="12">
        <f t="shared" si="2"/>
        <v>208</v>
      </c>
      <c r="F34" s="12" t="s">
        <v>27</v>
      </c>
      <c r="G34" s="12">
        <f>620+619+610+632+626+623+310+603+607+603+609+584+337+49+202+208</f>
        <v>7842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368</v>
      </c>
      <c r="D35" s="12">
        <v>0</v>
      </c>
      <c r="E35" s="12">
        <f t="shared" si="2"/>
        <v>368</v>
      </c>
      <c r="F35" s="12" t="s">
        <v>27</v>
      </c>
      <c r="G35" s="12">
        <f>901+911+932+914+912+877+753+854+820+759+785+736+761+0+591+368</f>
        <v>11874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</f>
        <v>0</v>
      </c>
      <c r="H36" s="27"/>
      <c r="I36" s="9">
        <v>720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</f>
        <v>0</v>
      </c>
      <c r="H37" s="27"/>
      <c r="I37" s="9">
        <v>158.0852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5</v>
      </c>
      <c r="E38" s="12">
        <f>D38+C38</f>
        <v>5</v>
      </c>
      <c r="F38" s="12" t="s">
        <v>36</v>
      </c>
      <c r="G38" s="12">
        <f>0+0+2+0+3+0+0+0+0+2+0+3+0+12+1+5</f>
        <v>28</v>
      </c>
      <c r="H38" s="27"/>
      <c r="I38" s="12">
        <v>26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106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6</v>
      </c>
      <c r="D3" s="11">
        <v>3.5</v>
      </c>
      <c r="E3" s="12">
        <f t="shared" ref="E3:E12" si="0">C3+D3</f>
        <v>9.5</v>
      </c>
      <c r="F3" s="12" t="s">
        <v>14</v>
      </c>
      <c r="G3" s="12">
        <f>8.5+16+13+13+16+7.5+12+8+14+16.5+14.5+11.5+13.5+10+5.5+12.5+9.5</f>
        <v>201.5</v>
      </c>
      <c r="H3" s="12">
        <v>340</v>
      </c>
      <c r="I3" s="12">
        <f>H3-G3</f>
        <v>138.5</v>
      </c>
      <c r="J3" s="13"/>
      <c r="K3" s="12"/>
      <c r="L3" s="12"/>
      <c r="M3" s="12">
        <f>I3/14</f>
        <v>9.89285714285714</v>
      </c>
    </row>
    <row r="4" s="1" customFormat="1" ht="38" customHeight="1" spans="1:13">
      <c r="A4" s="16">
        <v>2</v>
      </c>
      <c r="B4" s="10" t="s">
        <v>15</v>
      </c>
      <c r="C4" s="11">
        <v>14</v>
      </c>
      <c r="D4" s="11"/>
      <c r="E4" s="12">
        <f t="shared" si="0"/>
        <v>14</v>
      </c>
      <c r="F4" s="12" t="s">
        <v>14</v>
      </c>
      <c r="G4" s="12">
        <f>12+10+18+10+14+16+8+10+10+12+18+14+12+14+10+4+14</f>
        <v>206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81</v>
      </c>
      <c r="D5" s="12">
        <v>78</v>
      </c>
      <c r="E5" s="12">
        <f t="shared" si="0"/>
        <v>159</v>
      </c>
      <c r="F5" s="12" t="s">
        <v>14</v>
      </c>
      <c r="G5" s="12">
        <f>127+161+174+183+112+177+87+146+147+209+196+191+145+92+120+147+159</f>
        <v>2573</v>
      </c>
      <c r="H5" s="12">
        <v>5239</v>
      </c>
      <c r="I5" s="12">
        <f>H5-G5-G7-G6</f>
        <v>2666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81.7</v>
      </c>
      <c r="D9" s="17"/>
      <c r="E9" s="12">
        <f t="shared" si="0"/>
        <v>81.7</v>
      </c>
      <c r="F9" s="17" t="s">
        <v>14</v>
      </c>
      <c r="G9" s="12">
        <f>116.84+61.93+0+0+0+41.52+0+37.57+0+0+0+40.96+30.91+40.68+31.37+31.83+81.7</f>
        <v>515.31</v>
      </c>
      <c r="H9" s="17">
        <v>6.27</v>
      </c>
      <c r="I9" s="17">
        <f>H9-K10</f>
        <v>1.836473</v>
      </c>
      <c r="J9" s="22" t="s">
        <v>107</v>
      </c>
      <c r="K9" s="17">
        <v>170</v>
      </c>
      <c r="L9" s="17">
        <v>0.87</v>
      </c>
      <c r="M9" s="46"/>
    </row>
    <row r="10" s="1" customFormat="1" ht="25" customHeight="1" spans="1:13">
      <c r="A10" s="9">
        <v>5</v>
      </c>
      <c r="B10" s="10" t="s">
        <v>22</v>
      </c>
      <c r="C10" s="12">
        <v>6.5475</v>
      </c>
      <c r="D10" s="12">
        <v>0</v>
      </c>
      <c r="E10" s="12">
        <f t="shared" si="0"/>
        <v>6.5475</v>
      </c>
      <c r="F10" s="12" t="s">
        <v>14</v>
      </c>
      <c r="G10" s="12">
        <f>9.8415+8.019+6.237+13.635+8.1135+6.9255+7.3035+4.6305+6.345+9.3285+10.476+8.7075+9.369+5.481+4.752+9.5715+6.5475</f>
        <v>135.2835</v>
      </c>
      <c r="H10" s="12"/>
      <c r="I10" s="12">
        <f>G10/(G3*0.1865)</f>
        <v>3.59990420372674</v>
      </c>
      <c r="J10" s="22" t="s">
        <v>23</v>
      </c>
      <c r="K10" s="23">
        <f>0.946404+0.526405+0+0+0+0.369528+0+0.345644+0+0+0+0.335872+0.265826+0.357984+0.288604+0.28647+0.71079</f>
        <v>4.433527</v>
      </c>
      <c r="L10" s="12"/>
      <c r="M10" s="12">
        <f>C9*L9/100</f>
        <v>0.71079</v>
      </c>
    </row>
    <row r="11" s="1" customFormat="1" ht="25" customHeight="1" spans="1:13">
      <c r="A11" s="9">
        <v>6</v>
      </c>
      <c r="B11" s="10" t="s">
        <v>24</v>
      </c>
      <c r="C11" s="12">
        <v>14.7016</v>
      </c>
      <c r="D11" s="12">
        <v>0</v>
      </c>
      <c r="E11" s="12">
        <f t="shared" si="0"/>
        <v>14.7016</v>
      </c>
      <c r="F11" s="12" t="s">
        <v>14</v>
      </c>
      <c r="G11" s="12">
        <f>16.8544+8.4824+14.9408+17.5168+16.9464+4.3424+22.08+11.8496+11.9232+17.0936+13.7264+18.86+11.3528+15.1432+10.2856+10.8744+14.7016</f>
        <v>236.9736</v>
      </c>
      <c r="H11" s="12"/>
      <c r="I11" s="12">
        <f>G11/(G3*0.1865)</f>
        <v>6.30588548353834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227</v>
      </c>
      <c r="D12" s="12">
        <v>215</v>
      </c>
      <c r="E12" s="12">
        <f t="shared" si="0"/>
        <v>442</v>
      </c>
      <c r="F12" s="12"/>
      <c r="G12" s="12">
        <f>280+495+437+544+380+394+300+578+329+529+497+482+462+323+318+459+442</f>
        <v>7249</v>
      </c>
      <c r="H12" s="12">
        <f>G12*1.05</f>
        <v>7611.45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164</v>
      </c>
      <c r="D13" s="12">
        <v>137</v>
      </c>
      <c r="E13" s="12">
        <f t="shared" ref="E13:E21" si="1">D13+C13</f>
        <v>301</v>
      </c>
      <c r="F13" s="12" t="s">
        <v>27</v>
      </c>
      <c r="G13" s="12">
        <f>282+436+387+416+376+286+243+396+353+470+428+288+421+233+281+359+301</f>
        <v>5956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378.41</v>
      </c>
      <c r="D14" s="12">
        <v>424.91</v>
      </c>
      <c r="E14" s="12">
        <f t="shared" si="1"/>
        <v>803.32</v>
      </c>
      <c r="F14" s="12" t="s">
        <v>27</v>
      </c>
      <c r="G14" s="12">
        <f>677.66+732.19+798.94+881.44+519.28+837+784.96+736.12+741.94+781.75+680.65+708.72+773.6+377.6+563.1+636.47+803.32</f>
        <v>12034.74</v>
      </c>
      <c r="H14" s="12"/>
      <c r="I14" s="12"/>
      <c r="J14" s="22" t="s">
        <v>29</v>
      </c>
      <c r="K14" s="12">
        <v>3.29</v>
      </c>
      <c r="L14" s="12">
        <v>3.25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9</v>
      </c>
      <c r="E15" s="12">
        <f t="shared" si="1"/>
        <v>24</v>
      </c>
      <c r="F15" s="12" t="s">
        <v>14</v>
      </c>
      <c r="G15" s="12">
        <f>21+39+30+33+33+21+18+33+30+36+36+24+33+18+21+30+24</f>
        <v>480</v>
      </c>
      <c r="H15" s="12"/>
      <c r="I15" s="12">
        <f>G15/(G3*0.1865)</f>
        <v>12.7728364345159</v>
      </c>
      <c r="J15" s="22" t="s">
        <v>31</v>
      </c>
      <c r="K15" s="23">
        <f>2.2333187+2.4654986+2.5645024+3.1869984+1.6910493+2.6327277+2.5231379+2.3150624+2.2740958+2.371376+2.1212961+2.1141256+2.4494317+1.2174571+1.733172+2.0622557+2.6259264</f>
        <v>38.5814318</v>
      </c>
      <c r="L15" s="12"/>
      <c r="M15" s="12">
        <f>(C14*K14+L14*D14)/1000</f>
        <v>2.6259264</v>
      </c>
    </row>
    <row r="16" s="1" customFormat="1" ht="25" customHeight="1" spans="1:13">
      <c r="A16" s="9">
        <v>11</v>
      </c>
      <c r="B16" s="10" t="s">
        <v>32</v>
      </c>
      <c r="C16" s="9">
        <v>0.0375</v>
      </c>
      <c r="D16" s="9">
        <v>0.075</v>
      </c>
      <c r="E16" s="12">
        <f t="shared" si="1"/>
        <v>0.1125</v>
      </c>
      <c r="F16" s="12" t="s">
        <v>14</v>
      </c>
      <c r="G16" s="12">
        <f>0.0125+0+0+0.075+0+0.0875+0.05+0.05+0+0+0+0.125+0+0.075+0+0.075+0.1125</f>
        <v>0.6625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2+0+2+2+2+0+2+0+2+2+0+2+0+2+0+2+0</f>
        <v>20</v>
      </c>
      <c r="H17" s="27"/>
      <c r="I17" s="12">
        <f>G17/(G3*0.1865)</f>
        <v>0.53220151810483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2+0+2+2+2+0+2+0+2+2+0+2+0+2+0+2+0</f>
        <v>20</v>
      </c>
      <c r="H18" s="27"/>
      <c r="I18" s="12">
        <f>G18/(G3*0.1865)</f>
        <v>0.53220151810483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6</v>
      </c>
      <c r="D19" s="9">
        <v>4</v>
      </c>
      <c r="E19" s="12">
        <f t="shared" si="1"/>
        <v>10</v>
      </c>
      <c r="F19" s="12" t="s">
        <v>36</v>
      </c>
      <c r="G19" s="12">
        <f>10+5+7+21+9+6+7+6+11+11+8+8+6+5+4+10+10</f>
        <v>144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488</v>
      </c>
      <c r="D20" s="9">
        <v>467</v>
      </c>
      <c r="E20" s="12">
        <f t="shared" si="1"/>
        <v>955</v>
      </c>
      <c r="F20" s="12" t="s">
        <v>27</v>
      </c>
      <c r="G20" s="12">
        <f>1011+1084+1036+1277+854+1124+787+1194+1035+1351+1157+1170+1119+749+828+968+955</f>
        <v>17699</v>
      </c>
      <c r="H20" s="28"/>
      <c r="I20" s="12">
        <f>E20/M20</f>
        <v>39.7916666666667</v>
      </c>
      <c r="J20" s="22" t="s">
        <v>38</v>
      </c>
      <c r="K20" s="12">
        <f>18+24+24+24+15+21.5+13+20.5+18+24+24+24+24+17+17+24+24</f>
        <v>356</v>
      </c>
      <c r="L20" s="12">
        <f>G20/K20</f>
        <v>49.7162921348315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648</v>
      </c>
      <c r="D21" s="9">
        <v>604</v>
      </c>
      <c r="E21" s="12">
        <f t="shared" si="1"/>
        <v>1252</v>
      </c>
      <c r="F21" s="12" t="s">
        <v>27</v>
      </c>
      <c r="G21" s="12">
        <f>1281+1421+1306+1647+1060+1392+944+1503+1292+1749+1504+1463+1321+885+989+1313+1252</f>
        <v>22322</v>
      </c>
      <c r="H21" s="27"/>
      <c r="I21" s="12">
        <f>E21/M20</f>
        <v>52.1666666666667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31.07</v>
      </c>
      <c r="D22" s="16">
        <v>33.5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104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108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8</v>
      </c>
      <c r="D31" s="12">
        <v>7</v>
      </c>
      <c r="E31" s="12">
        <f t="shared" si="2"/>
        <v>15</v>
      </c>
      <c r="F31" s="12" t="s">
        <v>27</v>
      </c>
      <c r="G31" s="12">
        <f>28+25+28+24+15+16+20+26+28+25+15+19+15+32+26+17+15</f>
        <v>374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120</v>
      </c>
      <c r="D34" s="12">
        <v>156</v>
      </c>
      <c r="E34" s="12">
        <f t="shared" si="2"/>
        <v>276</v>
      </c>
      <c r="F34" s="12" t="s">
        <v>27</v>
      </c>
      <c r="G34" s="12">
        <f>620+619+610+632+626+623+310+603+607+603+609+584+337+49+202+208+276</f>
        <v>8118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0</v>
      </c>
      <c r="D35" s="12">
        <v>0</v>
      </c>
      <c r="E35" s="12">
        <f t="shared" si="2"/>
        <v>0</v>
      </c>
      <c r="F35" s="12" t="s">
        <v>27</v>
      </c>
      <c r="G35" s="12">
        <f>901+911+932+914+912+877+753+854+820+759+785+736+761+0+591+368+0</f>
        <v>11874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</f>
        <v>0</v>
      </c>
      <c r="H36" s="27"/>
      <c r="I36" s="9">
        <v>697.5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</f>
        <v>0</v>
      </c>
      <c r="H37" s="27"/>
      <c r="I37" s="9">
        <v>206.7268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6</v>
      </c>
      <c r="D38" s="9">
        <v>4</v>
      </c>
      <c r="E38" s="12">
        <f>D38+C38</f>
        <v>10</v>
      </c>
      <c r="F38" s="12" t="s">
        <v>36</v>
      </c>
      <c r="G38" s="12">
        <f>0+0+2+0+3+0+0+0+0+2+0+3+0+12+1+5+10</f>
        <v>38</v>
      </c>
      <c r="H38" s="27"/>
      <c r="I38" s="12">
        <v>12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109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4.5</v>
      </c>
      <c r="D3" s="11">
        <v>9</v>
      </c>
      <c r="E3" s="12">
        <f t="shared" ref="E3:E12" si="0">C3+D3</f>
        <v>13.5</v>
      </c>
      <c r="F3" s="12" t="s">
        <v>14</v>
      </c>
      <c r="G3" s="12">
        <f>8.5+16+13+13+16+7.5+12+8+14+16.5+14.5+11.5+13.5+10+5.5+12.5+9.5+13.5</f>
        <v>215</v>
      </c>
      <c r="H3" s="12">
        <v>340</v>
      </c>
      <c r="I3" s="12">
        <f>H3-G3</f>
        <v>125</v>
      </c>
      <c r="J3" s="13"/>
      <c r="K3" s="12"/>
      <c r="L3" s="12"/>
      <c r="M3" s="12">
        <f>I3/13</f>
        <v>9.61538461538461</v>
      </c>
    </row>
    <row r="4" s="1" customFormat="1" ht="38" customHeight="1" spans="1:13">
      <c r="A4" s="16">
        <v>2</v>
      </c>
      <c r="B4" s="10" t="s">
        <v>15</v>
      </c>
      <c r="C4" s="11">
        <v>8</v>
      </c>
      <c r="D4" s="11"/>
      <c r="E4" s="12">
        <f t="shared" si="0"/>
        <v>8</v>
      </c>
      <c r="F4" s="12" t="s">
        <v>14</v>
      </c>
      <c r="G4" s="12">
        <f>12+10+18+10+14+16+8+10+10+12+18+14+12+14+10+4+14+8</f>
        <v>214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58</v>
      </c>
      <c r="D5" s="12">
        <v>28</v>
      </c>
      <c r="E5" s="12">
        <f t="shared" si="0"/>
        <v>86</v>
      </c>
      <c r="F5" s="12" t="s">
        <v>14</v>
      </c>
      <c r="G5" s="12">
        <f>127+161+174+183+112+177+87+146+147+209+196+191+145+92+120+147+159+86</f>
        <v>2659</v>
      </c>
      <c r="H5" s="12">
        <v>5239</v>
      </c>
      <c r="I5" s="12">
        <f>H5-G5-G7-G6</f>
        <v>2580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</f>
        <v>515.31</v>
      </c>
      <c r="H9" s="17">
        <v>6.27</v>
      </c>
      <c r="I9" s="17">
        <f>H9-K10</f>
        <v>1.836473</v>
      </c>
      <c r="J9" s="22" t="s">
        <v>107</v>
      </c>
      <c r="K9" s="17">
        <v>180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5.643</v>
      </c>
      <c r="D10" s="12">
        <v>0</v>
      </c>
      <c r="E10" s="12">
        <f t="shared" si="0"/>
        <v>5.643</v>
      </c>
      <c r="F10" s="12" t="s">
        <v>14</v>
      </c>
      <c r="G10" s="12">
        <f>9.8415+8.019+6.237+13.635+8.1135+6.9255+7.3035+4.6305+6.345+9.3285+10.476+8.7075+9.369+5.481+4.752+9.5715+6.5475+5.643</f>
        <v>140.9265</v>
      </c>
      <c r="H10" s="12"/>
      <c r="I10" s="12">
        <f>G10/(G3*0.1865)</f>
        <v>3.51459567304695</v>
      </c>
      <c r="J10" s="22" t="s">
        <v>23</v>
      </c>
      <c r="K10" s="23">
        <f>0.946404+0.526405+0+0+0+0.369528+0+0.345644+0+0+0+0.335872+0.265826+0.357984+0.288604+0.28647+0.71079+0</f>
        <v>4.433527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17.572</v>
      </c>
      <c r="D11" s="12">
        <v>0</v>
      </c>
      <c r="E11" s="12">
        <f t="shared" si="0"/>
        <v>17.572</v>
      </c>
      <c r="F11" s="12" t="s">
        <v>14</v>
      </c>
      <c r="G11" s="12">
        <f>16.8544+8.4824+14.9408+17.5168+16.9464+4.3424+22.08+11.8496+11.9232+17.0936+13.7264+18.86+11.3528+15.1432+10.2856+10.8744+14.7016+17.572</f>
        <v>254.5456</v>
      </c>
      <c r="H11" s="12"/>
      <c r="I11" s="12">
        <f>G11/(G3*0.1865)</f>
        <v>6.3481663445352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226</v>
      </c>
      <c r="D12" s="12">
        <v>140</v>
      </c>
      <c r="E12" s="12">
        <f t="shared" si="0"/>
        <v>366</v>
      </c>
      <c r="F12" s="12"/>
      <c r="G12" s="12">
        <f>280+495+437+544+380+394+300+578+329+529+497+482+462+323+318+459+442+366</f>
        <v>7615</v>
      </c>
      <c r="H12" s="12">
        <f>G12*1.05</f>
        <v>7995.75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159</v>
      </c>
      <c r="D13" s="12">
        <v>177</v>
      </c>
      <c r="E13" s="12">
        <f t="shared" ref="E13:E21" si="1">D13+C13</f>
        <v>336</v>
      </c>
      <c r="F13" s="12" t="s">
        <v>27</v>
      </c>
      <c r="G13" s="12">
        <f>282+436+387+416+376+286+243+396+353+470+428+288+421+233+281+359+301+336</f>
        <v>6292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398.6</v>
      </c>
      <c r="D14" s="12">
        <v>290.75</v>
      </c>
      <c r="E14" s="12">
        <f t="shared" si="1"/>
        <v>689.35</v>
      </c>
      <c r="F14" s="12" t="s">
        <v>27</v>
      </c>
      <c r="G14" s="12">
        <f>677.66+732.19+798.94+881.44+519.28+837+784.96+736.12+741.94+781.75+680.65+708.72+773.6+377.6+563.1+636.47+803.32+689.35</f>
        <v>12724.09</v>
      </c>
      <c r="H14" s="12"/>
      <c r="I14" s="12"/>
      <c r="J14" s="22" t="s">
        <v>29</v>
      </c>
      <c r="K14" s="12">
        <v>3.24</v>
      </c>
      <c r="L14" s="12">
        <v>3.07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15</v>
      </c>
      <c r="E15" s="12">
        <f t="shared" si="1"/>
        <v>30</v>
      </c>
      <c r="F15" s="12" t="s">
        <v>14</v>
      </c>
      <c r="G15" s="12">
        <f>21+39+30+33+33+21+18+33+30+36+36+24+33+18+21+30+24+30</f>
        <v>510</v>
      </c>
      <c r="H15" s="12"/>
      <c r="I15" s="12">
        <f>G15/(G3*0.1865)</f>
        <v>12.7189974437309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</f>
        <v>40.7654983</v>
      </c>
      <c r="L15" s="12"/>
      <c r="M15" s="12">
        <f>(C14*K14+L14*D14)/1000</f>
        <v>2.1840665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</f>
        <v>0.6625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</f>
        <v>22</v>
      </c>
      <c r="H17" s="27"/>
      <c r="I17" s="12">
        <f>G17/(G3*0.1865)</f>
        <v>0.548662634827608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</f>
        <v>22</v>
      </c>
      <c r="H18" s="27"/>
      <c r="I18" s="12">
        <f>G18/(G3*0.1865)</f>
        <v>0.548662634827608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8</v>
      </c>
      <c r="D19" s="9">
        <v>2</v>
      </c>
      <c r="E19" s="12">
        <f t="shared" si="1"/>
        <v>10</v>
      </c>
      <c r="F19" s="12" t="s">
        <v>36</v>
      </c>
      <c r="G19" s="12">
        <f>10+5+7+21+9+6+7+6+11+11+8+8+6+5+4+10+10+10</f>
        <v>154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518</v>
      </c>
      <c r="D20" s="9">
        <v>381</v>
      </c>
      <c r="E20" s="12">
        <f t="shared" si="1"/>
        <v>899</v>
      </c>
      <c r="F20" s="12" t="s">
        <v>27</v>
      </c>
      <c r="G20" s="12">
        <f>1011+1084+1036+1277+854+1124+787+1194+1035+1351+1157+1170+1119+749+828+968+955+899</f>
        <v>18598</v>
      </c>
      <c r="H20" s="28"/>
      <c r="I20" s="12">
        <f>E20/M20</f>
        <v>48.5945945945946</v>
      </c>
      <c r="J20" s="22" t="s">
        <v>38</v>
      </c>
      <c r="K20" s="12">
        <f>18+24+24+24+15+21.5+13+20.5+18+24+24+24+24+17+17+24+24+18.5</f>
        <v>374.5</v>
      </c>
      <c r="L20" s="12">
        <f>G20/K20</f>
        <v>49.6608811748999</v>
      </c>
      <c r="M20" s="12">
        <v>18.5</v>
      </c>
    </row>
    <row r="21" s="1" customFormat="1" ht="25" customHeight="1" spans="1:13">
      <c r="A21" s="16">
        <v>16</v>
      </c>
      <c r="B21" s="10" t="s">
        <v>39</v>
      </c>
      <c r="C21" s="9">
        <v>646</v>
      </c>
      <c r="D21" s="9">
        <v>419</v>
      </c>
      <c r="E21" s="12">
        <f t="shared" si="1"/>
        <v>1065</v>
      </c>
      <c r="F21" s="12" t="s">
        <v>27</v>
      </c>
      <c r="G21" s="12">
        <f>1281+1421+1306+1647+1060+1392+944+1503+1292+1749+1504+1463+1321+885+989+1313+1252+1065</f>
        <v>23387</v>
      </c>
      <c r="H21" s="27"/>
      <c r="I21" s="12">
        <f>E21/M20</f>
        <v>57.5675675675676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32.04</v>
      </c>
      <c r="D22" s="16">
        <v>26.9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104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110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111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17.63+8.3+15.11+16.68+16.59+16.58+0+0+0+8.32+8.28+16.39+0+0+0+0+0+0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13</v>
      </c>
      <c r="D31" s="12">
        <v>10</v>
      </c>
      <c r="E31" s="12">
        <f t="shared" si="2"/>
        <v>23</v>
      </c>
      <c r="F31" s="12" t="s">
        <v>27</v>
      </c>
      <c r="G31" s="12">
        <f>28+25+28+24+15+16+20+26+28+25+15+19+15+32+26+17+15+23</f>
        <v>397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180</v>
      </c>
      <c r="D34" s="12">
        <v>147</v>
      </c>
      <c r="E34" s="12">
        <f t="shared" si="2"/>
        <v>327</v>
      </c>
      <c r="F34" s="12" t="s">
        <v>27</v>
      </c>
      <c r="G34" s="12">
        <f>620+619+610+632+626+623+310+603+607+603+609+584+337+49+202+208+276+327</f>
        <v>8445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362</v>
      </c>
      <c r="D35" s="12">
        <v>100</v>
      </c>
      <c r="E35" s="12">
        <f t="shared" si="2"/>
        <v>462</v>
      </c>
      <c r="F35" s="12" t="s">
        <v>27</v>
      </c>
      <c r="G35" s="12">
        <f>901+911+932+914+912+877+753+854+820+759+785+736+761+0+591+368+0+462</f>
        <v>12336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</f>
        <v>0</v>
      </c>
      <c r="H36" s="27"/>
      <c r="I36" s="9">
        <v>2640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</f>
        <v>0</v>
      </c>
      <c r="H37" s="27"/>
      <c r="I37" s="9">
        <v>203.2524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0+0+2+0+3+0+0+0+0+2+0+3+0+12+1+5+10+0</f>
        <v>38</v>
      </c>
      <c r="H38" s="27"/>
      <c r="I38" s="12">
        <v>12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112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3.5</v>
      </c>
      <c r="D3" s="11">
        <v>6</v>
      </c>
      <c r="E3" s="12">
        <f t="shared" ref="E3:E12" si="0">C3+D3</f>
        <v>9.5</v>
      </c>
      <c r="F3" s="12" t="s">
        <v>14</v>
      </c>
      <c r="G3" s="12">
        <f>8.5+16+13+13+16+7.5+12+8+14+16.5+14.5+11.5+13.5+10+5.5+12.5+9.5+13.5+9.5</f>
        <v>224.5</v>
      </c>
      <c r="H3" s="12">
        <v>340</v>
      </c>
      <c r="I3" s="12">
        <f>H3-G3</f>
        <v>115.5</v>
      </c>
      <c r="J3" s="13"/>
      <c r="K3" s="12"/>
      <c r="L3" s="12"/>
      <c r="M3" s="12">
        <f>I3/12</f>
        <v>9.625</v>
      </c>
    </row>
    <row r="4" s="1" customFormat="1" ht="38" customHeight="1" spans="1:13">
      <c r="A4" s="16">
        <v>2</v>
      </c>
      <c r="B4" s="10" t="s">
        <v>15</v>
      </c>
      <c r="C4" s="11">
        <v>14</v>
      </c>
      <c r="D4" s="11"/>
      <c r="E4" s="12">
        <f t="shared" si="0"/>
        <v>14</v>
      </c>
      <c r="F4" s="12" t="s">
        <v>14</v>
      </c>
      <c r="G4" s="12">
        <f>12+10+18+10+14+16+8+10+10+12+18+14+12+14+10+4+14+8+14</f>
        <v>228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82</v>
      </c>
      <c r="D5" s="12">
        <v>100</v>
      </c>
      <c r="E5" s="12">
        <f t="shared" si="0"/>
        <v>182</v>
      </c>
      <c r="F5" s="12" t="s">
        <v>14</v>
      </c>
      <c r="G5" s="12">
        <f>127+161+174+183+112+177+87+146+147+209+196+191+145+92+120+147+159+86+182</f>
        <v>2841</v>
      </c>
      <c r="H5" s="12">
        <v>5239</v>
      </c>
      <c r="I5" s="12">
        <f>H5-G5-G7-G6</f>
        <v>2398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112.9</v>
      </c>
      <c r="D9" s="17"/>
      <c r="E9" s="12">
        <f t="shared" si="0"/>
        <v>112.9</v>
      </c>
      <c r="F9" s="17" t="s">
        <v>14</v>
      </c>
      <c r="G9" s="12">
        <f>116.84+61.93+0+0+0+41.52+0+37.57+0+0+0+40.96+30.91+40.68+31.37+31.83+81.7+0+112.9</f>
        <v>628.21</v>
      </c>
      <c r="H9" s="17">
        <v>6.27</v>
      </c>
      <c r="I9" s="17">
        <f>H9-K10</f>
        <v>0.842952999999999</v>
      </c>
      <c r="J9" s="22" t="s">
        <v>107</v>
      </c>
      <c r="K9" s="17">
        <v>80</v>
      </c>
      <c r="L9" s="17">
        <v>0.88</v>
      </c>
      <c r="M9" s="46"/>
    </row>
    <row r="10" s="1" customFormat="1" ht="25" customHeight="1" spans="1:13">
      <c r="A10" s="9">
        <v>5</v>
      </c>
      <c r="B10" s="10" t="s">
        <v>22</v>
      </c>
      <c r="C10" s="12">
        <v>5.5485</v>
      </c>
      <c r="D10" s="12">
        <v>2.1195</v>
      </c>
      <c r="E10" s="12">
        <f t="shared" si="0"/>
        <v>7.668</v>
      </c>
      <c r="F10" s="12" t="s">
        <v>14</v>
      </c>
      <c r="G10" s="12">
        <f>9.8415+8.019+6.237+13.635+8.1135+6.9255+7.3035+4.6305+6.345+9.3285+10.476+8.7075+9.369+5.481+4.752+9.5715+6.5475+5.643+7.668</f>
        <v>148.5945</v>
      </c>
      <c r="H10" s="12"/>
      <c r="I10" s="12">
        <f>G10/(G3*0.1865)</f>
        <v>3.54901270025138</v>
      </c>
      <c r="J10" s="22" t="s">
        <v>23</v>
      </c>
      <c r="K10" s="23">
        <f>0.946404+0.526405+0+0+0+0.369528+0+0.345644+0+0+0+0.335872+0.265826+0.357984+0.288604+0.28647+0.71079+0+0.99352</f>
        <v>5.427047</v>
      </c>
      <c r="L10" s="12"/>
      <c r="M10" s="12">
        <f>C9*L9/100</f>
        <v>0.99352</v>
      </c>
    </row>
    <row r="11" s="1" customFormat="1" ht="25" customHeight="1" spans="1:13">
      <c r="A11" s="9">
        <v>6</v>
      </c>
      <c r="B11" s="10" t="s">
        <v>24</v>
      </c>
      <c r="C11" s="12">
        <v>8.8872</v>
      </c>
      <c r="D11" s="12">
        <v>0</v>
      </c>
      <c r="E11" s="12">
        <f t="shared" si="0"/>
        <v>8.8872</v>
      </c>
      <c r="F11" s="12" t="s">
        <v>14</v>
      </c>
      <c r="G11" s="12">
        <f>16.8544+8.4824+14.9408+17.5168+16.9464+4.3424+22.08+11.8496+11.9232+17.0936+13.7264+18.86+11.3528+15.1432+10.2856+10.8744+14.7016+17.572+8.8872</f>
        <v>263.4328</v>
      </c>
      <c r="H11" s="12"/>
      <c r="I11" s="12">
        <f>G11/(G3*0.1865)</f>
        <v>6.29179648548756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223</v>
      </c>
      <c r="D12" s="12">
        <v>221</v>
      </c>
      <c r="E12" s="12">
        <f t="shared" si="0"/>
        <v>444</v>
      </c>
      <c r="F12" s="12"/>
      <c r="G12" s="12">
        <f>280+495+437+544+380+394+300+578+329+529+497+482+462+323+318+459+442+366+444</f>
        <v>8059</v>
      </c>
      <c r="H12" s="12">
        <f>G12*1.05</f>
        <v>8461.95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140</v>
      </c>
      <c r="D13" s="12">
        <v>214</v>
      </c>
      <c r="E13" s="12">
        <f t="shared" ref="E13:E21" si="1">D13+C13</f>
        <v>354</v>
      </c>
      <c r="F13" s="12" t="s">
        <v>27</v>
      </c>
      <c r="G13" s="12">
        <f>282+436+387+416+376+286+243+396+353+470+428+288+421+233+281+359+301+336+354</f>
        <v>6646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397.68</v>
      </c>
      <c r="D14" s="12">
        <v>357.93</v>
      </c>
      <c r="E14" s="12">
        <f t="shared" si="1"/>
        <v>755.61</v>
      </c>
      <c r="F14" s="12" t="s">
        <v>27</v>
      </c>
      <c r="G14" s="12">
        <f>677.66+732.19+798.94+881.44+519.28+837+784.96+736.12+741.94+781.75+680.65+708.72+773.6+377.6+563.1+636.47+803.32+689.35+755.61</f>
        <v>13479.7</v>
      </c>
      <c r="H14" s="12"/>
      <c r="I14" s="12"/>
      <c r="J14" s="22" t="s">
        <v>29</v>
      </c>
      <c r="K14" s="12">
        <v>3.07</v>
      </c>
      <c r="L14" s="12">
        <v>2.95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12</v>
      </c>
      <c r="D15" s="12">
        <v>12</v>
      </c>
      <c r="E15" s="12">
        <f t="shared" si="1"/>
        <v>24</v>
      </c>
      <c r="F15" s="12" t="s">
        <v>14</v>
      </c>
      <c r="G15" s="12">
        <f>21+39+30+33+33+21+18+33+30+36+36+24+33+18+21+30+24+30+24</f>
        <v>534</v>
      </c>
      <c r="H15" s="12"/>
      <c r="I15" s="12">
        <f>G15/(G3*0.1865)</f>
        <v>12.7539901001332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</f>
        <v>43.0422694</v>
      </c>
      <c r="L15" s="12"/>
      <c r="M15" s="12">
        <f>(C14*K14+L14*D14)/1000</f>
        <v>2.2767711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</f>
        <v>0.6625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2+0+2+2+2+0+2+0+2+2+0+2+0+2+0+2+0+2+0</f>
        <v>22</v>
      </c>
      <c r="H17" s="27"/>
      <c r="I17" s="12">
        <f>G17/(G3*0.1865)</f>
        <v>0.525445285024212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2+0+2+2+2+0+2+0+2+2+0+2+0+2+0+2+0+2+0</f>
        <v>22</v>
      </c>
      <c r="H18" s="27"/>
      <c r="I18" s="12">
        <f>G18/(G3*0.1865)</f>
        <v>0.525445285024212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7</v>
      </c>
      <c r="D19" s="9">
        <v>3</v>
      </c>
      <c r="E19" s="12">
        <f t="shared" si="1"/>
        <v>10</v>
      </c>
      <c r="F19" s="12" t="s">
        <v>36</v>
      </c>
      <c r="G19" s="12">
        <f>10+5+7+21+9+6+7+6+11+11+8+8+6+5+4+10+10+10+10</f>
        <v>164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672</v>
      </c>
      <c r="D20" s="9">
        <v>638</v>
      </c>
      <c r="E20" s="12">
        <f t="shared" si="1"/>
        <v>1310</v>
      </c>
      <c r="F20" s="12" t="s">
        <v>27</v>
      </c>
      <c r="G20" s="12">
        <f>1011+1084+1036+1277+854+1124+787+1194+1035+1351+1157+1170+1119+749+828+968+955+899+1310</f>
        <v>19908</v>
      </c>
      <c r="H20" s="28"/>
      <c r="I20" s="12">
        <f>E20/M20</f>
        <v>54.5833333333333</v>
      </c>
      <c r="J20" s="22" t="s">
        <v>38</v>
      </c>
      <c r="K20" s="12">
        <f>18+24+24+24+15+21.5+13+20.5+18+24+24+24+24+17+17+24+24+18.5+24</f>
        <v>398.5</v>
      </c>
      <c r="L20" s="12">
        <f>G20/K20</f>
        <v>49.9573400250941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807</v>
      </c>
      <c r="D21" s="9">
        <v>806</v>
      </c>
      <c r="E21" s="12">
        <f t="shared" si="1"/>
        <v>1613</v>
      </c>
      <c r="F21" s="12" t="s">
        <v>27</v>
      </c>
      <c r="G21" s="12">
        <f>1281+1421+1306+1647+1060+1392+944+1503+1292+1749+1504+1463+1321+885+989+1313+1252+1065+1613</f>
        <v>25000</v>
      </c>
      <c r="H21" s="27"/>
      <c r="I21" s="12">
        <f>E21/M20</f>
        <v>67.2083333333333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26.22</v>
      </c>
      <c r="D22" s="16">
        <v>27.19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113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114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115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17.63+8.3+15.11+16.68+16.59+16.58+0+0+0+8.32+8.28+16.39+0+0+0+0+0+0+0</f>
        <v>123.88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78</v>
      </c>
      <c r="D31" s="12">
        <v>6</v>
      </c>
      <c r="E31" s="12">
        <f t="shared" si="2"/>
        <v>84</v>
      </c>
      <c r="F31" s="12" t="s">
        <v>27</v>
      </c>
      <c r="G31" s="12">
        <f>28+25+28+24+15+16+20+26+28+25+15+19+15+32+26+17+15+23+84</f>
        <v>481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235</v>
      </c>
      <c r="D34" s="12">
        <v>303</v>
      </c>
      <c r="E34" s="12">
        <f t="shared" si="2"/>
        <v>538</v>
      </c>
      <c r="F34" s="12" t="s">
        <v>27</v>
      </c>
      <c r="G34" s="12">
        <f>620+619+610+632+626+623+310+603+607+603+609+584+337+49+202+208+276+327+538</f>
        <v>8983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457</v>
      </c>
      <c r="D35" s="12">
        <v>508</v>
      </c>
      <c r="E35" s="12">
        <f t="shared" si="2"/>
        <v>965</v>
      </c>
      <c r="F35" s="12" t="s">
        <v>27</v>
      </c>
      <c r="G35" s="12">
        <f>901+911+932+914+912+877+753+854+820+759+785+736+761+0+591+368+0+462+965</f>
        <v>13301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</f>
        <v>0</v>
      </c>
      <c r="H36" s="27"/>
      <c r="I36" s="9">
        <v>1777.5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</f>
        <v>0</v>
      </c>
      <c r="H37" s="27"/>
      <c r="I37" s="9">
        <v>198.9094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5</v>
      </c>
      <c r="E38" s="12">
        <f>D38+C38</f>
        <v>5</v>
      </c>
      <c r="F38" s="12" t="s">
        <v>36</v>
      </c>
      <c r="G38" s="12">
        <f>0+0+2+0+3+0+0+0+0+2+0+3+0+12+1+5+10+0+5</f>
        <v>43</v>
      </c>
      <c r="H38" s="27"/>
      <c r="I38" s="12">
        <v>2</v>
      </c>
      <c r="J38" s="39"/>
      <c r="K38" s="32"/>
      <c r="L38" s="32"/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116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6.5</v>
      </c>
      <c r="D3" s="11">
        <v>7.5</v>
      </c>
      <c r="E3" s="12">
        <f t="shared" ref="E3:E12" si="0">C3+D3</f>
        <v>14</v>
      </c>
      <c r="F3" s="12" t="s">
        <v>14</v>
      </c>
      <c r="G3" s="12">
        <f>8.5+16+13+13+16+7.5+12+8+14+16.5+14.5+11.5+13.5+10+5.5+12.5+9.5+13.5+9.5+14</f>
        <v>238.5</v>
      </c>
      <c r="H3" s="12">
        <v>340</v>
      </c>
      <c r="I3" s="12">
        <f>H3-G3</f>
        <v>101.5</v>
      </c>
      <c r="J3" s="13"/>
      <c r="K3" s="12"/>
      <c r="L3" s="12"/>
      <c r="M3" s="12">
        <f>I3/11</f>
        <v>9.22727272727273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12+10+18+10+14+16+8+10+10+12+18+14+12+14+10+4+14+8+14+10</f>
        <v>238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93</v>
      </c>
      <c r="D5" s="12">
        <v>59</v>
      </c>
      <c r="E5" s="12">
        <f t="shared" si="0"/>
        <v>152</v>
      </c>
      <c r="F5" s="12" t="s">
        <v>14</v>
      </c>
      <c r="G5" s="12">
        <f>127+161+174+183+112+177+87+146+147+209+196+191+145+92+120+147+159+86+182+152</f>
        <v>2993</v>
      </c>
      <c r="H5" s="12">
        <v>5239</v>
      </c>
      <c r="I5" s="12">
        <f>H5-G5-G7-G6</f>
        <v>2246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0+0+0+0+0+0+0+0+0+0+0+0+0+0+0+0+0+0+0+0</f>
        <v>0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116.84+61.93+0+0+0+41.52+0+37.57+0+0+0+40.96+30.91+40.68+31.37+31.83+81.7+0+112.9+0</f>
        <v>628.21</v>
      </c>
      <c r="H9" s="17">
        <v>6.27</v>
      </c>
      <c r="I9" s="17">
        <f>H9-K10</f>
        <v>0.842952999999999</v>
      </c>
      <c r="J9" s="22" t="s">
        <v>107</v>
      </c>
      <c r="K9" s="17">
        <v>0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9.4365</v>
      </c>
      <c r="D10" s="12">
        <v>0</v>
      </c>
      <c r="E10" s="12">
        <f t="shared" si="0"/>
        <v>9.4365</v>
      </c>
      <c r="F10" s="12" t="s">
        <v>14</v>
      </c>
      <c r="G10" s="12">
        <f>9.8415+8.019+6.237+13.635+8.1135+6.9255+7.3035+4.6305+6.345+9.3285+10.476+8.7075+9.369+5.481+4.752+9.5715+6.5475+5.643+7.668+9.4365</f>
        <v>158.031</v>
      </c>
      <c r="H10" s="12"/>
      <c r="I10" s="12">
        <f>G10/(G3*0.1865)</f>
        <v>3.55283524710405</v>
      </c>
      <c r="J10" s="22" t="s">
        <v>23</v>
      </c>
      <c r="K10" s="23">
        <f>0.946404+0.526405+0+0+0+0.369528+0+0.345644+0+0+0+0.335872+0.265826+0.357984+0.288604+0.28647+0.71079+0+0.99352+0</f>
        <v>5.427047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16.7808</v>
      </c>
      <c r="D11" s="12">
        <v>0</v>
      </c>
      <c r="E11" s="12">
        <f t="shared" si="0"/>
        <v>16.7808</v>
      </c>
      <c r="F11" s="12" t="s">
        <v>14</v>
      </c>
      <c r="G11" s="12">
        <f>16.8544+8.4824+14.9408+17.5168+16.9464+4.3424+22.08+11.8496+11.9232+17.0936+13.7264+18.86+11.3528+15.1432+10.2856+10.8744+14.7016+17.572+8.8872+16.7808</f>
        <v>280.2136</v>
      </c>
      <c r="H11" s="12"/>
      <c r="I11" s="12">
        <f>G11/(G3*0.1865)</f>
        <v>6.29973077939085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240</v>
      </c>
      <c r="D12" s="12">
        <v>221</v>
      </c>
      <c r="E12" s="12">
        <f t="shared" si="0"/>
        <v>461</v>
      </c>
      <c r="F12" s="12"/>
      <c r="G12" s="12">
        <f>280+495+437+544+380+394+300+578+329+529+497+482+462+323+318+459+442+366+444+461</f>
        <v>8520</v>
      </c>
      <c r="H12" s="12">
        <f>G12*1.05</f>
        <v>8946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204</v>
      </c>
      <c r="D13" s="12">
        <v>191</v>
      </c>
      <c r="E13" s="12">
        <f t="shared" ref="E13:E21" si="1">D13+C13</f>
        <v>395</v>
      </c>
      <c r="F13" s="12" t="s">
        <v>27</v>
      </c>
      <c r="G13" s="12">
        <f>282+436+387+416+376+286+243+396+353+470+428+288+421+233+281+359+301+336+354+395</f>
        <v>7041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274.15</v>
      </c>
      <c r="D14" s="12">
        <v>288.12</v>
      </c>
      <c r="E14" s="12">
        <f t="shared" si="1"/>
        <v>562.27</v>
      </c>
      <c r="F14" s="12" t="s">
        <v>27</v>
      </c>
      <c r="G14" s="12">
        <f>677.66+732.19+798.94+881.44+519.28+837+784.96+736.12+741.94+781.75+680.65+708.72+773.6+377.6+563.1+636.47+803.32+689.35+755.61+562.27</f>
        <v>14041.97</v>
      </c>
      <c r="H14" s="12"/>
      <c r="I14" s="12"/>
      <c r="J14" s="22" t="s">
        <v>29</v>
      </c>
      <c r="K14" s="12">
        <v>3.02</v>
      </c>
      <c r="L14" s="12">
        <v>3.2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21</v>
      </c>
      <c r="D15" s="12">
        <v>15</v>
      </c>
      <c r="E15" s="12">
        <f t="shared" si="1"/>
        <v>36</v>
      </c>
      <c r="F15" s="12" t="s">
        <v>14</v>
      </c>
      <c r="G15" s="12">
        <f>21+39+30+33+33+21+18+33+30+36+36+24+33+18+21+30+24+30+24+36</f>
        <v>570</v>
      </c>
      <c r="H15" s="12"/>
      <c r="I15" s="12">
        <f>G15/(G3*0.1865)</f>
        <v>12.8146761765053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</f>
        <v>44.7921864</v>
      </c>
      <c r="L15" s="12"/>
      <c r="M15" s="12">
        <f>(C14*K14+L14*D14)/1000</f>
        <v>1.749917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</f>
        <v>0.6625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2+0+2+2+2+0+2+0+2+2+0+2+0+2+0+2+0+2+0+2</f>
        <v>24</v>
      </c>
      <c r="H17" s="27"/>
      <c r="I17" s="12">
        <f>G17/(G3*0.1865)</f>
        <v>0.53956531269496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2+0+2+2+2+0+2+0+2+2+0+2+0+2+0+2+0+2+0+2</f>
        <v>24</v>
      </c>
      <c r="H18" s="27"/>
      <c r="I18" s="12">
        <f>G18/(G3*0.1865)</f>
        <v>0.53956531269496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4</v>
      </c>
      <c r="D19" s="9">
        <v>0</v>
      </c>
      <c r="E19" s="12">
        <f t="shared" si="1"/>
        <v>4</v>
      </c>
      <c r="F19" s="12" t="s">
        <v>36</v>
      </c>
      <c r="G19" s="12">
        <f>10+5+7+21+9+6+7+6+11+11+8+8+6+5+4+10+10+10+10+4</f>
        <v>168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589</v>
      </c>
      <c r="D20" s="9">
        <v>510</v>
      </c>
      <c r="E20" s="12">
        <f t="shared" si="1"/>
        <v>1099</v>
      </c>
      <c r="F20" s="12" t="s">
        <v>27</v>
      </c>
      <c r="G20" s="12">
        <f>1011+1084+1036+1277+854+1124+787+1194+1035+1351+1157+1170+1119+749+828+968+955+899+1310+1099</f>
        <v>21007</v>
      </c>
      <c r="H20" s="28"/>
      <c r="I20" s="12">
        <f>E20/M20</f>
        <v>45.7916666666667</v>
      </c>
      <c r="J20" s="22" t="s">
        <v>38</v>
      </c>
      <c r="K20" s="12">
        <f>18+24+24+24+15+21.5+13+20.5+18+24+24+24+24+17+17+24+24+18.5+24+24</f>
        <v>422.5</v>
      </c>
      <c r="L20" s="12">
        <f>G20/K20</f>
        <v>49.7207100591716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757</v>
      </c>
      <c r="D21" s="9">
        <v>541</v>
      </c>
      <c r="E21" s="12">
        <f t="shared" si="1"/>
        <v>1298</v>
      </c>
      <c r="F21" s="12" t="s">
        <v>27</v>
      </c>
      <c r="G21" s="12">
        <f>1281+1421+1306+1647+1060+1392+944+1503+1292+1749+1504+1463+1321+885+989+1313+1252+1065+1613+1298</f>
        <v>26298</v>
      </c>
      <c r="H21" s="27"/>
      <c r="I21" s="12">
        <f>E21/M20</f>
        <v>54.0833333333333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28.16</v>
      </c>
      <c r="D22" s="16">
        <v>25.24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117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118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119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11.86</v>
      </c>
      <c r="D30" s="12">
        <v>8.3</v>
      </c>
      <c r="E30" s="12">
        <f t="shared" si="2"/>
        <v>20.16</v>
      </c>
      <c r="F30" s="12" t="s">
        <v>27</v>
      </c>
      <c r="G30" s="12">
        <f>17.63+8.3+15.11+16.68+16.59+16.58+0+0+0+8.32+8.28+16.39+0+0+0+0+0+0+0+20.16</f>
        <v>144.04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8</v>
      </c>
      <c r="D31" s="12">
        <v>74.74</v>
      </c>
      <c r="E31" s="12">
        <f t="shared" si="2"/>
        <v>82.74</v>
      </c>
      <c r="F31" s="12" t="s">
        <v>27</v>
      </c>
      <c r="G31" s="12">
        <f>28+25+28+24+15+16+20+26+28+25+15+19+15+32+26+17+15+23+84+82.74</f>
        <v>563.74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</f>
        <v>58.1175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300</v>
      </c>
      <c r="D34" s="12">
        <v>306</v>
      </c>
      <c r="E34" s="12">
        <f t="shared" si="2"/>
        <v>606</v>
      </c>
      <c r="F34" s="12" t="s">
        <v>27</v>
      </c>
      <c r="G34" s="12">
        <f>620+619+610+632+626+623+310+603+607+603+609+584+337+49+202+208+276+327+538+606</f>
        <v>9589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507</v>
      </c>
      <c r="D35" s="12">
        <v>504</v>
      </c>
      <c r="E35" s="12">
        <f t="shared" si="2"/>
        <v>1011</v>
      </c>
      <c r="F35" s="12" t="s">
        <v>27</v>
      </c>
      <c r="G35" s="12">
        <f>901+911+932+914+912+877+753+854+820+759+785+736+761+0+591+368+0+462+965+1011</f>
        <v>14312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</f>
        <v>0</v>
      </c>
      <c r="H36" s="27"/>
      <c r="I36" s="9">
        <v>2190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</f>
        <v>0</v>
      </c>
      <c r="H37" s="27"/>
      <c r="I37" s="9">
        <v>181.5374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3</v>
      </c>
      <c r="D38" s="9">
        <v>4</v>
      </c>
      <c r="E38" s="12">
        <f>D38+C38</f>
        <v>7</v>
      </c>
      <c r="F38" s="12" t="s">
        <v>36</v>
      </c>
      <c r="G38" s="12">
        <f>0+0+2+0+3+0+0+0+0+2+0+3+0+12+1+5+10+0+5+7</f>
        <v>50</v>
      </c>
      <c r="H38" s="27"/>
      <c r="I38" s="12">
        <v>4</v>
      </c>
      <c r="J38" s="42" t="s">
        <v>120</v>
      </c>
      <c r="K38" s="32"/>
      <c r="L38" s="22" t="s">
        <v>121</v>
      </c>
      <c r="M38" s="15"/>
    </row>
    <row r="39" s="1" customFormat="1" ht="80" customHeight="1" spans="1:13">
      <c r="A39" s="9">
        <v>11</v>
      </c>
      <c r="B39" s="43" t="s">
        <v>45</v>
      </c>
      <c r="C39" s="32" t="s">
        <v>58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122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5.5</v>
      </c>
      <c r="D3" s="11">
        <v>3</v>
      </c>
      <c r="E3" s="12">
        <f t="shared" ref="E3:E12" si="0">C3+D3</f>
        <v>8.5</v>
      </c>
      <c r="F3" s="12" t="s">
        <v>14</v>
      </c>
      <c r="G3" s="12">
        <f>8.5+16+13+13+16+7.5+12+8+14+16.5+14.5+11.5+13.5+10+5.5+12.5+9.5+13.5+9.5+14+8.5</f>
        <v>247</v>
      </c>
      <c r="H3" s="12">
        <v>340</v>
      </c>
      <c r="I3" s="12">
        <f>H3-G3</f>
        <v>93</v>
      </c>
      <c r="J3" s="13"/>
      <c r="K3" s="12"/>
      <c r="L3" s="12"/>
      <c r="M3" s="12">
        <f>I3/10</f>
        <v>9.3</v>
      </c>
    </row>
    <row r="4" s="1" customFormat="1" ht="38" customHeight="1" spans="1:13">
      <c r="A4" s="16">
        <v>2</v>
      </c>
      <c r="B4" s="10" t="s">
        <v>15</v>
      </c>
      <c r="C4" s="11">
        <v>14</v>
      </c>
      <c r="D4" s="11"/>
      <c r="E4" s="12">
        <f t="shared" si="0"/>
        <v>14</v>
      </c>
      <c r="F4" s="12" t="s">
        <v>14</v>
      </c>
      <c r="G4" s="12">
        <f>12+10+18+10+14+16+8+10+10+12+18+14+12+14+10+4+14+8+14+10+14</f>
        <v>252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81</v>
      </c>
      <c r="D5" s="12">
        <v>80</v>
      </c>
      <c r="E5" s="12">
        <f t="shared" si="0"/>
        <v>161</v>
      </c>
      <c r="F5" s="12" t="s">
        <v>14</v>
      </c>
      <c r="G5" s="12">
        <f>127+161+174+183+112+177+87+146+147+209+196+191+145+92+120+147+159+86+182+152+161</f>
        <v>3154</v>
      </c>
      <c r="H5" s="12">
        <v>5239</v>
      </c>
      <c r="I5" s="12">
        <f>H5-G5-G7-G6</f>
        <v>2084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1</v>
      </c>
      <c r="E7" s="12">
        <f t="shared" si="0"/>
        <v>1</v>
      </c>
      <c r="F7" s="12" t="s">
        <v>14</v>
      </c>
      <c r="G7" s="12">
        <f>0+0+0+0+0+0+0+0+0+0+0+0+0+0+0+0+0+0+0+0+1</f>
        <v>1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40.98</v>
      </c>
      <c r="D9" s="17"/>
      <c r="E9" s="12">
        <f t="shared" si="0"/>
        <v>40.98</v>
      </c>
      <c r="F9" s="17" t="s">
        <v>14</v>
      </c>
      <c r="G9" s="12">
        <f>116.84+61.93+0+0+0+41.52+0+37.57+0+0+0+40.96+30.91+40.68+31.37+31.83+81.7+0+112.9+0+40.98</f>
        <v>669.19</v>
      </c>
      <c r="H9" s="17">
        <v>6.27</v>
      </c>
      <c r="I9" s="17">
        <f>H9-K10</f>
        <v>0.498720999999999</v>
      </c>
      <c r="J9" s="22" t="s">
        <v>107</v>
      </c>
      <c r="K9" s="17">
        <v>110</v>
      </c>
      <c r="L9" s="17">
        <v>0.84</v>
      </c>
      <c r="M9" s="46"/>
    </row>
    <row r="10" s="1" customFormat="1" ht="25" customHeight="1" spans="1:13">
      <c r="A10" s="9">
        <v>5</v>
      </c>
      <c r="B10" s="10" t="s">
        <v>22</v>
      </c>
      <c r="C10" s="12">
        <v>6.183</v>
      </c>
      <c r="D10" s="12">
        <v>0</v>
      </c>
      <c r="E10" s="12">
        <f t="shared" si="0"/>
        <v>6.183</v>
      </c>
      <c r="F10" s="12" t="s">
        <v>14</v>
      </c>
      <c r="G10" s="12">
        <f>9.8415+8.019+6.237+13.635+8.1135+6.9255+7.3035+4.6305+6.345+9.3285+10.476+8.7075+9.369+5.481+4.752+9.5715+6.5475+5.643+7.668+9.4365+6.183</f>
        <v>164.214</v>
      </c>
      <c r="H10" s="12"/>
      <c r="I10" s="12">
        <f>G10/(G3*0.1865)</f>
        <v>3.56479360910009</v>
      </c>
      <c r="J10" s="22" t="s">
        <v>23</v>
      </c>
      <c r="K10" s="23">
        <f>0.946404+0.526405+0+0+0+0.369528+0+0.345644+0+0+0+0.335872+0.265826+0.357984+0.288604+0.28647+0.71079+0+0.99352+0+0.344232</f>
        <v>5.771279</v>
      </c>
      <c r="L10" s="12"/>
      <c r="M10" s="12">
        <f>C9*L9/100</f>
        <v>0.344232</v>
      </c>
    </row>
    <row r="11" s="1" customFormat="1" ht="25" customHeight="1" spans="1:13">
      <c r="A11" s="9">
        <v>6</v>
      </c>
      <c r="B11" s="10" t="s">
        <v>24</v>
      </c>
      <c r="C11" s="12">
        <v>13.7632</v>
      </c>
      <c r="D11" s="12">
        <v>0</v>
      </c>
      <c r="E11" s="12">
        <f t="shared" si="0"/>
        <v>13.7632</v>
      </c>
      <c r="F11" s="12" t="s">
        <v>14</v>
      </c>
      <c r="G11" s="12">
        <f>16.8544+8.4824+14.9408+17.5168+16.9464+4.3424+22.08+11.8496+11.9232+17.0936+13.7264+18.86+11.3528+15.1432+10.2856+10.8744+14.7016+17.572+8.8872+16.7808+13.7632</f>
        <v>293.9768</v>
      </c>
      <c r="H11" s="12"/>
      <c r="I11" s="12">
        <f>G11/(G3*0.1865)</f>
        <v>6.38171299562579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192</v>
      </c>
      <c r="D12" s="12">
        <v>206</v>
      </c>
      <c r="E12" s="12">
        <f t="shared" si="0"/>
        <v>398</v>
      </c>
      <c r="F12" s="12"/>
      <c r="G12" s="12">
        <f>280+495+437+544+380+394+300+578+329+529+497+482+462+323+318+459+442+366+444+461+398</f>
        <v>8918</v>
      </c>
      <c r="H12" s="12">
        <f>G12*1.05</f>
        <v>9363.9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135</v>
      </c>
      <c r="D13" s="12">
        <v>93</v>
      </c>
      <c r="E13" s="12">
        <f t="shared" ref="E13:E21" si="1">D13+C13</f>
        <v>228</v>
      </c>
      <c r="F13" s="12" t="s">
        <v>27</v>
      </c>
      <c r="G13" s="12">
        <f>282+436+387+416+376+286+243+396+353+470+428+288+421+233+281+359+301+336+354+395+228</f>
        <v>7269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317</v>
      </c>
      <c r="D14" s="12">
        <v>379.86</v>
      </c>
      <c r="E14" s="12">
        <f t="shared" si="1"/>
        <v>696.86</v>
      </c>
      <c r="F14" s="12" t="s">
        <v>27</v>
      </c>
      <c r="G14" s="12">
        <f>677.66+732.19+798.94+881.44+519.28+837+784.96+736.12+741.94+781.75+680.65+708.72+773.6+377.6+563.1+636.47+803.32+689.35+755.61+562.27+696.86</f>
        <v>14738.83</v>
      </c>
      <c r="H14" s="12"/>
      <c r="I14" s="12"/>
      <c r="J14" s="22" t="s">
        <v>29</v>
      </c>
      <c r="K14" s="12">
        <v>3.35</v>
      </c>
      <c r="L14" s="12">
        <v>3.98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6</v>
      </c>
      <c r="E15" s="12">
        <f t="shared" si="1"/>
        <v>21</v>
      </c>
      <c r="F15" s="12" t="s">
        <v>14</v>
      </c>
      <c r="G15" s="12">
        <f>21+39+30+33+33+21+18+33+30+36+36+24+33+18+21+30+24+30+24+36+21</f>
        <v>591</v>
      </c>
      <c r="H15" s="12"/>
      <c r="I15" s="12">
        <f>G15/(G3*0.1865)</f>
        <v>12.8295579121034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</f>
        <v>47.3659792</v>
      </c>
      <c r="L15" s="12"/>
      <c r="M15" s="12">
        <f>(C14*K14+L14*D14)/1000</f>
        <v>2.5737928</v>
      </c>
    </row>
    <row r="16" s="1" customFormat="1" ht="25" customHeight="1" spans="1:13">
      <c r="A16" s="9">
        <v>11</v>
      </c>
      <c r="B16" s="10" t="s">
        <v>32</v>
      </c>
      <c r="C16" s="9">
        <v>0.075</v>
      </c>
      <c r="D16" s="9">
        <v>0.075</v>
      </c>
      <c r="E16" s="12">
        <f t="shared" si="1"/>
        <v>0.15</v>
      </c>
      <c r="F16" s="12" t="s">
        <v>14</v>
      </c>
      <c r="G16" s="12">
        <f>0.0125+0+0+0.075+0+0.0875+0.05+0.05+0+0+0+0.125+0+0.075+0+0.075+0.1125+0+0+0+0.15</f>
        <v>0.8125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2+0+2+2+2+0+2+0+2+2+0+2+0+2+0+2+0+2+0+2+2</f>
        <v>26</v>
      </c>
      <c r="H17" s="27"/>
      <c r="I17" s="12">
        <f>G17/(G3*0.1865)</f>
        <v>0.564413715253281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2+0+2+2+2+0+2+0+2+2+0+2+0+2+0+2+0+2+0+2+2</f>
        <v>26</v>
      </c>
      <c r="H18" s="27"/>
      <c r="I18" s="12">
        <f>G18/(G3*0.1865)</f>
        <v>0.564413715253281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4</v>
      </c>
      <c r="D19" s="9">
        <v>8</v>
      </c>
      <c r="E19" s="12">
        <f t="shared" si="1"/>
        <v>12</v>
      </c>
      <c r="F19" s="12" t="s">
        <v>36</v>
      </c>
      <c r="G19" s="12">
        <f>10+5+7+21+9+6+7+6+11+11+8+8+6+5+4+10+10+10+10+4+12</f>
        <v>180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465</v>
      </c>
      <c r="D20" s="9">
        <v>564</v>
      </c>
      <c r="E20" s="12">
        <f t="shared" si="1"/>
        <v>1029</v>
      </c>
      <c r="F20" s="12" t="s">
        <v>27</v>
      </c>
      <c r="G20" s="12">
        <f>1011+1084+1036+1277+854+1124+787+1194+1035+1351+1157+1170+1119+749+828+968+955+899+1310+1099+1029</f>
        <v>22036</v>
      </c>
      <c r="H20" s="28"/>
      <c r="I20" s="12">
        <f>E20/M20</f>
        <v>42.875</v>
      </c>
      <c r="J20" s="22" t="s">
        <v>38</v>
      </c>
      <c r="K20" s="12">
        <f>18+24+24+24+15+21.5+13+20.5+18+24+24+24+24+17+17+24+24+18.5+24+24+24</f>
        <v>446.5</v>
      </c>
      <c r="L20" s="12">
        <f>G20/K20</f>
        <v>49.3527435610302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603</v>
      </c>
      <c r="D21" s="9">
        <v>658</v>
      </c>
      <c r="E21" s="12">
        <f t="shared" si="1"/>
        <v>1261</v>
      </c>
      <c r="F21" s="12" t="s">
        <v>27</v>
      </c>
      <c r="G21" s="12">
        <f>1281+1421+1306+1647+1060+1392+944+1503+1292+1749+1504+1463+1321+885+989+1313+1252+1065+1613+1298+1261</f>
        <v>27559</v>
      </c>
      <c r="H21" s="27"/>
      <c r="I21" s="12">
        <f>E21/M20</f>
        <v>52.5416666666667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27.58</v>
      </c>
      <c r="D22" s="16">
        <v>30.59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123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124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125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8.28</v>
      </c>
      <c r="D30" s="12">
        <v>8.3</v>
      </c>
      <c r="E30" s="12">
        <f t="shared" si="2"/>
        <v>16.58</v>
      </c>
      <c r="F30" s="12" t="s">
        <v>27</v>
      </c>
      <c r="G30" s="12">
        <f>17.63+8.3+15.11+16.68+16.59+16.58+0+0+0+8.32+8.28+16.39+0+0+0+0+0+0+0+20.16+16.58</f>
        <v>160.62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6</v>
      </c>
      <c r="D31" s="12">
        <v>27</v>
      </c>
      <c r="E31" s="12">
        <f t="shared" si="2"/>
        <v>33</v>
      </c>
      <c r="F31" s="12" t="s">
        <v>27</v>
      </c>
      <c r="G31" s="12">
        <f>28+25+28+24+15+16+20+26+28+25+15+19+15+32+26+17+15+23+84+82.74+33</f>
        <v>596.74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10.8405</v>
      </c>
      <c r="D32" s="12">
        <v>0</v>
      </c>
      <c r="E32" s="12">
        <f t="shared" si="2"/>
        <v>10.8405</v>
      </c>
      <c r="F32" s="12" t="s">
        <v>14</v>
      </c>
      <c r="G32" s="12">
        <f>4.509+7.7625+0+10.5435+7.7085+9.288+0+0+0+0+8.127+10.179+0+0+0+0+0+0+0+0+10.8405</f>
        <v>68.958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220</v>
      </c>
      <c r="D34" s="12">
        <v>288</v>
      </c>
      <c r="E34" s="12">
        <f t="shared" si="2"/>
        <v>508</v>
      </c>
      <c r="F34" s="12" t="s">
        <v>27</v>
      </c>
      <c r="G34" s="12">
        <f>620+619+610+632+626+623+310+603+607+603+609+584+337+49+202+208+276+327+538+606+508</f>
        <v>10097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427</v>
      </c>
      <c r="D35" s="12">
        <v>508</v>
      </c>
      <c r="E35" s="12">
        <f t="shared" si="2"/>
        <v>935</v>
      </c>
      <c r="F35" s="12" t="s">
        <v>27</v>
      </c>
      <c r="G35" s="12">
        <f>901+911+932+914+912+877+753+854+820+759+785+736+761+0+591+368+0+462+965+1011+935</f>
        <v>15247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</f>
        <v>0</v>
      </c>
      <c r="H36" s="27"/>
      <c r="I36" s="9">
        <v>2085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</f>
        <v>0</v>
      </c>
      <c r="H37" s="27"/>
      <c r="I37" s="9">
        <v>158.0852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2</v>
      </c>
      <c r="D38" s="9">
        <v>0</v>
      </c>
      <c r="E38" s="12">
        <f>D38+C38</f>
        <v>2</v>
      </c>
      <c r="F38" s="12" t="s">
        <v>36</v>
      </c>
      <c r="G38" s="12">
        <f>0+0+2+0+3+0+0+0+0+2+0+3+0+12+1+5+10+0+5+7+2</f>
        <v>52</v>
      </c>
      <c r="H38" s="27"/>
      <c r="I38" s="12">
        <v>2</v>
      </c>
      <c r="J38" s="42"/>
      <c r="K38" s="32"/>
      <c r="L38" s="22" t="s">
        <v>121</v>
      </c>
      <c r="M38" s="9">
        <v>57</v>
      </c>
    </row>
    <row r="39" s="1" customFormat="1" ht="80" customHeight="1" spans="1:13">
      <c r="A39" s="9">
        <v>11</v>
      </c>
      <c r="B39" s="43" t="s">
        <v>45</v>
      </c>
      <c r="C39" s="32" t="s">
        <v>126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127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5</v>
      </c>
      <c r="D3" s="11">
        <v>5</v>
      </c>
      <c r="E3" s="12">
        <f t="shared" ref="E3:E12" si="0">C3+D3</f>
        <v>10</v>
      </c>
      <c r="F3" s="12" t="s">
        <v>14</v>
      </c>
      <c r="G3" s="12">
        <f>8.5+16+13+13+16+7.5+12+8+14+16.5+14.5+11.5+13.5+10+5.5+12.5+9.5+13.5+9.5+14+8.5+10</f>
        <v>257</v>
      </c>
      <c r="H3" s="12">
        <v>340</v>
      </c>
      <c r="I3" s="12">
        <f>H3-G3</f>
        <v>83</v>
      </c>
      <c r="J3" s="13"/>
      <c r="K3" s="12"/>
      <c r="L3" s="12"/>
      <c r="M3" s="12">
        <f>I3/9</f>
        <v>9.22222222222222</v>
      </c>
    </row>
    <row r="4" s="1" customFormat="1" ht="38" customHeight="1" spans="1:13">
      <c r="A4" s="16">
        <v>2</v>
      </c>
      <c r="B4" s="10" t="s">
        <v>15</v>
      </c>
      <c r="C4" s="11">
        <v>8</v>
      </c>
      <c r="D4" s="11"/>
      <c r="E4" s="12">
        <f t="shared" si="0"/>
        <v>8</v>
      </c>
      <c r="F4" s="12" t="s">
        <v>14</v>
      </c>
      <c r="G4" s="12">
        <f>12+10+18+10+14+16+8+10+10+12+18+14+12+14+10+4+14+8+14+10+14+8</f>
        <v>260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69</v>
      </c>
      <c r="D5" s="12">
        <v>75</v>
      </c>
      <c r="E5" s="12">
        <f t="shared" si="0"/>
        <v>144</v>
      </c>
      <c r="F5" s="12" t="s">
        <v>14</v>
      </c>
      <c r="G5" s="12">
        <f>127+161+174+183+112+177+87+146+147+209+196+191+145+92+120+147+159+86+182+152+161+144</f>
        <v>3298</v>
      </c>
      <c r="H5" s="12">
        <v>5239</v>
      </c>
      <c r="I5" s="12">
        <f>H5-G5-G7-G6</f>
        <v>1940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0+0+0+0+0+0+0+0+0+0+0+0+0+0+0+0+0+0+0+0+1+0</f>
        <v>1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71.56</v>
      </c>
      <c r="D9" s="17"/>
      <c r="E9" s="12">
        <f t="shared" si="0"/>
        <v>71.56</v>
      </c>
      <c r="F9" s="17" t="s">
        <v>14</v>
      </c>
      <c r="G9" s="12">
        <f>116.84+61.93+0+0+0+41.52+0+37.57+0+0+0+40.96+30.91+40.68+31.37+31.83+81.7+0+112.9+0+40.98+71.56</f>
        <v>740.75</v>
      </c>
      <c r="H9" s="17">
        <v>6.27</v>
      </c>
      <c r="I9" s="17">
        <f>H9-K10</f>
        <v>-0.102383000000001</v>
      </c>
      <c r="J9" s="22" t="s">
        <v>107</v>
      </c>
      <c r="K9" s="17">
        <v>50</v>
      </c>
      <c r="L9" s="17">
        <v>0.84</v>
      </c>
      <c r="M9" s="46"/>
    </row>
    <row r="10" s="1" customFormat="1" ht="25" customHeight="1" spans="1:13">
      <c r="A10" s="9">
        <v>5</v>
      </c>
      <c r="B10" s="10" t="s">
        <v>22</v>
      </c>
      <c r="C10" s="12">
        <v>7.02</v>
      </c>
      <c r="D10" s="12">
        <v>0</v>
      </c>
      <c r="E10" s="12">
        <f t="shared" si="0"/>
        <v>7.02</v>
      </c>
      <c r="F10" s="12" t="s">
        <v>14</v>
      </c>
      <c r="G10" s="12">
        <f>9.8415+8.019+6.237+13.635+8.1135+6.9255+7.3035+4.6305+6.345+9.3285+10.476+8.7075+9.369+5.481+4.752+9.5715+6.5475+5.643+7.668+9.4365+6.183+7.02</f>
        <v>171.234</v>
      </c>
      <c r="H10" s="12"/>
      <c r="I10" s="12">
        <f>G10/(G3*0.1865)</f>
        <v>3.57254775143176</v>
      </c>
      <c r="J10" s="22" t="s">
        <v>23</v>
      </c>
      <c r="K10" s="23">
        <f>0.946404+0.526405+0+0+0+0.369528+0+0.345644+0+0+0+0.335872+0.265826+0.357984+0.288604+0.28647+0.71079+0+0.99352+0+0.344232+0.601104</f>
        <v>6.372383</v>
      </c>
      <c r="L10" s="12"/>
      <c r="M10" s="12">
        <f>C9*L9/100</f>
        <v>0.601104</v>
      </c>
    </row>
    <row r="11" s="1" customFormat="1" ht="25" customHeight="1" spans="1:13">
      <c r="A11" s="9">
        <v>6</v>
      </c>
      <c r="B11" s="10" t="s">
        <v>24</v>
      </c>
      <c r="C11" s="12">
        <v>13.9656</v>
      </c>
      <c r="D11" s="12">
        <v>0</v>
      </c>
      <c r="E11" s="12">
        <f t="shared" si="0"/>
        <v>13.9656</v>
      </c>
      <c r="F11" s="12" t="s">
        <v>14</v>
      </c>
      <c r="G11" s="12">
        <f>16.8544+8.4824+14.9408+17.5168+16.9464+4.3424+22.08+11.8496+11.9232+17.0936+13.7264+18.86+11.3528+15.1432+10.2856+10.8744+14.7016+17.572+8.8872+16.7808+13.7632+13.9656</f>
        <v>307.9424</v>
      </c>
      <c r="H11" s="12"/>
      <c r="I11" s="12">
        <f>G11/(G3*0.1865)</f>
        <v>6.42476919706658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187</v>
      </c>
      <c r="D12" s="12">
        <v>229</v>
      </c>
      <c r="E12" s="12">
        <f t="shared" si="0"/>
        <v>416</v>
      </c>
      <c r="F12" s="12"/>
      <c r="G12" s="12">
        <f>280+495+437+544+380+394+300+578+329+529+497+482+462+323+318+459+442+366+444+461+398+416</f>
        <v>9334</v>
      </c>
      <c r="H12" s="12">
        <f>G12*1.05</f>
        <v>9800.7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187</v>
      </c>
      <c r="D13" s="12">
        <v>157</v>
      </c>
      <c r="E13" s="12">
        <f t="shared" ref="E13:E21" si="1">D13+C13</f>
        <v>344</v>
      </c>
      <c r="F13" s="12" t="s">
        <v>27</v>
      </c>
      <c r="G13" s="12">
        <f>282+436+387+416+376+286+243+396+353+470+428+288+421+233+281+359+301+336+354+395+228+344</f>
        <v>7613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364.59</v>
      </c>
      <c r="D14" s="12">
        <v>128.82</v>
      </c>
      <c r="E14" s="12">
        <f t="shared" si="1"/>
        <v>493.41</v>
      </c>
      <c r="F14" s="12" t="s">
        <v>27</v>
      </c>
      <c r="G14" s="12">
        <f>677.66+732.19+798.94+881.44+519.28+837+784.96+736.12+741.94+781.75+680.65+708.72+773.6+377.6+563.1+636.47+803.32+689.35+755.61+562.27+696.86+493.41</f>
        <v>15232.24</v>
      </c>
      <c r="H14" s="12"/>
      <c r="I14" s="12"/>
      <c r="J14" s="22" t="s">
        <v>29</v>
      </c>
      <c r="K14" s="12">
        <v>3.06</v>
      </c>
      <c r="L14" s="12">
        <v>3.13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12</v>
      </c>
      <c r="E15" s="12">
        <f t="shared" si="1"/>
        <v>27</v>
      </c>
      <c r="F15" s="12" t="s">
        <v>14</v>
      </c>
      <c r="G15" s="12">
        <f>21+39+30+33+33+21+18+33+30+36+36+24+33+18+21+30+24+30+24+36+21+27</f>
        <v>618</v>
      </c>
      <c r="H15" s="12"/>
      <c r="I15" s="12">
        <f>G15/(G3*0.1865)</f>
        <v>12.893668958179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</f>
        <v>48.8848312</v>
      </c>
      <c r="L15" s="12"/>
      <c r="M15" s="12">
        <f>(C14*K14+L14*D14)/1000</f>
        <v>1.518852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0.0125+0+0+0.075+0+0.0875+0.05+0.05+0+0+0+0.125+0+0.075+0+0.075+0.1125+0+0+0+0.15+0</f>
        <v>0.8125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2+0+2+2+2+0+2+0+2+2+0+2+0+2+0+2+0+2+0+2+2+2</f>
        <v>28</v>
      </c>
      <c r="H17" s="27"/>
      <c r="I17" s="12">
        <f>G17/(G3*0.1865)</f>
        <v>0.584179176098726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2+0+2+2+2+0+2+0+2+2+0+2+0+2+0+2+0+2+0+2+2+2</f>
        <v>28</v>
      </c>
      <c r="H18" s="27"/>
      <c r="I18" s="12">
        <f>G18/(G3*0.1865)</f>
        <v>0.584179176098726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3</v>
      </c>
      <c r="D19" s="9">
        <v>3</v>
      </c>
      <c r="E19" s="12">
        <f t="shared" si="1"/>
        <v>6</v>
      </c>
      <c r="F19" s="12" t="s">
        <v>36</v>
      </c>
      <c r="G19" s="12">
        <f>10+5+7+21+9+6+7+6+11+11+8+8+6+5+4+10+10+10+10+4+12+6</f>
        <v>186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572</v>
      </c>
      <c r="D20" s="9">
        <v>512</v>
      </c>
      <c r="E20" s="12">
        <f t="shared" si="1"/>
        <v>1084</v>
      </c>
      <c r="F20" s="12" t="s">
        <v>27</v>
      </c>
      <c r="G20" s="12">
        <f>1011+1084+1036+1277+854+1124+787+1194+1035+1351+1157+1170+1119+749+828+968+955+899+1310+1099+1029+1084</f>
        <v>23120</v>
      </c>
      <c r="H20" s="28"/>
      <c r="I20" s="12">
        <f>E20/M20</f>
        <v>46.1276595744681</v>
      </c>
      <c r="J20" s="22" t="s">
        <v>38</v>
      </c>
      <c r="K20" s="12">
        <f>18+24+24+24+15+21.5+13+20.5+18+24+24+24+24+17+17+24+24+18.5+24+24+24+23.5</f>
        <v>470</v>
      </c>
      <c r="L20" s="12">
        <f>G20/K20</f>
        <v>49.1914893617021</v>
      </c>
      <c r="M20" s="12">
        <v>23.5</v>
      </c>
    </row>
    <row r="21" s="1" customFormat="1" ht="25" customHeight="1" spans="1:13">
      <c r="A21" s="16">
        <v>16</v>
      </c>
      <c r="B21" s="10" t="s">
        <v>39</v>
      </c>
      <c r="C21" s="9">
        <v>590</v>
      </c>
      <c r="D21" s="9">
        <v>623</v>
      </c>
      <c r="E21" s="12">
        <f t="shared" si="1"/>
        <v>1213</v>
      </c>
      <c r="F21" s="12" t="s">
        <v>27</v>
      </c>
      <c r="G21" s="12">
        <f>1281+1421+1306+1647+1060+1392+944+1503+1292+1749+1504+1463+1321+885+989+1313+1252+1065+1613+1298+1261+1213</f>
        <v>28772</v>
      </c>
      <c r="H21" s="27"/>
      <c r="I21" s="12">
        <f>E21/M20</f>
        <v>51.6170212765957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30.72</v>
      </c>
      <c r="D22" s="16">
        <v>27.69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129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130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131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8.27</v>
      </c>
      <c r="D30" s="12">
        <v>8.28</v>
      </c>
      <c r="E30" s="12">
        <f t="shared" si="2"/>
        <v>16.55</v>
      </c>
      <c r="F30" s="12" t="s">
        <v>27</v>
      </c>
      <c r="G30" s="12">
        <f>17.63+8.3+15.11+16.68+16.59+16.58+0+0+0+8.32+8.28+16.39+0+0+0+0+0+0+0+20.16+16.58+16.55</f>
        <v>177.17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17</v>
      </c>
      <c r="D31" s="12">
        <v>8</v>
      </c>
      <c r="E31" s="12">
        <f t="shared" si="2"/>
        <v>25</v>
      </c>
      <c r="F31" s="12" t="s">
        <v>27</v>
      </c>
      <c r="G31" s="12">
        <f>28+25+28+24+15+16+20+26+28+25+15+19+15+32+26+17+15+23+84+82.74+33+25</f>
        <v>621.74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4.509+7.7625+0+10.5435+7.7085+9.288+0+0+0+0+8.127+10.179+0+0+0+0+0+0+0+0+10.8405+0</f>
        <v>68.958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0</v>
      </c>
      <c r="D34" s="12">
        <v>283</v>
      </c>
      <c r="E34" s="12">
        <f t="shared" si="2"/>
        <v>283</v>
      </c>
      <c r="F34" s="12" t="s">
        <v>27</v>
      </c>
      <c r="G34" s="12">
        <f>620+619+610+632+626+623+310+603+607+603+609+584+337+49+202+208+276+327+538+606+508+283</f>
        <v>10380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507</v>
      </c>
      <c r="D35" s="12">
        <v>509</v>
      </c>
      <c r="E35" s="12">
        <f t="shared" si="2"/>
        <v>1016</v>
      </c>
      <c r="F35" s="12" t="s">
        <v>27</v>
      </c>
      <c r="G35" s="12">
        <f>901+911+932+914+912+877+753+854+820+759+785+736+761+0+591+368+0+462+965+1011+935+1016</f>
        <v>16263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</f>
        <v>0</v>
      </c>
      <c r="H36" s="27"/>
      <c r="I36" s="9">
        <v>2122.5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</f>
        <v>0</v>
      </c>
      <c r="H37" s="27"/>
      <c r="I37" s="9">
        <v>155.4794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2</v>
      </c>
      <c r="D38" s="9">
        <v>1</v>
      </c>
      <c r="E38" s="12">
        <f>D38+C38</f>
        <v>3</v>
      </c>
      <c r="F38" s="12" t="s">
        <v>36</v>
      </c>
      <c r="G38" s="12">
        <f>0+0+2+0+3+0+0+0+0+2+0+3+0+12+1+5+10+0+5+7+2+3</f>
        <v>55</v>
      </c>
      <c r="H38" s="27"/>
      <c r="I38" s="12">
        <v>1</v>
      </c>
      <c r="J38" s="42"/>
      <c r="K38" s="32"/>
      <c r="L38" s="22" t="s">
        <v>121</v>
      </c>
      <c r="M38" s="9">
        <v>50</v>
      </c>
    </row>
    <row r="39" s="1" customFormat="1" ht="80" customHeight="1" spans="1:13">
      <c r="A39" s="9">
        <v>11</v>
      </c>
      <c r="B39" s="43" t="s">
        <v>45</v>
      </c>
      <c r="C39" s="32" t="s">
        <v>126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E19" sqref="E19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132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6</v>
      </c>
      <c r="D3" s="11">
        <v>3</v>
      </c>
      <c r="E3" s="12">
        <f t="shared" ref="E3:E12" si="0">C3+D3</f>
        <v>9</v>
      </c>
      <c r="F3" s="12" t="s">
        <v>14</v>
      </c>
      <c r="G3" s="12">
        <f>8.5+16+13+13+16+7.5+12+8+14+16.5+14.5+11.5+13.5+10+5.5+12.5+9.5+13.5+9.5+14+8.5+10+9</f>
        <v>266</v>
      </c>
      <c r="H3" s="12">
        <v>340</v>
      </c>
      <c r="I3" s="12">
        <f>H3-G3</f>
        <v>74</v>
      </c>
      <c r="J3" s="13"/>
      <c r="K3" s="12"/>
      <c r="L3" s="12"/>
      <c r="M3" s="12">
        <f>I3/8</f>
        <v>9.25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12+10+18+10+14+16+8+10+10+12+18+14+12+14+10+4+14+8+14+10+14+8+10</f>
        <v>270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0</v>
      </c>
      <c r="D5" s="12">
        <v>41</v>
      </c>
      <c r="E5" s="12">
        <f t="shared" si="0"/>
        <v>41</v>
      </c>
      <c r="F5" s="12" t="s">
        <v>14</v>
      </c>
      <c r="G5" s="12">
        <f>127+161+174+183+112+177+87+146+147+209+196+191+145+92+120+147+159+86+182+152+161+144+41</f>
        <v>3339</v>
      </c>
      <c r="H5" s="12">
        <v>5239</v>
      </c>
      <c r="I5" s="12">
        <f>H5-G5-G7-G6</f>
        <v>1899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0+0+0+0+0+0+0+0+0+0+0+0+0+0+0+0+0+0+0+0+1+0+0</f>
        <v>1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0+0+0+0+1+0+3+0+0+1+0+0+0+0+0+1+0+0+0+0+0+0+0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31.17</v>
      </c>
      <c r="D9" s="17"/>
      <c r="E9" s="12">
        <f t="shared" si="0"/>
        <v>31.17</v>
      </c>
      <c r="F9" s="17" t="s">
        <v>14</v>
      </c>
      <c r="G9" s="12">
        <f>116.84+61.93+0+0+0+41.52+0+37.57+0+0+0+40.96+30.91+40.68+31.37+31.83+81.7+0+112.9+0+40.98+71.56+31.17</f>
        <v>771.92</v>
      </c>
      <c r="H9" s="17">
        <v>6.27</v>
      </c>
      <c r="I9" s="17">
        <f>H9-K10</f>
        <v>-0.367328000000001</v>
      </c>
      <c r="J9" s="22" t="s">
        <v>107</v>
      </c>
      <c r="K9" s="17">
        <v>10</v>
      </c>
      <c r="L9" s="17">
        <v>0.85</v>
      </c>
      <c r="M9" s="46"/>
    </row>
    <row r="10" s="1" customFormat="1" ht="25" customHeight="1" spans="1:13">
      <c r="A10" s="9">
        <v>5</v>
      </c>
      <c r="B10" s="10" t="s">
        <v>22</v>
      </c>
      <c r="C10" s="12">
        <v>4.347</v>
      </c>
      <c r="D10" s="12">
        <v>0</v>
      </c>
      <c r="E10" s="12">
        <f t="shared" si="0"/>
        <v>4.347</v>
      </c>
      <c r="F10" s="12" t="s">
        <v>14</v>
      </c>
      <c r="G10" s="12">
        <f>9.8415+8.019+6.237+13.635+8.1135+6.9255+7.3035+4.6305+6.345+9.3285+10.476+8.7075+9.369+5.481+4.752+9.5715+6.5475+5.643+7.668+9.4365+6.183+7.02+4.347</f>
        <v>175.581</v>
      </c>
      <c r="H10" s="12"/>
      <c r="I10" s="12">
        <f>G10/(G3*0.1865)</f>
        <v>3.53929730492451</v>
      </c>
      <c r="J10" s="22" t="s">
        <v>23</v>
      </c>
      <c r="K10" s="23">
        <f>0.946404+0.526405+0+0+0+0.369528+0+0.345644+0+0+0+0.335872+0.265826+0.357984+0.288604+0.28647+0.71079+0+0.99352+0+0.344232+0.601104+0.264945</f>
        <v>6.637328</v>
      </c>
      <c r="L10" s="12"/>
      <c r="M10" s="12">
        <f>C9*L9/100</f>
        <v>0.264945</v>
      </c>
    </row>
    <row r="11" s="1" customFormat="1" ht="25" customHeight="1" spans="1:13">
      <c r="A11" s="9">
        <v>6</v>
      </c>
      <c r="B11" s="10" t="s">
        <v>24</v>
      </c>
      <c r="C11" s="12">
        <v>6.8816</v>
      </c>
      <c r="D11" s="12">
        <v>0</v>
      </c>
      <c r="E11" s="12">
        <f t="shared" si="0"/>
        <v>6.8816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</f>
        <v>314.824</v>
      </c>
      <c r="H11" s="12"/>
      <c r="I11" s="12">
        <f>G11/(G3*0.1865)</f>
        <v>6.34610655324639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137</v>
      </c>
      <c r="D12" s="12">
        <v>18</v>
      </c>
      <c r="E12" s="12">
        <f t="shared" si="0"/>
        <v>155</v>
      </c>
      <c r="F12" s="12"/>
      <c r="G12" s="12">
        <f>280+495+437+544+380+394+300+578+329+529+497+482+462+323+318+459+442+366+444+461+398+416+155</f>
        <v>9489</v>
      </c>
      <c r="H12" s="12">
        <f>G12*1.05</f>
        <v>9963.45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150</v>
      </c>
      <c r="D13" s="12">
        <v>30</v>
      </c>
      <c r="E13" s="12">
        <f t="shared" ref="E13:E21" si="1">D13+C13</f>
        <v>180</v>
      </c>
      <c r="F13" s="12" t="s">
        <v>27</v>
      </c>
      <c r="G13" s="12">
        <f>282+436+387+416+376+286+243+396+353+470+428+288+421+233+281+359+301+336+354+395+228+344+180</f>
        <v>7793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132.56</v>
      </c>
      <c r="D14" s="12">
        <v>387.69</v>
      </c>
      <c r="E14" s="12">
        <f t="shared" si="1"/>
        <v>520.25</v>
      </c>
      <c r="F14" s="12" t="s">
        <v>27</v>
      </c>
      <c r="G14" s="12">
        <f>677.66+732.19+798.94+881.44+519.28+837+784.96+736.12+741.94+781.75+680.65+708.72+773.6+377.6+563.1+636.47+803.32+689.35+755.61+562.27+696.86+493.41+520.25</f>
        <v>15752.49</v>
      </c>
      <c r="H14" s="12"/>
      <c r="I14" s="12"/>
      <c r="J14" s="22" t="s">
        <v>29</v>
      </c>
      <c r="K14" s="12">
        <v>3.21</v>
      </c>
      <c r="L14" s="12">
        <v>3.18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3</v>
      </c>
      <c r="E15" s="12">
        <f t="shared" si="1"/>
        <v>18</v>
      </c>
      <c r="F15" s="12" t="s">
        <v>14</v>
      </c>
      <c r="G15" s="12">
        <f>21+39+30+33+33+21+18+33+30+36+36+24+33+18+21+30+24+30+24+36+21+27+18</f>
        <v>636</v>
      </c>
      <c r="H15" s="12"/>
      <c r="I15" s="12">
        <f>G15/(G3*0.1865)</f>
        <v>12.8202543893245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</f>
        <v>50.543203</v>
      </c>
      <c r="L15" s="12"/>
      <c r="M15" s="12">
        <f>(C14*K14+L14*D14)/1000</f>
        <v>1.6583718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0.0125+0+0+0.075+0+0.0875+0.05+0.05+0+0+0+0.125+0+0.075+0+0.075+0.1125+0+0+0+0.15+0+0</f>
        <v>0.8125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2+0+2+2+2+0+2+0+2+2+0+2+0+2+0+2+0+2+0+2+2+2+0</f>
        <v>28</v>
      </c>
      <c r="H17" s="27"/>
      <c r="I17" s="12">
        <f>G17/(G3*0.1865)</f>
        <v>0.564413715253281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2+0+2+2+2+0+2+0+2+2+0+2+0+2+0+2+0+2+0+2+2+2+0</f>
        <v>28</v>
      </c>
      <c r="H18" s="27"/>
      <c r="I18" s="12">
        <f>G18/(G3*0.1865)</f>
        <v>0.564413715253281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0</v>
      </c>
      <c r="D19" s="9">
        <v>3</v>
      </c>
      <c r="E19" s="12">
        <f t="shared" si="1"/>
        <v>3</v>
      </c>
      <c r="F19" s="12" t="s">
        <v>36</v>
      </c>
      <c r="G19" s="12">
        <f>10+5+7+21+9+6+7+6+11+11+8+8+6+5+4+10+10+10+10+4+12+6+3</f>
        <v>189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35</v>
      </c>
      <c r="D20" s="9">
        <v>413</v>
      </c>
      <c r="E20" s="12">
        <f t="shared" si="1"/>
        <v>448</v>
      </c>
      <c r="F20" s="12" t="s">
        <v>27</v>
      </c>
      <c r="G20" s="12">
        <f>1011+1084+1036+1277+854+1124+787+1194+1035+1351+1157+1170+1119+749+828+968+955+899+1310+1099+1029+1084+448</f>
        <v>23568</v>
      </c>
      <c r="H20" s="28"/>
      <c r="I20" s="12">
        <f>E20/M20</f>
        <v>56</v>
      </c>
      <c r="J20" s="22" t="s">
        <v>38</v>
      </c>
      <c r="K20" s="12">
        <f>18+24+24+24+15+21.5+13+20.5+18+24+24+24+24+17+17+24+24+18.5+24+24+24+23.5+8</f>
        <v>478</v>
      </c>
      <c r="L20" s="12">
        <f>G20/K20</f>
        <v>49.3054393305439</v>
      </c>
      <c r="M20" s="12">
        <v>8</v>
      </c>
    </row>
    <row r="21" s="1" customFormat="1" ht="25" customHeight="1" spans="1:13">
      <c r="A21" s="16">
        <v>16</v>
      </c>
      <c r="B21" s="10" t="s">
        <v>39</v>
      </c>
      <c r="C21" s="9">
        <v>101</v>
      </c>
      <c r="D21" s="9">
        <v>407</v>
      </c>
      <c r="E21" s="12">
        <f t="shared" si="1"/>
        <v>508</v>
      </c>
      <c r="F21" s="12" t="s">
        <v>27</v>
      </c>
      <c r="G21" s="12">
        <f>1281+1421+1306+1647+1060+1392+944+1503+1292+1749+1504+1463+1321+885+989+1313+1252+1065+1613+1298+1261+1213+508</f>
        <v>29280</v>
      </c>
      <c r="H21" s="27"/>
      <c r="I21" s="12">
        <f>E21/M20</f>
        <v>63.5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25.9</v>
      </c>
      <c r="D22" s="16">
        <v>24.88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133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134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8.34</v>
      </c>
      <c r="D30" s="12">
        <v>8.74</v>
      </c>
      <c r="E30" s="12">
        <f t="shared" si="2"/>
        <v>17.08</v>
      </c>
      <c r="F30" s="12" t="s">
        <v>27</v>
      </c>
      <c r="G30" s="12">
        <f>17.63+8.3+15.11+16.68+16.59+16.58+0+0+0+8.32+8.28+16.39+0+0+0+0+0+0+0+20.16+16.58+16.55+17.08</f>
        <v>194.25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8</v>
      </c>
      <c r="D31" s="12">
        <v>4</v>
      </c>
      <c r="E31" s="12">
        <f t="shared" si="2"/>
        <v>12</v>
      </c>
      <c r="F31" s="12" t="s">
        <v>27</v>
      </c>
      <c r="G31" s="12">
        <f>28+25+28+24+15+16+20+26+28+25+15+19+15+32+26+17+15+23+84+82.74+33+25+12</f>
        <v>633.74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6.8715</v>
      </c>
      <c r="D32" s="12">
        <v>0</v>
      </c>
      <c r="E32" s="12">
        <f t="shared" si="2"/>
        <v>6.8715</v>
      </c>
      <c r="F32" s="12" t="s">
        <v>14</v>
      </c>
      <c r="G32" s="12">
        <f>4.509+7.7625+0+10.5435+7.7085+9.288+0+0+0+0+8.127+10.179+0+0+0+0+0+0+0+0+10.8405+0+6.8715</f>
        <v>75.8295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278</v>
      </c>
      <c r="D34" s="12">
        <v>273</v>
      </c>
      <c r="E34" s="12">
        <f t="shared" si="2"/>
        <v>551</v>
      </c>
      <c r="F34" s="12" t="s">
        <v>27</v>
      </c>
      <c r="G34" s="12">
        <f>620+619+610+632+626+623+310+603+607+603+609+584+337+49+202+208+276+327+538+606+508+283+551</f>
        <v>10931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509</v>
      </c>
      <c r="D35" s="12">
        <v>510</v>
      </c>
      <c r="E35" s="12">
        <f t="shared" si="2"/>
        <v>1019</v>
      </c>
      <c r="F35" s="12" t="s">
        <v>27</v>
      </c>
      <c r="G35" s="12">
        <f>901+911+932+914+912+877+753+854+820+759+785+736+761+0+591+368+0+462+965+1011+935+1016+1019</f>
        <v>17282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</f>
        <v>0</v>
      </c>
      <c r="H36" s="27"/>
      <c r="I36" s="9">
        <v>1875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</f>
        <v>0</v>
      </c>
      <c r="H37" s="27"/>
      <c r="I37" s="9">
        <v>155.4794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2</v>
      </c>
      <c r="D38" s="9">
        <v>2</v>
      </c>
      <c r="E38" s="12">
        <f>D38+C38</f>
        <v>4</v>
      </c>
      <c r="F38" s="12" t="s">
        <v>36</v>
      </c>
      <c r="G38" s="12">
        <f>0+0+2+0+3+0+0+0+0+2+0+3+0+12+1+5+10+0+5+7+2+3+4</f>
        <v>59</v>
      </c>
      <c r="H38" s="27"/>
      <c r="I38" s="12">
        <v>1</v>
      </c>
      <c r="J38" s="42"/>
      <c r="K38" s="32"/>
      <c r="L38" s="22" t="s">
        <v>121</v>
      </c>
      <c r="M38" s="9">
        <v>43</v>
      </c>
    </row>
    <row r="39" s="1" customFormat="1" ht="80" customHeight="1" spans="1:13">
      <c r="A39" s="9">
        <v>11</v>
      </c>
      <c r="B39" s="43" t="s">
        <v>45</v>
      </c>
      <c r="C39" s="32" t="s">
        <v>126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135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2.5</v>
      </c>
      <c r="D3" s="11">
        <v>7</v>
      </c>
      <c r="E3" s="12">
        <f t="shared" ref="E3:E12" si="0">C3+D3</f>
        <v>9.5</v>
      </c>
      <c r="F3" s="12" t="s">
        <v>14</v>
      </c>
      <c r="G3" s="12">
        <f>8.5+16+13+13+16+7.5+12+8+14+16.5+14.5+11.5+13.5+10+5.5+12.5+9.5+13.5+9.5+14+8.5+10+9+9.5</f>
        <v>275.5</v>
      </c>
      <c r="H3" s="12">
        <v>340</v>
      </c>
      <c r="I3" s="12">
        <f>H3-G3</f>
        <v>64.5</v>
      </c>
      <c r="J3" s="13"/>
      <c r="K3" s="12"/>
      <c r="L3" s="12"/>
      <c r="M3" s="12">
        <f>I3/7</f>
        <v>9.21428571428571</v>
      </c>
    </row>
    <row r="4" s="1" customFormat="1" ht="38" customHeight="1" spans="1:13">
      <c r="A4" s="16">
        <v>2</v>
      </c>
      <c r="B4" s="10" t="s">
        <v>15</v>
      </c>
      <c r="C4" s="11">
        <v>8</v>
      </c>
      <c r="D4" s="11"/>
      <c r="E4" s="12">
        <f t="shared" si="0"/>
        <v>8</v>
      </c>
      <c r="F4" s="12" t="s">
        <v>14</v>
      </c>
      <c r="G4" s="12">
        <f>12+10+18+10+14+16+8+10+10+12+18+14+12+14+10+4+14+8+14+10+14+8+10+8</f>
        <v>278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100</v>
      </c>
      <c r="D5" s="12">
        <v>70</v>
      </c>
      <c r="E5" s="12">
        <f t="shared" si="0"/>
        <v>170</v>
      </c>
      <c r="F5" s="12" t="s">
        <v>14</v>
      </c>
      <c r="G5" s="12">
        <f>127+161+174+183+112+177+87+146+147+209+196+191+145+92+120+147+159+86+182+152+161+144+41+170</f>
        <v>3509</v>
      </c>
      <c r="H5" s="12">
        <v>5239</v>
      </c>
      <c r="I5" s="12">
        <f>H5-G5-G7-G6</f>
        <v>1728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1</v>
      </c>
      <c r="D7" s="12">
        <v>0</v>
      </c>
      <c r="E7" s="12">
        <f t="shared" si="0"/>
        <v>1</v>
      </c>
      <c r="F7" s="12" t="s">
        <v>14</v>
      </c>
      <c r="G7" s="12">
        <f>0+0+0+0+0+0+0+0+0+0+0+0+0+0+0+0+0+0+0+0+1+0+0+1</f>
        <v>2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0+0+0+0+1+0+3+0+0+1+0+0+0+0+0+1+0+0+0+0+0+0+0+0</f>
        <v>6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41.04</v>
      </c>
      <c r="D9" s="17"/>
      <c r="E9" s="12">
        <f t="shared" si="0"/>
        <v>41.04</v>
      </c>
      <c r="F9" s="17" t="s">
        <v>14</v>
      </c>
      <c r="G9" s="12">
        <f>116.84+61.93+0+0+0+41.52+0+37.57+0+0+0+40.96+30.91+40.68+31.37+31.83+81.7+0+112.9+0+40.98+71.56+31.17+41.04</f>
        <v>812.96</v>
      </c>
      <c r="H9" s="17">
        <v>6.27</v>
      </c>
      <c r="I9" s="17">
        <f>H9-K10</f>
        <v>-0.724376000000001</v>
      </c>
      <c r="J9" s="22" t="s">
        <v>107</v>
      </c>
      <c r="K9" s="17">
        <v>0</v>
      </c>
      <c r="L9" s="17">
        <v>0.87</v>
      </c>
      <c r="M9" s="46"/>
    </row>
    <row r="10" s="1" customFormat="1" ht="25" customHeight="1" spans="1:13">
      <c r="A10" s="9">
        <v>5</v>
      </c>
      <c r="B10" s="10" t="s">
        <v>22</v>
      </c>
      <c r="C10" s="12">
        <v>5.751</v>
      </c>
      <c r="D10" s="12">
        <v>1.9305</v>
      </c>
      <c r="E10" s="12">
        <f t="shared" si="0"/>
        <v>7.6815</v>
      </c>
      <c r="F10" s="12" t="s">
        <v>14</v>
      </c>
      <c r="G10" s="12">
        <f>9.8415+8.019+6.237+13.635+8.1135+6.9255+7.3035+4.6305+6.345+9.3285+10.476+8.7075+9.369+5.481+4.752+9.5715+6.5475+5.643+7.668+9.4365+6.183+7.02+4.347+7.6815</f>
        <v>183.2625</v>
      </c>
      <c r="H10" s="12"/>
      <c r="I10" s="12">
        <f>G10/(G3*0.1865)</f>
        <v>3.56675408591739</v>
      </c>
      <c r="J10" s="22" t="s">
        <v>23</v>
      </c>
      <c r="K10" s="23">
        <f>0.946404+0.526405+0+0+0+0.369528+0+0.345644+0+0+0+0.335872+0.265826+0.357984+0.288604+0.28647+0.71079+0+0.99352+0+0.344232+0.601104+0.264945+0.357048</f>
        <v>6.994376</v>
      </c>
      <c r="L10" s="12"/>
      <c r="M10" s="12">
        <f>C9*L9/100</f>
        <v>0.357048</v>
      </c>
    </row>
    <row r="11" s="1" customFormat="1" ht="25" customHeight="1" spans="1:13">
      <c r="A11" s="9">
        <v>6</v>
      </c>
      <c r="B11" s="10" t="s">
        <v>24</v>
      </c>
      <c r="C11" s="12">
        <v>15.8976</v>
      </c>
      <c r="D11" s="12">
        <v>0</v>
      </c>
      <c r="E11" s="12">
        <f t="shared" si="0"/>
        <v>15.8976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</f>
        <v>330.7216</v>
      </c>
      <c r="H11" s="12"/>
      <c r="I11" s="12">
        <f>G11/(G3*0.1865)</f>
        <v>6.43668299898308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209</v>
      </c>
      <c r="D12" s="12">
        <v>220</v>
      </c>
      <c r="E12" s="12">
        <f t="shared" si="0"/>
        <v>429</v>
      </c>
      <c r="F12" s="12"/>
      <c r="G12" s="12">
        <f>280+495+437+544+380+394+300+578+329+529+497+482+462+323+318+459+442+366+444+461+398+416+155+429</f>
        <v>9918</v>
      </c>
      <c r="H12" s="12">
        <f>G12*1.05</f>
        <v>10413.9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144</v>
      </c>
      <c r="D13" s="12">
        <v>201</v>
      </c>
      <c r="E13" s="12">
        <f t="shared" ref="E13:E21" si="1">D13+C13</f>
        <v>345</v>
      </c>
      <c r="F13" s="12" t="s">
        <v>27</v>
      </c>
      <c r="G13" s="12">
        <f>282+436+387+416+376+286+243+396+353+470+428+288+421+233+281+359+301+336+354+395+228+344+180+345</f>
        <v>8138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318.88</v>
      </c>
      <c r="D14" s="12">
        <v>305.03</v>
      </c>
      <c r="E14" s="12">
        <f t="shared" si="1"/>
        <v>623.91</v>
      </c>
      <c r="F14" s="12" t="s">
        <v>27</v>
      </c>
      <c r="G14" s="12">
        <f>677.66+732.19+798.94+881.44+519.28+837+784.96+736.12+741.94+781.75+680.65+708.72+773.6+377.6+563.1+636.47+803.32+689.35+755.61+562.27+696.86+493.41+520.25+623.91</f>
        <v>16376.4</v>
      </c>
      <c r="H14" s="12"/>
      <c r="I14" s="12"/>
      <c r="J14" s="22" t="s">
        <v>29</v>
      </c>
      <c r="K14" s="12">
        <v>3.17</v>
      </c>
      <c r="L14" s="12">
        <v>3.38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12</v>
      </c>
      <c r="D15" s="12">
        <v>15</v>
      </c>
      <c r="E15" s="12">
        <f t="shared" si="1"/>
        <v>27</v>
      </c>
      <c r="F15" s="12" t="s">
        <v>14</v>
      </c>
      <c r="G15" s="12">
        <f>21+39+30+33+33+21+18+33+30+36+36+24+33+18+21+30+24+30+24+36+21+27+18+27</f>
        <v>663</v>
      </c>
      <c r="H15" s="12"/>
      <c r="I15" s="12">
        <f>G15/(G3*0.1865)</f>
        <v>12.9036652832043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</f>
        <v>52.585054</v>
      </c>
      <c r="L15" s="12"/>
      <c r="M15" s="12">
        <f>(C14*K14+L14*D14)/1000</f>
        <v>2.041851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0.0125+0+0+0.075+0+0.0875+0.05+0.05+0+0+0+0.125+0+0.075+0+0.075+0.1125+0+0+0+0.15+0+0+0</f>
        <v>0.8125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2+0+2+2+2+0+2+0+2+2+0+2+0+2+0+2+0+2+0+2+2+2+0+0</f>
        <v>28</v>
      </c>
      <c r="H17" s="27"/>
      <c r="I17" s="12">
        <f>G17/(G3*0.1865)</f>
        <v>0.544951173347995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2+0+2+2+2+0+2+0+2+2+0+2+0+2+0+2+0+2+0+2+2+2+0+0</f>
        <v>28</v>
      </c>
      <c r="H18" s="27"/>
      <c r="I18" s="12">
        <f>G18/(G3*0.1865)</f>
        <v>0.544951173347995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3</v>
      </c>
      <c r="D19" s="9">
        <v>4</v>
      </c>
      <c r="E19" s="12">
        <f t="shared" si="1"/>
        <v>7</v>
      </c>
      <c r="F19" s="12" t="s">
        <v>36</v>
      </c>
      <c r="G19" s="12">
        <f>10+5+7+21+9+6+7+6+11+11+8+8+6+5+4+10+10+10+10+4+12+6+3+7</f>
        <v>196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580</v>
      </c>
      <c r="D20" s="9">
        <v>549</v>
      </c>
      <c r="E20" s="12">
        <f t="shared" si="1"/>
        <v>1129</v>
      </c>
      <c r="F20" s="12" t="s">
        <v>27</v>
      </c>
      <c r="G20" s="12">
        <f>1011+1084+1036+1277+854+1124+787+1194+1035+1351+1157+1170+1119+749+828+968+955+899+1310+1099+1029+1084+448+1129</f>
        <v>24697</v>
      </c>
      <c r="H20" s="28"/>
      <c r="I20" s="12">
        <f>E20/M20</f>
        <v>47.0416666666667</v>
      </c>
      <c r="J20" s="22" t="s">
        <v>38</v>
      </c>
      <c r="K20" s="12">
        <f>18+24+24+24+15+21.5+13+20.5+18+24+24+24+24+17+17+24+24+18.5+24+24+24+23.5+8+24</f>
        <v>502</v>
      </c>
      <c r="L20" s="12">
        <f>G20/K20</f>
        <v>49.1972111553785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701</v>
      </c>
      <c r="D21" s="9">
        <v>709</v>
      </c>
      <c r="E21" s="12">
        <f t="shared" si="1"/>
        <v>1410</v>
      </c>
      <c r="F21" s="12" t="s">
        <v>27</v>
      </c>
      <c r="G21" s="12">
        <f>1281+1421+1306+1647+1060+1392+944+1503+1292+1749+1504+1463+1321+885+989+1313+1252+1065+1613+1298+1261+1213+508+1410</f>
        <v>30690</v>
      </c>
      <c r="H21" s="27"/>
      <c r="I21" s="12">
        <f>E21/M20</f>
        <v>58.75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28.25</v>
      </c>
      <c r="D22" s="16">
        <v>26.94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136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137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</v>
      </c>
      <c r="D30" s="12">
        <v>8.33</v>
      </c>
      <c r="E30" s="12">
        <f t="shared" si="2"/>
        <v>16.63</v>
      </c>
      <c r="F30" s="12" t="s">
        <v>27</v>
      </c>
      <c r="G30" s="12">
        <f>17.63+8.3+15.11+16.68+16.59+16.58+0+0+0+8.32+8.28+16.39+0+0+0+0+0+0+0+20.16+16.58+16.55+17.08+16.63</f>
        <v>210.88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15</v>
      </c>
      <c r="D31" s="12">
        <v>9</v>
      </c>
      <c r="E31" s="12">
        <f t="shared" si="2"/>
        <v>24</v>
      </c>
      <c r="F31" s="12" t="s">
        <v>27</v>
      </c>
      <c r="G31" s="12">
        <f>28+25+28+24+15+16+20+26+28+25+15+19+15+32+26+17+15+23+84+82.74+33+25+12+24</f>
        <v>657.74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12.528</v>
      </c>
      <c r="D32" s="12">
        <v>0</v>
      </c>
      <c r="E32" s="12">
        <f t="shared" si="2"/>
        <v>12.528</v>
      </c>
      <c r="F32" s="12" t="s">
        <v>14</v>
      </c>
      <c r="G32" s="12">
        <f>4.509+7.7625+0+10.5435+7.7085+9.288+0+0+0+0+8.127+10.179+0+0+0+0+0+0+0+0+10.8405+0+6.8715+12.528</f>
        <v>88.3575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279</v>
      </c>
      <c r="D34" s="12">
        <v>295</v>
      </c>
      <c r="E34" s="12">
        <f t="shared" si="2"/>
        <v>574</v>
      </c>
      <c r="F34" s="12" t="s">
        <v>27</v>
      </c>
      <c r="G34" s="12">
        <f>620+619+610+632+626+623+310+603+607+603+609+584+337+49+202+208+276+327+538+606+508+283+551+574</f>
        <v>11505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509</v>
      </c>
      <c r="D35" s="12">
        <v>510</v>
      </c>
      <c r="E35" s="12">
        <f t="shared" si="2"/>
        <v>1019</v>
      </c>
      <c r="F35" s="12" t="s">
        <v>27</v>
      </c>
      <c r="G35" s="12">
        <f>901+911+932+914+912+877+753+854+820+759+785+736+761+0+591+368+0+462+965+1011+935+1016+1019+1019</f>
        <v>18301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</f>
        <v>0</v>
      </c>
      <c r="H36" s="27"/>
      <c r="I36" s="9">
        <v>1740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</f>
        <v>0</v>
      </c>
      <c r="H37" s="27"/>
      <c r="I37" s="9">
        <v>158.9538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2</v>
      </c>
      <c r="E38" s="12">
        <f>D38+C38</f>
        <v>2</v>
      </c>
      <c r="F38" s="12" t="s">
        <v>36</v>
      </c>
      <c r="G38" s="12">
        <f>0+0+2+0+3+0+0+0+0+2+0+3+0+12+1+5+10+0+5+7+2+3+4+2</f>
        <v>61</v>
      </c>
      <c r="H38" s="27"/>
      <c r="I38" s="12">
        <v>1</v>
      </c>
      <c r="J38" s="42"/>
      <c r="K38" s="32"/>
      <c r="L38" s="22" t="s">
        <v>121</v>
      </c>
      <c r="M38" s="9">
        <v>46</v>
      </c>
    </row>
    <row r="39" s="1" customFormat="1" ht="80" customHeight="1" spans="1:13">
      <c r="A39" s="9">
        <v>11</v>
      </c>
      <c r="B39" s="43" t="s">
        <v>45</v>
      </c>
      <c r="C39" s="32" t="s">
        <v>126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138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7</v>
      </c>
      <c r="D3" s="11">
        <v>6</v>
      </c>
      <c r="E3" s="12">
        <f t="shared" ref="E3:E12" si="0">C3+D3</f>
        <v>13</v>
      </c>
      <c r="F3" s="12" t="s">
        <v>14</v>
      </c>
      <c r="G3" s="12">
        <f>8.5+16+13+13+16+7.5+12+8+14+16.5+14.5+11.5+13.5+10+5.5+12.5+9.5+13.5+9.5+14+8.5+10+9+9.5+13</f>
        <v>288.5</v>
      </c>
      <c r="H3" s="12">
        <v>340</v>
      </c>
      <c r="I3" s="12">
        <f>H3-G3</f>
        <v>51.5</v>
      </c>
      <c r="J3" s="13"/>
      <c r="K3" s="12"/>
      <c r="L3" s="12"/>
      <c r="M3" s="12">
        <f>I3/6</f>
        <v>8.58333333333333</v>
      </c>
    </row>
    <row r="4" s="1" customFormat="1" ht="38" customHeight="1" spans="1:13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12+10+18+10+14+16+8+10+10+12+18+14+12+14+10+4+14+8+14+10+14+8+10+8+10</f>
        <v>288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78</v>
      </c>
      <c r="D5" s="12">
        <v>106</v>
      </c>
      <c r="E5" s="12">
        <f t="shared" si="0"/>
        <v>184</v>
      </c>
      <c r="F5" s="12" t="s">
        <v>14</v>
      </c>
      <c r="G5" s="12">
        <f>127+161+174+183+112+177+87+146+147+209+196+191+145+92+120+147+159+86+182+152+161+144+41+170+184</f>
        <v>3693</v>
      </c>
      <c r="H5" s="12">
        <v>5239</v>
      </c>
      <c r="I5" s="12">
        <f>H5-G5-G7-G6</f>
        <v>1544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0+0+0+0+0+0+0+0+0+0+0+0+0+0+0+0+0+0+0+0+1+0+0+1+0</f>
        <v>2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1</v>
      </c>
      <c r="E8" s="12">
        <f t="shared" si="0"/>
        <v>1</v>
      </c>
      <c r="F8" s="12" t="s">
        <v>14</v>
      </c>
      <c r="G8" s="12">
        <f>0+0+0+0+1+0+3+0+0+1+0+0+0+0+0+1+0+0+0+0+0+0+0+0+1</f>
        <v>7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116.84+61.93+0+0+0+41.52+0+37.57+0+0+0+40.96+30.91+40.68+31.37+31.83+81.7+0+112.9+0+40.98+71.56+31.17+41.04+0</f>
        <v>812.96</v>
      </c>
      <c r="H9" s="17">
        <v>6.27</v>
      </c>
      <c r="I9" s="17">
        <f>H9-K10</f>
        <v>-0.724376000000001</v>
      </c>
      <c r="J9" s="22" t="s">
        <v>107</v>
      </c>
      <c r="K9" s="17">
        <v>0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5.616</v>
      </c>
      <c r="D10" s="12">
        <v>0</v>
      </c>
      <c r="E10" s="12">
        <f t="shared" si="0"/>
        <v>5.616</v>
      </c>
      <c r="F10" s="12" t="s">
        <v>14</v>
      </c>
      <c r="G10" s="12">
        <f>9.8415+8.019+6.237+13.635+8.1135+6.9255+7.3035+4.6305+6.345+9.3285+10.476+8.7075+9.369+5.481+4.752+9.5715+6.5475+5.643+7.668+9.4365+6.183+7.02+4.347+7.6815+5.616</f>
        <v>188.8785</v>
      </c>
      <c r="H10" s="12"/>
      <c r="I10" s="12">
        <f>G10/(G3*0.1865)</f>
        <v>3.51041022948504</v>
      </c>
      <c r="J10" s="22" t="s">
        <v>23</v>
      </c>
      <c r="K10" s="23">
        <f>0.946404+0.526405+0+0+0+0.369528+0+0.345644+0+0+0+0.335872+0.265826+0.357984+0.288604+0.28647+0.71079+0+0.99352+0+0.344232+0.601104+0.264945+0.357048+0</f>
        <v>6.994376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11.0032</v>
      </c>
      <c r="D11" s="12">
        <v>0</v>
      </c>
      <c r="E11" s="12">
        <f t="shared" si="0"/>
        <v>11.0032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16.8544+8.4824+14.9408+17.5168+16.9464+4.3424+22.08+11.8496+11.9232+17.0936+13.7264+18.86+11.3528+15.1432+10.2856+10.8744+14.7016+17.572+8.8872+16.7808+13.7632+13.9656+6.8816+15.8976+11.0032</f>
        <v>341.7248</v>
      </c>
      <c r="H11" s="12"/>
      <c r="I11" s="12">
        <f>G11/(G3*0.1865)</f>
        <v>6.35114231417938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213</v>
      </c>
      <c r="D12" s="12">
        <v>210</v>
      </c>
      <c r="E12" s="12">
        <f t="shared" si="0"/>
        <v>423</v>
      </c>
      <c r="F12" s="12"/>
      <c r="G12" s="12">
        <f>280+495+437+544+380+394+300+578+329+529+497+482+462+323+318+459+442+366+444+461+398+416+155+429+423</f>
        <v>10341</v>
      </c>
      <c r="H12" s="12">
        <f>G12*1.05</f>
        <v>10858.05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176</v>
      </c>
      <c r="D13" s="12">
        <v>192</v>
      </c>
      <c r="E13" s="12">
        <f t="shared" ref="E13:E21" si="1">D13+C13</f>
        <v>368</v>
      </c>
      <c r="F13" s="12" t="s">
        <v>27</v>
      </c>
      <c r="G13" s="12">
        <f>282+436+387+416+376+286+243+396+353+470+428+288+421+233+281+359+301+336+354+395+228+344+180+345+368</f>
        <v>8506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368.53</v>
      </c>
      <c r="D14" s="12">
        <v>324.47</v>
      </c>
      <c r="E14" s="12">
        <f t="shared" si="1"/>
        <v>693</v>
      </c>
      <c r="F14" s="12" t="s">
        <v>27</v>
      </c>
      <c r="G14" s="12">
        <f>677.66+732.19+798.94+881.44+519.28+837+784.96+736.12+741.94+781.75+680.65+708.72+773.6+377.6+563.1+636.47+803.32+689.35+755.61+562.27+696.86+493.41+520.25+623.91+693</f>
        <v>17069.4</v>
      </c>
      <c r="H14" s="12"/>
      <c r="I14" s="12"/>
      <c r="J14" s="22" t="s">
        <v>29</v>
      </c>
      <c r="K14" s="12">
        <v>3.2</v>
      </c>
      <c r="L14" s="12">
        <v>3.2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18</v>
      </c>
      <c r="D15" s="12">
        <v>15</v>
      </c>
      <c r="E15" s="12">
        <f t="shared" si="1"/>
        <v>33</v>
      </c>
      <c r="F15" s="12" t="s">
        <v>14</v>
      </c>
      <c r="G15" s="12">
        <f>21+39+30+33+33+21+18+33+30+36+36+24+33+18+21+30+24+30+24+36+21+27+18+27+33</f>
        <v>696</v>
      </c>
      <c r="H15" s="12"/>
      <c r="I15" s="12">
        <f>G15/(G3*0.1865)</f>
        <v>12.9355406767927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2.2333187+2.4654986+2.5645024+3.1869984+1.6910493+2.6327277+2.5231379+2.3150624+2.2740958+2.371376+2.1212961+2.1141256+2.4494317+1.2174571+1.733172+2.0622557+2.6259264+2.1840665+2.2767711+1.749917+2.5737928+1.518852+1.6583718+2.041851+2.2176</f>
        <v>54.802654</v>
      </c>
      <c r="L15" s="12"/>
      <c r="M15" s="12">
        <f>(C14*K14+L14*D14)/1000</f>
        <v>2.2176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0.0125+0+0+0.075+0+0.0875+0.05+0.05+0+0+0+0.125+0+0.075+0+0.075+0.1125+0+0+0+0.15+0+0+0+0</f>
        <v>0.8125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2+0+2+2+2+0+2+0+2+2+0+2+0+2+0+2+0+2+0+2+2+2+0+0+2</f>
        <v>30</v>
      </c>
      <c r="H17" s="27"/>
      <c r="I17" s="12">
        <f>G17/(G3*0.1865)</f>
        <v>0.557566408482444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2+0+2+2+2+0+2+0+2+2+0+2+0+2+0+2+0+2+0+2+2+2+0+0+2</f>
        <v>30</v>
      </c>
      <c r="H18" s="27"/>
      <c r="I18" s="12">
        <f>G18/(G3*0.1865)</f>
        <v>0.557566408482444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5</v>
      </c>
      <c r="D19" s="9">
        <v>4</v>
      </c>
      <c r="E19" s="12">
        <f t="shared" si="1"/>
        <v>9</v>
      </c>
      <c r="F19" s="12" t="s">
        <v>36</v>
      </c>
      <c r="G19" s="12">
        <f>10+5+7+21+9+6+7+6+11+11+8+8+6+5+4+10+10+10+10+4+12+6+3+7+9</f>
        <v>205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504</v>
      </c>
      <c r="D20" s="9">
        <v>560</v>
      </c>
      <c r="E20" s="12">
        <f t="shared" si="1"/>
        <v>1064</v>
      </c>
      <c r="F20" s="12" t="s">
        <v>27</v>
      </c>
      <c r="G20" s="12">
        <f>1011+1084+1036+1277+854+1124+787+1194+1035+1351+1157+1170+1119+749+828+968+955+899+1310+1099+1029+1084+448+1129+1064</f>
        <v>25761</v>
      </c>
      <c r="H20" s="28"/>
      <c r="I20" s="12">
        <f>E20/M20</f>
        <v>44.3333333333333</v>
      </c>
      <c r="J20" s="22" t="s">
        <v>38</v>
      </c>
      <c r="K20" s="12">
        <f>18+24+24+24+15+21.5+13+20.5+18+24+24+24+24+17+17+24+24+18.5+24+24+24+23.5+8+24+24</f>
        <v>526</v>
      </c>
      <c r="L20" s="12">
        <f>G20/K20</f>
        <v>48.9752851711027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613</v>
      </c>
      <c r="D21" s="9">
        <v>727</v>
      </c>
      <c r="E21" s="12">
        <f t="shared" si="1"/>
        <v>1340</v>
      </c>
      <c r="F21" s="12" t="s">
        <v>27</v>
      </c>
      <c r="G21" s="12">
        <f>1281+1421+1306+1647+1060+1392+944+1503+1292+1749+1504+1463+1321+885+989+1313+1252+1065+1613+1298+1261+1213+508+1410+1340</f>
        <v>32030</v>
      </c>
      <c r="H21" s="27"/>
      <c r="I21" s="12">
        <f>E21/M20</f>
        <v>55.8333333333333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24.29</v>
      </c>
      <c r="D22" s="16">
        <v>26.46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139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140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8.3</v>
      </c>
      <c r="D30" s="12">
        <v>8.38</v>
      </c>
      <c r="E30" s="12">
        <f t="shared" si="2"/>
        <v>16.68</v>
      </c>
      <c r="F30" s="12" t="s">
        <v>27</v>
      </c>
      <c r="G30" s="12">
        <f>17.63+8.3+15.11+16.68+16.59+16.58+0+0+0+8.32+8.28+16.39+0+0+0+0+0+0+0+20.16+16.58+16.55+17.08+16.63+16.68</f>
        <v>227.56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65</v>
      </c>
      <c r="D31" s="12">
        <v>8</v>
      </c>
      <c r="E31" s="12">
        <f t="shared" si="2"/>
        <v>73</v>
      </c>
      <c r="F31" s="12" t="s">
        <v>27</v>
      </c>
      <c r="G31" s="12">
        <f>28+25+28+24+15+16+20+26+28+25+15+19+15+32+26+17+15+23+84+82.74+33+25+12+24+73</f>
        <v>730.74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4.509+7.7625+0+10.5435+7.7085+9.288+0+0+0+0+8.127+10.179+0+0+0+0+0+0+0+0+10.8405+0+6.8715+12.528+0</f>
        <v>88.3575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296</v>
      </c>
      <c r="D34" s="12">
        <v>280</v>
      </c>
      <c r="E34" s="12">
        <f t="shared" si="2"/>
        <v>576</v>
      </c>
      <c r="F34" s="12" t="s">
        <v>27</v>
      </c>
      <c r="G34" s="12">
        <f>620+619+610+632+626+623+310+603+607+603+609+584+337+49+202+208+276+327+538+606+508+283+551+574+576</f>
        <v>12081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473</v>
      </c>
      <c r="D35" s="12">
        <v>509</v>
      </c>
      <c r="E35" s="12">
        <f t="shared" si="2"/>
        <v>982</v>
      </c>
      <c r="F35" s="12" t="s">
        <v>27</v>
      </c>
      <c r="G35" s="12">
        <f>901+911+932+914+912+877+753+854+820+759+785+736+761+0+591+368+0+462+965+1011+935+1016+1019+1019+982</f>
        <v>19283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0+0+0+0+0+0+0+0+0+0+0+0+0+0+0+0+0+0+0+0+0+0+0+0+0</f>
        <v>0</v>
      </c>
      <c r="H36" s="27"/>
      <c r="I36" s="9">
        <v>1500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0+0+0+0+0+0+0+0+0+0+0+0+0+0+0+0+0+0+0+0+0+0+0+0+0</f>
        <v>0</v>
      </c>
      <c r="H37" s="27"/>
      <c r="I37" s="9">
        <v>168.5084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2</v>
      </c>
      <c r="E38" s="12">
        <f>D38+C38</f>
        <v>2</v>
      </c>
      <c r="F38" s="12" t="s">
        <v>36</v>
      </c>
      <c r="G38" s="12">
        <f>0+0+2+0+3+0+0+0+0+2+0+3+0+12+1+5+10+0+5+7+2+3+4+2+2</f>
        <v>63</v>
      </c>
      <c r="H38" s="27"/>
      <c r="I38" s="12">
        <v>0</v>
      </c>
      <c r="J38" s="42"/>
      <c r="K38" s="32"/>
      <c r="L38" s="22" t="s">
        <v>121</v>
      </c>
      <c r="M38" s="9">
        <v>42</v>
      </c>
    </row>
    <row r="39" s="1" customFormat="1" ht="80" customHeight="1" spans="1:13">
      <c r="A39" s="9">
        <v>11</v>
      </c>
      <c r="B39" s="43" t="s">
        <v>45</v>
      </c>
      <c r="C39" s="32" t="s">
        <v>126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141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6</v>
      </c>
      <c r="D3" s="11">
        <v>7</v>
      </c>
      <c r="E3" s="12">
        <f t="shared" ref="E3:E12" si="0">C3+D3</f>
        <v>13</v>
      </c>
      <c r="F3" s="12" t="s">
        <v>14</v>
      </c>
      <c r="G3" s="12">
        <f>8.5+16+13+13+16+7.5+12+8+14+16.5+14.5+11.5+13.5+10+5.5+12.5+9.5+13.5+9.5+14+8.5+10+9+9.5+13+13</f>
        <v>301.5</v>
      </c>
      <c r="H3" s="12">
        <v>340</v>
      </c>
      <c r="I3" s="12">
        <f>H3-G3</f>
        <v>38.5</v>
      </c>
      <c r="J3" s="13"/>
      <c r="K3" s="12"/>
      <c r="L3" s="12"/>
      <c r="M3" s="12">
        <f>I3/5</f>
        <v>7.7</v>
      </c>
    </row>
    <row r="4" s="1" customFormat="1" ht="38" customHeight="1" spans="1:13">
      <c r="A4" s="16">
        <v>2</v>
      </c>
      <c r="B4" s="10" t="s">
        <v>15</v>
      </c>
      <c r="C4" s="11">
        <v>14</v>
      </c>
      <c r="D4" s="11"/>
      <c r="E4" s="12">
        <f t="shared" si="0"/>
        <v>14</v>
      </c>
      <c r="F4" s="12" t="s">
        <v>14</v>
      </c>
      <c r="G4" s="12">
        <f>12+10+18+10+14+16+8+10+10+12+18+14+12+14+10+4+14+8+14+10+14+8+10+8+10+14</f>
        <v>302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85</v>
      </c>
      <c r="D5" s="12">
        <v>84</v>
      </c>
      <c r="E5" s="12">
        <f t="shared" si="0"/>
        <v>169</v>
      </c>
      <c r="F5" s="12" t="s">
        <v>14</v>
      </c>
      <c r="G5" s="12">
        <f>127+161+174+183+112+177+87+146+147+209+196+191+145+92+120+147+159+86+182+152+161+144+41+170+184+169</f>
        <v>3862</v>
      </c>
      <c r="H5" s="12">
        <v>5239</v>
      </c>
      <c r="I5" s="12">
        <f>H5-G5-G7-G6</f>
        <v>1375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0+0+0+0+0+0+0+0+0+0+0+0+0+0+0+0+0+0+0+0+1+0+0+1+0+0</f>
        <v>2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0+0+0+0+1+0+3+0+0+1+0+0+0+0+0+1+0+0+0+0+0+0+0+0+1+0</f>
        <v>7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116.84+61.93+0+0+0+41.52+0+37.57+0+0+0+40.96+30.91+40.68+31.37+31.83+81.7+0+112.9+0+40.98+71.56+31.17+41.04+0+0</f>
        <v>812.96</v>
      </c>
      <c r="H9" s="17">
        <v>6.27</v>
      </c>
      <c r="I9" s="17">
        <f>H9-K10</f>
        <v>-0.724376000000001</v>
      </c>
      <c r="J9" s="22" t="s">
        <v>107</v>
      </c>
      <c r="K9" s="17">
        <v>0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9.504</v>
      </c>
      <c r="D10" s="12">
        <v>0</v>
      </c>
      <c r="E10" s="12">
        <f t="shared" si="0"/>
        <v>9.504</v>
      </c>
      <c r="F10" s="12" t="s">
        <v>14</v>
      </c>
      <c r="G10" s="12">
        <f>9.8415+8.019+6.237+13.635+8.1135+6.9255+7.3035+4.6305+6.345+9.3285+10.476+8.7075+9.369+5.481+4.752+9.5715+6.5475+5.643+7.668+9.4365+6.183+7.02+4.347+7.6815+5.616+9.504</f>
        <v>198.3825</v>
      </c>
      <c r="H10" s="12"/>
      <c r="I10" s="12">
        <f>G10/(G3*0.1865)</f>
        <v>3.52807010523789</v>
      </c>
      <c r="J10" s="22" t="s">
        <v>23</v>
      </c>
      <c r="K10" s="23">
        <f>0.946404+0.526405+0+0+0+0.369528+0+0.345644+0+0+0+0.335872+0.265826+0.357984+0.288604+0.28647+0.71079+0+0.99352+0+0.344232+0.601104+0.264945+0.357048+0+0</f>
        <v>6.994376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21.0496</v>
      </c>
      <c r="D11" s="12">
        <v>0</v>
      </c>
      <c r="E11" s="12">
        <f t="shared" si="0"/>
        <v>21.0496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16.8544+8.4824+14.9408+17.5168+16.9464+4.3424+22.08+11.8496+11.9232+17.0936+13.7264+18.86+11.3528+15.1432+10.2856+10.8744+14.7016+17.572+8.8872+16.7808+13.7632+13.9656+6.8816+15.8976+11.0032+21.0496</f>
        <v>362.7744</v>
      </c>
      <c r="H11" s="12"/>
      <c r="I11" s="12">
        <f>G11/(G3*0.1865)</f>
        <v>6.45164525895989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221</v>
      </c>
      <c r="D12" s="12">
        <v>215</v>
      </c>
      <c r="E12" s="12">
        <f t="shared" si="0"/>
        <v>436</v>
      </c>
      <c r="F12" s="12"/>
      <c r="G12" s="12">
        <f>280+495+437+544+380+394+300+578+329+529+497+482+462+323+318+459+442+366+444+461+398+416+155+429+423+436</f>
        <v>10777</v>
      </c>
      <c r="H12" s="12">
        <f>G12*1.05</f>
        <v>11315.85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195</v>
      </c>
      <c r="D13" s="12">
        <v>194</v>
      </c>
      <c r="E13" s="12">
        <f t="shared" ref="E13:E21" si="1">D13+C13</f>
        <v>389</v>
      </c>
      <c r="F13" s="12" t="s">
        <v>27</v>
      </c>
      <c r="G13" s="12">
        <f>282+436+387+416+376+286+243+396+353+470+428+288+421+233+281+359+301+336+354+395+228+344+180+345+368+389</f>
        <v>8895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404.65</v>
      </c>
      <c r="D14" s="12">
        <v>394.06</v>
      </c>
      <c r="E14" s="12">
        <f t="shared" si="1"/>
        <v>798.71</v>
      </c>
      <c r="F14" s="12" t="s">
        <v>27</v>
      </c>
      <c r="G14" s="12">
        <f>677.66+732.19+798.94+881.44+519.28+837+784.96+736.12+741.94+781.75+680.65+708.72+773.6+377.6+563.1+636.47+803.32+689.35+755.61+562.27+696.86+493.41+520.25+623.91+693+798.71</f>
        <v>17868.11</v>
      </c>
      <c r="H14" s="12"/>
      <c r="I14" s="12"/>
      <c r="J14" s="22" t="s">
        <v>29</v>
      </c>
      <c r="K14" s="12">
        <v>3.12</v>
      </c>
      <c r="L14" s="12">
        <v>2.96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15</v>
      </c>
      <c r="D15" s="12">
        <v>15</v>
      </c>
      <c r="E15" s="12">
        <f t="shared" si="1"/>
        <v>30</v>
      </c>
      <c r="F15" s="12" t="s">
        <v>14</v>
      </c>
      <c r="G15" s="12">
        <f>21+39+30+33+33+21+18+33+30+36+36+24+33+18+21+30+24+30+24+36+21+27+18+27+33+30</f>
        <v>726</v>
      </c>
      <c r="H15" s="12"/>
      <c r="I15" s="12">
        <f>G15/(G3*0.1865)</f>
        <v>12.9113147399731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2.2333187+2.4654986+2.5645024+3.1869984+1.6910493+2.6327277+2.5231379+2.3150624+2.2740958+2.371376+2.1212961+2.1141256+2.4494317+1.2174571+1.733172+2.0622557+2.6259264+2.1840665+2.2767711+1.749917+2.5737928+1.518852+1.6583718+2.041851+2.2176+2.4289256</f>
        <v>57.2315796</v>
      </c>
      <c r="L15" s="12"/>
      <c r="M15" s="12">
        <f>(C14*K14+L14*D14)/1000</f>
        <v>2.4289256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0.0125+0+0+0.075+0+0.0875+0.05+0.05+0+0+0+0.125+0+0.075+0+0.075+0.1125+0+0+0+0.15+0+0+0+0+0</f>
        <v>0.8125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2+0+2+2+2+0+2+0+2+2+0+2+0+2+0+2+0+2+0+2+2+2+0+0+2+2</f>
        <v>32</v>
      </c>
      <c r="H17" s="27"/>
      <c r="I17" s="12">
        <f>G17/(G3*0.1865)</f>
        <v>0.56909376264344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2+0+2+2+2+0+2+0+2+2+0+2+0+2+0+2+0+2+0+2+2+2+0+0+2+2</f>
        <v>32</v>
      </c>
      <c r="H18" s="27"/>
      <c r="I18" s="12">
        <f>G18/(G3*0.1865)</f>
        <v>0.56909376264344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4</v>
      </c>
      <c r="D19" s="9">
        <v>6</v>
      </c>
      <c r="E19" s="12">
        <f t="shared" si="1"/>
        <v>10</v>
      </c>
      <c r="F19" s="12" t="s">
        <v>36</v>
      </c>
      <c r="G19" s="12">
        <f>10+5+7+21+9+6+7+6+11+11+8+8+6+5+4+10+10+10+10+4+12+6+3+7+9+10</f>
        <v>215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516</v>
      </c>
      <c r="D20" s="9">
        <v>568</v>
      </c>
      <c r="E20" s="12">
        <f t="shared" si="1"/>
        <v>1084</v>
      </c>
      <c r="F20" s="12" t="s">
        <v>27</v>
      </c>
      <c r="G20" s="12">
        <f>1011+1084+1036+1277+854+1124+787+1194+1035+1351+1157+1170+1119+749+828+968+955+899+1310+1099+1029+1084+448+1129+1064+1084</f>
        <v>26845</v>
      </c>
      <c r="H20" s="28"/>
      <c r="I20" s="12">
        <f>E20/M20</f>
        <v>45.1666666666667</v>
      </c>
      <c r="J20" s="22" t="s">
        <v>38</v>
      </c>
      <c r="K20" s="12">
        <f>18+24+24+24+15+21.5+13+20.5+18+24+24+24+24+17+17+24+24+18.5+24+24+24+23.5+8+24+24+24</f>
        <v>550</v>
      </c>
      <c r="L20" s="12">
        <f>G20/K20</f>
        <v>48.8090909090909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680</v>
      </c>
      <c r="D21" s="9">
        <v>683</v>
      </c>
      <c r="E21" s="12">
        <f t="shared" si="1"/>
        <v>1363</v>
      </c>
      <c r="F21" s="12" t="s">
        <v>27</v>
      </c>
      <c r="G21" s="12">
        <f>1281+1421+1306+1647+1060+1392+944+1503+1292+1749+1504+1463+1321+885+989+1313+1252+1065+1613+1298+1261+1213+508+1410+1340+1363</f>
        <v>33393</v>
      </c>
      <c r="H21" s="27"/>
      <c r="I21" s="12">
        <f>E21/M20</f>
        <v>56.7916666666667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29.96</v>
      </c>
      <c r="D22" s="16">
        <v>28.11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142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143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17.63+8.3+15.11+16.68+16.59+16.58+0+0+0+8.32+8.28+16.39+0+0+0+0+0+0+0+20.16+16.58+16.55+17.08+16.63+16.68+0</f>
        <v>227.56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29</v>
      </c>
      <c r="D31" s="12">
        <v>13</v>
      </c>
      <c r="E31" s="12">
        <f t="shared" si="2"/>
        <v>42</v>
      </c>
      <c r="F31" s="12" t="s">
        <v>27</v>
      </c>
      <c r="G31" s="12">
        <f>28+25+28+24+15+16+20+26+28+25+15+19+15+32+26+17+15+23+84+82.74+33+25+12+24+73+42</f>
        <v>772.74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12.42</v>
      </c>
      <c r="D32" s="12">
        <v>0</v>
      </c>
      <c r="E32" s="12">
        <f t="shared" si="2"/>
        <v>12.42</v>
      </c>
      <c r="F32" s="12" t="s">
        <v>14</v>
      </c>
      <c r="G32" s="12">
        <f>4.509+7.7625+0+10.5435+7.7085+9.288+0+0+0+0+8.127+10.179+0+0+0+0+0+0+0+0+10.8405+0+6.8715+12.528+0+12.42</f>
        <v>100.7775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100</v>
      </c>
      <c r="D34" s="12">
        <v>89</v>
      </c>
      <c r="E34" s="12">
        <f t="shared" si="2"/>
        <v>189</v>
      </c>
      <c r="F34" s="12" t="s">
        <v>27</v>
      </c>
      <c r="G34" s="12">
        <f>620+619+610+632+626+623+310+603+607+603+609+584+337+49+202+208+276+327+538+606+508+283+551+574+576+189</f>
        <v>12270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483</v>
      </c>
      <c r="D35" s="12">
        <v>248</v>
      </c>
      <c r="E35" s="12">
        <f t="shared" si="2"/>
        <v>731</v>
      </c>
      <c r="F35" s="12" t="s">
        <v>27</v>
      </c>
      <c r="G35" s="12">
        <f>901+911+932+914+912+877+753+854+820+759+785+736+761+0+591+368+0+462+965+1011+935+1016+1019+1019+982+731</f>
        <v>20014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0+0+0+0+0+0+0+0+0+0+0+0+0+0+0+0+0+0+0+0+0+0+0+0+0+0</f>
        <v>0</v>
      </c>
      <c r="H36" s="27"/>
      <c r="I36" s="9">
        <v>1552.5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0+0+0+0+0+0+0+0+0+0+0+0+0+0+0+0+0+0+0+0+0+0+0+0+0+0</f>
        <v>0</v>
      </c>
      <c r="H37" s="27"/>
      <c r="I37" s="9">
        <v>60.802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0+0+2+0+3+0+0+0+0+2+0+3+0+12+1+5+10+0+5+7+2+3+4+2+2+0</f>
        <v>63</v>
      </c>
      <c r="H38" s="27"/>
      <c r="I38" s="12">
        <v>0</v>
      </c>
      <c r="J38" s="42"/>
      <c r="K38" s="32"/>
      <c r="L38" s="22" t="s">
        <v>121</v>
      </c>
      <c r="M38" s="9">
        <v>26</v>
      </c>
    </row>
    <row r="39" s="1" customFormat="1" ht="80" customHeight="1" spans="1:13">
      <c r="A39" s="9">
        <v>11</v>
      </c>
      <c r="B39" s="43" t="s">
        <v>45</v>
      </c>
      <c r="C39" s="32" t="s">
        <v>144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145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9">
        <v>1</v>
      </c>
      <c r="B3" s="10" t="s">
        <v>13</v>
      </c>
      <c r="C3" s="11">
        <v>7</v>
      </c>
      <c r="D3" s="11">
        <v>5</v>
      </c>
      <c r="E3" s="12">
        <f t="shared" ref="E3:E12" si="0">C3+D3</f>
        <v>12</v>
      </c>
      <c r="F3" s="12" t="s">
        <v>14</v>
      </c>
      <c r="G3" s="12">
        <f>8.5+16+13+13+16+7.5+12+8+14+16.5+14.5+11.5+13.5+10+5.5+12.5+9.5+13.5+9.5+14+8.5+10+9+9.5+13+13+12</f>
        <v>313.5</v>
      </c>
      <c r="H3" s="12">
        <v>340</v>
      </c>
      <c r="I3" s="12">
        <f>H3-G3</f>
        <v>26.5</v>
      </c>
      <c r="J3" s="13"/>
      <c r="K3" s="12"/>
      <c r="L3" s="12"/>
      <c r="M3" s="12">
        <f>I3/4</f>
        <v>6.625</v>
      </c>
    </row>
    <row r="4" s="1" customFormat="1" ht="38" customHeight="1" spans="1:13">
      <c r="A4" s="16">
        <v>2</v>
      </c>
      <c r="B4" s="10" t="s">
        <v>15</v>
      </c>
      <c r="C4" s="11">
        <v>12</v>
      </c>
      <c r="D4" s="11"/>
      <c r="E4" s="12">
        <f t="shared" si="0"/>
        <v>12</v>
      </c>
      <c r="F4" s="12" t="s">
        <v>14</v>
      </c>
      <c r="G4" s="12">
        <f>12+10+18+10+14+16+8+10+10+12+18+14+12+14+10+4+14+8+14+10+14+8+10+8+10+14+12</f>
        <v>314</v>
      </c>
      <c r="H4" s="17"/>
      <c r="I4" s="17"/>
      <c r="J4" s="13"/>
      <c r="K4" s="12"/>
      <c r="L4" s="12"/>
      <c r="M4" s="12"/>
    </row>
    <row r="5" s="1" customFormat="1" ht="38" customHeight="1" spans="1:13">
      <c r="A5" s="16">
        <v>3</v>
      </c>
      <c r="B5" s="10" t="s">
        <v>16</v>
      </c>
      <c r="C5" s="12">
        <v>89</v>
      </c>
      <c r="D5" s="12">
        <v>97</v>
      </c>
      <c r="E5" s="12">
        <f t="shared" si="0"/>
        <v>186</v>
      </c>
      <c r="F5" s="12" t="s">
        <v>14</v>
      </c>
      <c r="G5" s="12">
        <f>127+161+174+183+112+177+87+146+147+209+196+191+145+92+120+147+159+86+182+152+161+144+41+170+184+169+186</f>
        <v>4048</v>
      </c>
      <c r="H5" s="12">
        <v>5239</v>
      </c>
      <c r="I5" s="12">
        <f>H5-G5-G7-G6</f>
        <v>1189</v>
      </c>
      <c r="J5" s="18"/>
      <c r="K5" s="12"/>
      <c r="L5" s="12"/>
      <c r="M5" s="12"/>
    </row>
    <row r="6" s="1" customFormat="1" ht="38" customHeight="1" spans="1:13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0+0+0+0+0+0+0+0+0+0+0+0+0+0+0+0+0+0+0+0+0+0+0+0+0+0+0</f>
        <v>0</v>
      </c>
      <c r="H6" s="19"/>
      <c r="I6" s="19"/>
      <c r="J6" s="13"/>
      <c r="K6" s="12"/>
      <c r="L6" s="12"/>
      <c r="M6" s="12"/>
    </row>
    <row r="7" s="1" customFormat="1" ht="38" customHeight="1" spans="1:13">
      <c r="A7" s="19"/>
      <c r="B7" s="10" t="s">
        <v>18</v>
      </c>
      <c r="C7" s="12">
        <v>0</v>
      </c>
      <c r="D7" s="12">
        <v>0</v>
      </c>
      <c r="E7" s="12">
        <f t="shared" si="0"/>
        <v>0</v>
      </c>
      <c r="F7" s="12" t="s">
        <v>14</v>
      </c>
      <c r="G7" s="12">
        <f>0+0+0+0+0+0+0+0+0+0+0+0+0+0+0+0+0+0+0+0+1+0+0+1+0+0+0</f>
        <v>2</v>
      </c>
      <c r="H7" s="19"/>
      <c r="I7" s="19"/>
      <c r="J7" s="13"/>
      <c r="K7" s="12"/>
      <c r="L7" s="12"/>
      <c r="M7" s="12"/>
    </row>
    <row r="8" s="1" customFormat="1" ht="38" customHeight="1" spans="1:13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0+0+0+0+1+0+3+0+0+1+0+0+0+0+0+1+0+0+0+0+0+0+0+0+1+0+0</f>
        <v>7</v>
      </c>
      <c r="H8" s="20"/>
      <c r="I8" s="20"/>
      <c r="J8" s="13"/>
      <c r="K8" s="12"/>
      <c r="L8" s="12"/>
      <c r="M8" s="12"/>
    </row>
    <row r="9" s="1" customFormat="1" ht="25" customHeight="1" spans="1:13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116.84+61.93+0+0+0+41.52+0+37.57+0+0+0+40.96+30.91+40.68+31.37+31.83+81.7+0+112.9+0+40.98+71.56+31.17+41.04+0+0+0</f>
        <v>812.96</v>
      </c>
      <c r="H9" s="17">
        <v>6.27</v>
      </c>
      <c r="I9" s="17">
        <f>H9-K10</f>
        <v>-0.724376000000001</v>
      </c>
      <c r="J9" s="22" t="s">
        <v>107</v>
      </c>
      <c r="K9" s="17">
        <v>60</v>
      </c>
      <c r="L9" s="17">
        <v>0</v>
      </c>
      <c r="M9" s="46"/>
    </row>
    <row r="10" s="1" customFormat="1" ht="25" customHeight="1" spans="1:13">
      <c r="A10" s="9">
        <v>5</v>
      </c>
      <c r="B10" s="10" t="s">
        <v>22</v>
      </c>
      <c r="C10" s="12">
        <v>6.0075</v>
      </c>
      <c r="D10" s="12">
        <v>3.5775</v>
      </c>
      <c r="E10" s="12">
        <f t="shared" si="0"/>
        <v>9.585</v>
      </c>
      <c r="F10" s="12" t="s">
        <v>14</v>
      </c>
      <c r="G10" s="12">
        <f>9.8415+8.019+6.237+13.635+8.1135+6.9255+7.3035+4.6305+6.345+9.3285+10.476+8.7075+9.369+5.481+4.752+9.5715+6.5475+5.643+7.668+9.4365+6.183+7.02+4.347+7.6815+5.616+9.504+9.585</f>
        <v>207.9675</v>
      </c>
      <c r="H10" s="12"/>
      <c r="I10" s="12">
        <f>G10/(G3*0.1865)</f>
        <v>3.55696088869505</v>
      </c>
      <c r="J10" s="22" t="s">
        <v>23</v>
      </c>
      <c r="K10" s="23">
        <f>0.946404+0.526405+0+0+0+0.369528+0+0.345644+0+0+0+0.335872+0.265826+0.357984+0.288604+0.28647+0.71079+0+0.99352+0+0.344232+0.601104+0.264945+0.357048+0+0+0</f>
        <v>6.994376</v>
      </c>
      <c r="L10" s="12"/>
      <c r="M10" s="12">
        <f>C9*L9/100</f>
        <v>0</v>
      </c>
    </row>
    <row r="11" s="1" customFormat="1" ht="25" customHeight="1" spans="1:13">
      <c r="A11" s="9">
        <v>6</v>
      </c>
      <c r="B11" s="10" t="s">
        <v>24</v>
      </c>
      <c r="C11" s="12">
        <v>10.3776</v>
      </c>
      <c r="D11" s="12">
        <v>0</v>
      </c>
      <c r="E11" s="12">
        <f t="shared" si="0"/>
        <v>10.3776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16.8544+8.4824+14.9408+17.5168+16.9464+4.3424+22.08+11.8496+11.9232+17.0936+13.7264+18.86+11.3528+15.1432+10.2856+10.8744+14.7016+17.572+8.8872+16.7808+13.7632+13.9656+6.8816+15.8976+11.0032+21.0496+10.3776</f>
        <v>373.152</v>
      </c>
      <c r="H11" s="12"/>
      <c r="I11" s="12">
        <f>G11/(G3*0.1865)</f>
        <v>6.38218505073309</v>
      </c>
      <c r="J11" s="13"/>
      <c r="K11" s="12"/>
      <c r="L11" s="12"/>
      <c r="M11" s="26"/>
    </row>
    <row r="12" s="1" customFormat="1" ht="25" customHeight="1" spans="1:13">
      <c r="A12" s="9">
        <v>7</v>
      </c>
      <c r="B12" s="10" t="s">
        <v>25</v>
      </c>
      <c r="C12" s="12">
        <v>219</v>
      </c>
      <c r="D12" s="12">
        <v>218</v>
      </c>
      <c r="E12" s="12">
        <f t="shared" si="0"/>
        <v>437</v>
      </c>
      <c r="F12" s="12"/>
      <c r="G12" s="12">
        <f>280+495+437+544+380+394+300+578+329+529+497+482+462+323+318+459+442+366+444+461+398+416+155+429+423+436+437</f>
        <v>11214</v>
      </c>
      <c r="H12" s="12">
        <f>G12*1.05</f>
        <v>11774.7</v>
      </c>
      <c r="I12" s="12"/>
      <c r="J12" s="13"/>
      <c r="K12" s="12"/>
      <c r="L12" s="12"/>
      <c r="M12" s="26"/>
    </row>
    <row r="13" s="1" customFormat="1" ht="25" customHeight="1" spans="1:13">
      <c r="A13" s="16">
        <v>8</v>
      </c>
      <c r="B13" s="10" t="s">
        <v>26</v>
      </c>
      <c r="C13" s="12">
        <v>218</v>
      </c>
      <c r="D13" s="12">
        <v>123</v>
      </c>
      <c r="E13" s="12">
        <f t="shared" ref="E13:E21" si="1">D13+C13</f>
        <v>341</v>
      </c>
      <c r="F13" s="12" t="s">
        <v>27</v>
      </c>
      <c r="G13" s="12">
        <f>282+436+387+416+376+286+243+396+353+470+428+288+421+233+281+359+301+336+354+395+228+344+180+345+368+389+341</f>
        <v>9236</v>
      </c>
      <c r="H13" s="12"/>
      <c r="I13" s="12"/>
      <c r="J13" s="18"/>
      <c r="K13" s="12"/>
      <c r="L13" s="12"/>
      <c r="M13" s="12"/>
    </row>
    <row r="14" s="1" customFormat="1" ht="25" customHeight="1" spans="1:13">
      <c r="A14" s="9">
        <v>9</v>
      </c>
      <c r="B14" s="10" t="s">
        <v>28</v>
      </c>
      <c r="C14" s="12">
        <v>391.88</v>
      </c>
      <c r="D14" s="12">
        <v>396.28</v>
      </c>
      <c r="E14" s="12">
        <f t="shared" si="1"/>
        <v>788.16</v>
      </c>
      <c r="F14" s="12" t="s">
        <v>27</v>
      </c>
      <c r="G14" s="12">
        <f>677.66+732.19+798.94+881.44+519.28+837+784.96+736.12+741.94+781.75+680.65+708.72+773.6+377.6+563.1+636.47+803.32+689.35+755.61+562.27+696.86+493.41+520.25+623.91+693+798.71+788.16</f>
        <v>18656.27</v>
      </c>
      <c r="H14" s="12"/>
      <c r="I14" s="12"/>
      <c r="J14" s="22" t="s">
        <v>29</v>
      </c>
      <c r="K14" s="12">
        <v>3.09</v>
      </c>
      <c r="L14" s="12">
        <v>3.19</v>
      </c>
      <c r="M14" s="12"/>
    </row>
    <row r="15" s="1" customFormat="1" ht="25" customHeight="1" spans="1:13">
      <c r="A15" s="9">
        <v>10</v>
      </c>
      <c r="B15" s="10" t="s">
        <v>30</v>
      </c>
      <c r="C15" s="12">
        <v>18</v>
      </c>
      <c r="D15" s="12">
        <v>9</v>
      </c>
      <c r="E15" s="12">
        <f t="shared" si="1"/>
        <v>27</v>
      </c>
      <c r="F15" s="12" t="s">
        <v>14</v>
      </c>
      <c r="G15" s="12">
        <f>21+39+30+33+33+21+18+33+30+36+36+24+33+18+21+30+24+30+24+36+21+27+18+27+33+30+27</f>
        <v>753</v>
      </c>
      <c r="H15" s="12"/>
      <c r="I15" s="12">
        <f>G15/(G3*0.1865)</f>
        <v>12.8788947753249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2.2333187+2.4654986+2.5645024+3.1869984+1.6910493+2.6327277+2.5231379+2.3150624+2.2740958+2.371376+2.1212961+2.1141256+2.4494317+1.2174571+1.733172+2.0622557+2.6259264+2.1840665+2.2767711+1.749917+2.5737928+1.518852+1.6583718+2.041851+2.2176+2.4289256+2.4750424</f>
        <v>59.706622</v>
      </c>
      <c r="L15" s="12"/>
      <c r="M15" s="12">
        <f>(C14*K14+L14*D14)/1000</f>
        <v>2.4750424</v>
      </c>
    </row>
    <row r="16" s="1" customFormat="1" ht="25" customHeight="1" spans="1:13">
      <c r="A16" s="9">
        <v>11</v>
      </c>
      <c r="B16" s="10" t="s">
        <v>32</v>
      </c>
      <c r="C16" s="9">
        <v>0</v>
      </c>
      <c r="D16" s="9">
        <v>0.075</v>
      </c>
      <c r="E16" s="12">
        <f t="shared" si="1"/>
        <v>0.075</v>
      </c>
      <c r="F16" s="12" t="s">
        <v>14</v>
      </c>
      <c r="G16" s="12">
        <f>0.0125+0+0+0.075+0+0.0875+0.05+0.05+0+0+0+0.125+0+0.075+0+0.075+0.1125+0+0+0+0.15+0+0+0+0+0+0.075</f>
        <v>0.8875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2+0+2+2+2+0+2+0+2+2+0+2+0+2+0+2+0+2+0+2+2+2+0+0+2+2+0</f>
        <v>32</v>
      </c>
      <c r="H17" s="27"/>
      <c r="I17" s="12">
        <f>G17/(G3*0.1865)</f>
        <v>0.547310269336514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2+0+2+2+2+0+2+0+2+2+0+2+0+2+0+2+0+2+0+2+2+2+0+0+2+2+0</f>
        <v>32</v>
      </c>
      <c r="H18" s="27"/>
      <c r="I18" s="12">
        <f>G18/(G3*0.1865)</f>
        <v>0.547310269336514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5</v>
      </c>
      <c r="D19" s="9">
        <v>4</v>
      </c>
      <c r="E19" s="12">
        <f t="shared" si="1"/>
        <v>9</v>
      </c>
      <c r="F19" s="12" t="s">
        <v>36</v>
      </c>
      <c r="G19" s="12">
        <f>10+5+7+21+9+6+7+6+11+11+8+8+6+5+4+10+10+10+10+4+12+6+3+7+9+10+9</f>
        <v>224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564</v>
      </c>
      <c r="D20" s="9">
        <v>614</v>
      </c>
      <c r="E20" s="12">
        <f t="shared" si="1"/>
        <v>1178</v>
      </c>
      <c r="F20" s="12" t="s">
        <v>27</v>
      </c>
      <c r="G20" s="12">
        <f>1011+1084+1036+1277+854+1124+787+1194+1035+1351+1157+1170+1119+749+828+968+955+899+1310+1099+1029+1084+448+1129+1064+1084+1178</f>
        <v>28023</v>
      </c>
      <c r="H20" s="28"/>
      <c r="I20" s="12">
        <f>E20/M20</f>
        <v>49.0833333333333</v>
      </c>
      <c r="J20" s="22" t="s">
        <v>38</v>
      </c>
      <c r="K20" s="12">
        <f>18+24+24+24+15+21.5+13+20.5+18+24+24+24+24+17+17+24+24+18.5+24+24+24+23.5+8+24+24+24+24</f>
        <v>574</v>
      </c>
      <c r="L20" s="12">
        <f>G20/K20</f>
        <v>48.8205574912892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700</v>
      </c>
      <c r="D21" s="9">
        <v>719</v>
      </c>
      <c r="E21" s="12">
        <f t="shared" si="1"/>
        <v>1419</v>
      </c>
      <c r="F21" s="12" t="s">
        <v>27</v>
      </c>
      <c r="G21" s="12">
        <f>1281+1421+1306+1647+1060+1392+944+1503+1292+1749+1504+1463+1321+885+989+1313+1252+1065+1613+1298+1261+1213+508+1410+1340+1363+1419</f>
        <v>34812</v>
      </c>
      <c r="H21" s="27"/>
      <c r="I21" s="12">
        <f>E21/M20</f>
        <v>59.125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29.02</v>
      </c>
      <c r="D22" s="16">
        <v>30.53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146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147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17.63+8.3+15.11+16.68+16.59+16.58+0+0+0+8.32+8.28+16.39+0+0+0+0+0+0+0+20.16+16.58+16.55+17.08+16.63+16.68+0+0</f>
        <v>227.56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17</v>
      </c>
      <c r="D31" s="12">
        <v>12</v>
      </c>
      <c r="E31" s="12">
        <f t="shared" si="2"/>
        <v>29</v>
      </c>
      <c r="F31" s="12" t="s">
        <v>27</v>
      </c>
      <c r="G31" s="12">
        <f>28+25+28+24+15+16+20+26+28+25+15+19+15+32+26+17+15+23+84+82.74+33+25+12+24+73+42+29</f>
        <v>801.74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4.509+7.7625+0+10.5435+7.7085+9.288+0+0+0+0+8.127+10.179+0+0+0+0+0+0+0+0+10.8405+0+6.8715+12.528+0+12.42+0</f>
        <v>100.7775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151</v>
      </c>
      <c r="D34" s="12">
        <v>228</v>
      </c>
      <c r="E34" s="12">
        <f t="shared" si="2"/>
        <v>379</v>
      </c>
      <c r="F34" s="12" t="s">
        <v>27</v>
      </c>
      <c r="G34" s="12">
        <f>620+619+610+632+626+623+310+603+607+603+609+584+337+49+202+208+276+327+538+606+508+283+551+574+576+189+379</f>
        <v>12649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510</v>
      </c>
      <c r="D35" s="12">
        <v>510</v>
      </c>
      <c r="E35" s="12">
        <f t="shared" si="2"/>
        <v>1020</v>
      </c>
      <c r="F35" s="12" t="s">
        <v>27</v>
      </c>
      <c r="G35" s="12">
        <f>901+911+932+914+912+877+753+854+820+759+785+736+761+0+591+368+0+462+965+1011+935+1016+1019+1019+982+731+1020</f>
        <v>21034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0+0+0+0+0+0+0+0+0+0+0+0+0+0+0+0+0+0+0+0+0+0+0+0+0+0+0</f>
        <v>0</v>
      </c>
      <c r="H36" s="27"/>
      <c r="I36" s="9">
        <v>1335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0+0+0+0+0+0+0+0+0+0+0+0+0+0+0+0+0+0+0+0+0+0+0+0+0+0+0</f>
        <v>0</v>
      </c>
      <c r="H37" s="27"/>
      <c r="I37" s="9">
        <v>63.4078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0+0+2+0+3+0+0+0+0+2+0+3+0+12+1+5+10+0+5+7+2+3+4+2+2+0+0</f>
        <v>63</v>
      </c>
      <c r="H38" s="27"/>
      <c r="I38" s="12">
        <v>0</v>
      </c>
      <c r="J38" s="42"/>
      <c r="K38" s="32"/>
      <c r="L38" s="22" t="s">
        <v>121</v>
      </c>
      <c r="M38" s="9">
        <v>30</v>
      </c>
    </row>
    <row r="39" s="1" customFormat="1" ht="80" customHeight="1" spans="1:13">
      <c r="A39" s="9">
        <v>11</v>
      </c>
      <c r="B39" s="43" t="s">
        <v>45</v>
      </c>
      <c r="C39" s="32" t="s">
        <v>144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O1" sqref="O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6.7583333333333" style="2" customWidth="1"/>
    <col min="18" max="16384" width="9" style="2" customWidth="1"/>
  </cols>
  <sheetData>
    <row r="1" s="1" customFormat="1" ht="45" customHeight="1" spans="1:16">
      <c r="A1" s="5" t="s">
        <v>148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7">
        <v>46169</v>
      </c>
      <c r="O2" s="8"/>
      <c r="P2" s="8"/>
    </row>
    <row r="3" s="1" customFormat="1" ht="38" customHeight="1" spans="1:16">
      <c r="A3" s="9">
        <v>1</v>
      </c>
      <c r="B3" s="10" t="s">
        <v>13</v>
      </c>
      <c r="C3" s="11">
        <v>6</v>
      </c>
      <c r="D3" s="11">
        <v>5.5</v>
      </c>
      <c r="E3" s="12">
        <f t="shared" ref="E3:E12" si="0">C3+D3</f>
        <v>11.5</v>
      </c>
      <c r="F3" s="12" t="s">
        <v>14</v>
      </c>
      <c r="G3" s="12">
        <f>8.5+16+13+13+16+7.5+12+8+14+16.5+14.5+11.5+13.5+10+5.5+12.5+9.5+13.5+9.5+14+8.5+10+9+9.5+13+13+12+11.5</f>
        <v>325</v>
      </c>
      <c r="H3" s="12">
        <v>340</v>
      </c>
      <c r="I3" s="12">
        <f>H3-G3</f>
        <v>15</v>
      </c>
      <c r="J3" s="13"/>
      <c r="K3" s="12"/>
      <c r="L3" s="12"/>
      <c r="M3" s="12">
        <f>I3/3</f>
        <v>5</v>
      </c>
      <c r="N3" s="15" t="s">
        <v>149</v>
      </c>
      <c r="O3" s="15" t="s">
        <v>150</v>
      </c>
      <c r="P3" s="15" t="s">
        <v>151</v>
      </c>
    </row>
    <row r="4" s="1" customFormat="1" ht="38" customHeight="1" spans="1:16">
      <c r="A4" s="16">
        <v>2</v>
      </c>
      <c r="B4" s="10" t="s">
        <v>15</v>
      </c>
      <c r="C4" s="11">
        <v>12</v>
      </c>
      <c r="D4" s="11"/>
      <c r="E4" s="12">
        <f t="shared" si="0"/>
        <v>12</v>
      </c>
      <c r="F4" s="12" t="s">
        <v>14</v>
      </c>
      <c r="G4" s="12">
        <f>12+10+18+10+14+16+8+10+10+12+18+14+12+14+10+4+14+8+14+10+14+8+10+8+10+14+12+12</f>
        <v>326</v>
      </c>
      <c r="H4" s="17"/>
      <c r="I4" s="17"/>
      <c r="J4" s="13"/>
      <c r="K4" s="12"/>
      <c r="L4" s="12"/>
      <c r="M4" s="12"/>
      <c r="N4" s="25" t="s">
        <v>2</v>
      </c>
      <c r="O4" s="15" t="s">
        <v>152</v>
      </c>
      <c r="P4" s="15" t="s">
        <v>153</v>
      </c>
    </row>
    <row r="5" s="1" customFormat="1" ht="38" customHeight="1" spans="1:16">
      <c r="A5" s="16">
        <v>3</v>
      </c>
      <c r="B5" s="10" t="s">
        <v>16</v>
      </c>
      <c r="C5" s="12">
        <v>88</v>
      </c>
      <c r="D5" s="12">
        <v>75</v>
      </c>
      <c r="E5" s="12">
        <f t="shared" si="0"/>
        <v>163</v>
      </c>
      <c r="F5" s="12" t="s">
        <v>14</v>
      </c>
      <c r="G5" s="12">
        <f>127+161+174+183+112+177+87+146+147+209+196+191+145+92+120+147+159+86+182+152+161+144+41+170+184+169+186+163</f>
        <v>4211</v>
      </c>
      <c r="H5" s="12">
        <v>5239</v>
      </c>
      <c r="I5" s="12">
        <f>H5-G5-G7-G6</f>
        <v>1025</v>
      </c>
      <c r="J5" s="18"/>
      <c r="K5" s="12"/>
      <c r="L5" s="12"/>
      <c r="M5" s="12"/>
      <c r="O5" s="15" t="s">
        <v>154</v>
      </c>
      <c r="P5" s="15" t="s">
        <v>153</v>
      </c>
    </row>
    <row r="6" s="1" customFormat="1" ht="38" customHeight="1" spans="1:16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0+0+0+0+0+0+0+0+0+0+0+0+0+0+0+0+0+0+0+0+0+0+0+0+0+0+0+0</f>
        <v>0</v>
      </c>
      <c r="H6" s="19"/>
      <c r="I6" s="19"/>
      <c r="J6" s="13"/>
      <c r="K6" s="12"/>
      <c r="L6" s="12"/>
      <c r="M6" s="12"/>
      <c r="O6" s="45" t="s">
        <v>155</v>
      </c>
      <c r="P6" s="15" t="s">
        <v>153</v>
      </c>
    </row>
    <row r="7" s="1" customFormat="1" ht="38" customHeight="1" spans="1:16">
      <c r="A7" s="19"/>
      <c r="B7" s="10" t="s">
        <v>18</v>
      </c>
      <c r="C7" s="12">
        <v>0</v>
      </c>
      <c r="D7" s="12">
        <v>1</v>
      </c>
      <c r="E7" s="12">
        <f t="shared" si="0"/>
        <v>1</v>
      </c>
      <c r="F7" s="12" t="s">
        <v>14</v>
      </c>
      <c r="G7" s="12">
        <f>0+0+0+0+0+0+0+0+0+0+0+0+0+0+0+0+0+0+0+0+1+0+0+1+0+0+0+1</f>
        <v>3</v>
      </c>
      <c r="H7" s="19"/>
      <c r="I7" s="19"/>
      <c r="J7" s="13"/>
      <c r="K7" s="12"/>
      <c r="L7" s="12"/>
      <c r="M7" s="12"/>
      <c r="N7" s="15" t="s">
        <v>3</v>
      </c>
      <c r="O7" s="15" t="s">
        <v>156</v>
      </c>
      <c r="P7" s="15" t="s">
        <v>153</v>
      </c>
    </row>
    <row r="8" s="1" customFormat="1" ht="38" customHeight="1" spans="1:16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0+0+0+0+1+0+3+0+0+1+0+0+0+0+0+1+0+0+0+0+0+0+0+0+1+0+0+0</f>
        <v>7</v>
      </c>
      <c r="H8" s="20"/>
      <c r="I8" s="20"/>
      <c r="J8" s="13"/>
      <c r="K8" s="12"/>
      <c r="L8" s="12"/>
      <c r="M8" s="12"/>
      <c r="N8" s="19"/>
      <c r="O8" s="15" t="s">
        <v>157</v>
      </c>
      <c r="P8" s="15" t="s">
        <v>153</v>
      </c>
    </row>
    <row r="9" s="1" customFormat="1" ht="25" customHeight="1" spans="1:16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116.84+61.93+0+0+0+41.52+0+37.57+0+0+0+40.96+30.91+40.68+31.37+31.83+81.7+0+112.9+0+40.98+71.56+31.17+41.04+0+0+0+0</f>
        <v>812.96</v>
      </c>
      <c r="H9" s="17">
        <v>6.27</v>
      </c>
      <c r="I9" s="17">
        <f>H9-K10</f>
        <v>-0.724376000000001</v>
      </c>
      <c r="J9" s="22" t="s">
        <v>107</v>
      </c>
      <c r="K9" s="17">
        <v>80</v>
      </c>
      <c r="L9" s="17">
        <v>0</v>
      </c>
      <c r="M9" s="46"/>
      <c r="N9" s="20"/>
      <c r="O9" s="15" t="s">
        <v>158</v>
      </c>
      <c r="P9" s="15" t="s">
        <v>153</v>
      </c>
    </row>
    <row r="10" s="1" customFormat="1" ht="25" customHeight="1" spans="1:16">
      <c r="A10" s="9">
        <v>5</v>
      </c>
      <c r="B10" s="10" t="s">
        <v>22</v>
      </c>
      <c r="C10" s="12">
        <v>8.6805</v>
      </c>
      <c r="D10" s="12">
        <v>2.4435</v>
      </c>
      <c r="E10" s="12">
        <f t="shared" si="0"/>
        <v>11.124</v>
      </c>
      <c r="F10" s="12" t="s">
        <v>14</v>
      </c>
      <c r="G10" s="12">
        <f>9.8415+8.019+6.237+13.635+8.1135+6.9255+7.3035+4.6305+6.345+9.3285+10.476+8.7075+9.369+5.481+4.752+9.5715+6.5475+5.643+7.668+9.4365+6.183+7.02+4.347+7.6815+5.616+9.504+9.585+11.124</f>
        <v>219.0915</v>
      </c>
      <c r="H10" s="12"/>
      <c r="I10" s="12">
        <f>G10/(G3*0.1865)</f>
        <v>3.6146256960198</v>
      </c>
      <c r="J10" s="22" t="s">
        <v>23</v>
      </c>
      <c r="K10" s="23">
        <f>0.946404+0.526405+0+0+0+0.369528+0+0.345644+0+0+0+0.335872+0.265826+0.357984+0.288604+0.28647+0.71079+0+0.99352+0+0.344232+0.601104+0.264945+0.357048+0+0+0+0</f>
        <v>6.994376</v>
      </c>
      <c r="L10" s="12"/>
      <c r="M10" s="12">
        <f>C9*L9/100</f>
        <v>0</v>
      </c>
      <c r="O10" s="25"/>
      <c r="P10" s="25"/>
    </row>
    <row r="11" s="1" customFormat="1" ht="25" customHeight="1" spans="1:16">
      <c r="A11" s="9">
        <v>6</v>
      </c>
      <c r="B11" s="10" t="s">
        <v>24</v>
      </c>
      <c r="C11" s="12">
        <v>18.6944</v>
      </c>
      <c r="D11" s="12">
        <v>0</v>
      </c>
      <c r="E11" s="12">
        <f t="shared" si="0"/>
        <v>18.6944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16.8544+8.4824+14.9408+17.5168+16.9464+4.3424+22.08+11.8496+11.9232+17.0936+13.7264+18.86+11.3528+15.1432+10.2856+10.8744+14.7016+17.572+8.8872+16.7808+13.7632+13.9656+6.8816+15.8976+11.0032+21.0496+10.3776+18.6944</f>
        <v>391.8464</v>
      </c>
      <c r="H11" s="12"/>
      <c r="I11" s="12">
        <f>G11/(G3*0.1865)</f>
        <v>6.46477871726129</v>
      </c>
      <c r="J11" s="13"/>
      <c r="K11" s="12"/>
      <c r="L11" s="12"/>
      <c r="M11" s="26"/>
      <c r="N11" s="1"/>
      <c r="O11" s="25"/>
      <c r="P11" s="25"/>
    </row>
    <row r="12" s="1" customFormat="1" ht="25" customHeight="1" spans="1:16">
      <c r="A12" s="9">
        <v>7</v>
      </c>
      <c r="B12" s="10" t="s">
        <v>25</v>
      </c>
      <c r="C12" s="12">
        <v>256</v>
      </c>
      <c r="D12" s="12">
        <v>228</v>
      </c>
      <c r="E12" s="12">
        <f t="shared" si="0"/>
        <v>484</v>
      </c>
      <c r="F12" s="12"/>
      <c r="G12" s="12">
        <f>280+495+437+544+380+394+300+578+329+529+497+482+462+323+318+459+442+366+444+461+398+416+155+429+423+436+437+484</f>
        <v>11698</v>
      </c>
      <c r="H12" s="12">
        <f>G12*1.05</f>
        <v>12282.9</v>
      </c>
      <c r="I12" s="12"/>
      <c r="J12" s="13"/>
      <c r="K12" s="12"/>
      <c r="L12" s="12"/>
      <c r="M12" s="26"/>
    </row>
    <row r="13" s="1" customFormat="1" ht="25" customHeight="1" spans="1:16">
      <c r="A13" s="16">
        <v>8</v>
      </c>
      <c r="B13" s="10" t="s">
        <v>26</v>
      </c>
      <c r="C13" s="12">
        <v>192</v>
      </c>
      <c r="D13" s="12">
        <v>200</v>
      </c>
      <c r="E13" s="12">
        <f t="shared" ref="E13:E21" si="1">D13+C13</f>
        <v>392</v>
      </c>
      <c r="F13" s="12" t="s">
        <v>27</v>
      </c>
      <c r="G13" s="12">
        <f>282+436+387+416+376+286+243+396+353+470+428+288+421+233+281+359+301+336+354+395+228+344+180+345+368+389+341+392</f>
        <v>9628</v>
      </c>
      <c r="H13" s="12"/>
      <c r="I13" s="12"/>
      <c r="J13" s="18"/>
      <c r="K13" s="12"/>
      <c r="L13" s="12"/>
      <c r="M13" s="12"/>
    </row>
    <row r="14" s="1" customFormat="1" ht="25" customHeight="1" spans="1:16">
      <c r="A14" s="9">
        <v>9</v>
      </c>
      <c r="B14" s="10" t="s">
        <v>28</v>
      </c>
      <c r="C14" s="12">
        <v>387.25</v>
      </c>
      <c r="D14" s="12">
        <v>395</v>
      </c>
      <c r="E14" s="12">
        <f t="shared" si="1"/>
        <v>782.25</v>
      </c>
      <c r="F14" s="12" t="s">
        <v>27</v>
      </c>
      <c r="G14" s="12">
        <f>677.66+732.19+798.94+881.44+519.28+837+784.96+736.12+741.94+781.75+680.65+708.72+773.6+377.6+563.1+636.47+803.32+689.35+755.61+562.27+696.86+493.41+520.25+623.91+693+798.71+788.16+782.25</f>
        <v>19438.52</v>
      </c>
      <c r="H14" s="12"/>
      <c r="I14" s="12"/>
      <c r="J14" s="22" t="s">
        <v>29</v>
      </c>
      <c r="K14" s="12">
        <v>3.04</v>
      </c>
      <c r="L14" s="12">
        <v>3.04</v>
      </c>
      <c r="M14" s="12"/>
    </row>
    <row r="15" s="1" customFormat="1" ht="25" customHeight="1" spans="1:16">
      <c r="A15" s="9">
        <v>10</v>
      </c>
      <c r="B15" s="10" t="s">
        <v>30</v>
      </c>
      <c r="C15" s="12">
        <v>15</v>
      </c>
      <c r="D15" s="12">
        <v>18</v>
      </c>
      <c r="E15" s="12">
        <f t="shared" si="1"/>
        <v>33</v>
      </c>
      <c r="F15" s="12" t="s">
        <v>14</v>
      </c>
      <c r="G15" s="12">
        <f>21+39+30+33+33+21+18+33+30+36+36+24+33+18+21+30+24+30+24+36+21+27+18+27+33+30+27+33</f>
        <v>786</v>
      </c>
      <c r="H15" s="12"/>
      <c r="I15" s="12">
        <f>G15/(G3*0.1865)</f>
        <v>12.9676221901423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2.2333187+2.4654986+2.5645024+3.1869984+1.6910493+2.6327277+2.5231379+2.3150624+2.2740958+2.371376+2.1212961+2.1141256+2.4494317+1.2174571+1.733172+2.0622557+2.6259264+2.1840665+2.2767711+1.749917+2.5737928+1.518852+1.6583718+2.041851+2.2176+2.4289256+2.4750424+2.37804</f>
        <v>62.084662</v>
      </c>
      <c r="L15" s="12"/>
      <c r="M15" s="12">
        <f>(C14*K14+L14*D14)/1000</f>
        <v>2.37804</v>
      </c>
    </row>
    <row r="16" s="1" customFormat="1" ht="25" customHeight="1" spans="1:16">
      <c r="A16" s="9">
        <v>11</v>
      </c>
      <c r="B16" s="10" t="s">
        <v>32</v>
      </c>
      <c r="C16" s="9">
        <v>0.0875</v>
      </c>
      <c r="D16" s="9">
        <v>0</v>
      </c>
      <c r="E16" s="12">
        <f t="shared" si="1"/>
        <v>0.0875</v>
      </c>
      <c r="F16" s="12" t="s">
        <v>14</v>
      </c>
      <c r="G16" s="12">
        <f>0.0125+0+0+0.075+0+0.0875+0.05+0.05+0+0+0+0.125+0+0.075+0+0.075+0.1125+0+0+0+0.15+0+0+0+0+0+0.075+0.0875</f>
        <v>0.975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2+0+2+2+2+0+2+0+2+2+0+2+0+2+0+2+0+2+0+2+2+2+0+0+2+2+0+2</f>
        <v>34</v>
      </c>
      <c r="H17" s="27"/>
      <c r="I17" s="12">
        <f>G17/(G3*0.1865)</f>
        <v>0.560940400082491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2+0+2+2+2+0+2+0+2+2+0+2+0+2+0+2+0+2+0+2+2+2+0+0+2+2+0+2</f>
        <v>34</v>
      </c>
      <c r="H18" s="27"/>
      <c r="I18" s="12">
        <f>G18/(G3*0.1865)</f>
        <v>0.560940400082491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4</v>
      </c>
      <c r="D19" s="9">
        <v>3</v>
      </c>
      <c r="E19" s="12">
        <f t="shared" si="1"/>
        <v>7</v>
      </c>
      <c r="F19" s="12" t="s">
        <v>36</v>
      </c>
      <c r="G19" s="12">
        <f>10+5+7+21+9+6+7+6+11+11+8+8+6+5+4+10+10+10+10+4+12+6+3+7+9+10+9+7</f>
        <v>231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608</v>
      </c>
      <c r="D20" s="9">
        <v>573</v>
      </c>
      <c r="E20" s="12">
        <f t="shared" si="1"/>
        <v>1181</v>
      </c>
      <c r="F20" s="12" t="s">
        <v>27</v>
      </c>
      <c r="G20" s="12">
        <f>1011+1084+1036+1277+854+1124+787+1194+1035+1351+1157+1170+1119+749+828+968+955+899+1310+1099+1029+1084+448+1129+1064+1084+1178+1181</f>
        <v>29204</v>
      </c>
      <c r="H20" s="28"/>
      <c r="I20" s="12">
        <f>E20/M20</f>
        <v>49.2083333333333</v>
      </c>
      <c r="J20" s="22" t="s">
        <v>38</v>
      </c>
      <c r="K20" s="12">
        <f>18+24+24+24+15+21.5+13+20.5+18+24+24+24+24+17+17+24+24+18.5+24+24+24+23.5+8+24+24+24+24+24</f>
        <v>598</v>
      </c>
      <c r="L20" s="12">
        <f>G20/K20</f>
        <v>48.8361204013378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774</v>
      </c>
      <c r="D21" s="9">
        <v>710</v>
      </c>
      <c r="E21" s="12">
        <f t="shared" si="1"/>
        <v>1484</v>
      </c>
      <c r="F21" s="12" t="s">
        <v>27</v>
      </c>
      <c r="G21" s="12">
        <f>1281+1421+1306+1647+1060+1392+944+1503+1292+1749+1504+1463+1321+885+989+1313+1252+1065+1613+1298+1261+1213+508+1410+1340+1363+1419+1484</f>
        <v>36296</v>
      </c>
      <c r="H21" s="27"/>
      <c r="I21" s="12">
        <f>E21/M20</f>
        <v>61.8333333333333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23.13</v>
      </c>
      <c r="D22" s="16">
        <v>26.65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159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160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17.63+8.3+15.11+16.68+16.59+16.58+0+0+0+8.32+8.28+16.39+0+0+0+0+0+0+0+20.16+16.58+16.55+17.08+16.63+16.68+0+0+0</f>
        <v>227.56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13</v>
      </c>
      <c r="D31" s="12">
        <v>0</v>
      </c>
      <c r="E31" s="12">
        <f t="shared" si="2"/>
        <v>13</v>
      </c>
      <c r="F31" s="12" t="s">
        <v>27</v>
      </c>
      <c r="G31" s="12">
        <f>28+25+28+24+15+16+20+26+28+25+15+19+15+32+26+17+15+23+84+82.74+33+25+12+24+73+42+29+13</f>
        <v>814.74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4.509+7.7625+0+10.5435+7.7085+9.288+0+0+0+0+8.127+10.179+0+0+0+0+0+0+0+0+10.8405+0+6.8715+12.528+0+12.42+0+0</f>
        <v>100.7775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182</v>
      </c>
      <c r="D34" s="12">
        <v>185</v>
      </c>
      <c r="E34" s="12">
        <f t="shared" si="2"/>
        <v>367</v>
      </c>
      <c r="F34" s="12" t="s">
        <v>27</v>
      </c>
      <c r="G34" s="12">
        <f>620+619+610+632+626+623+310+603+607+603+609+584+337+49+202+208+276+327+538+606+508+283+551+574+576+189+379+367</f>
        <v>13016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479</v>
      </c>
      <c r="D35" s="12">
        <v>529</v>
      </c>
      <c r="E35" s="12">
        <f t="shared" si="2"/>
        <v>1008</v>
      </c>
      <c r="F35" s="12" t="s">
        <v>27</v>
      </c>
      <c r="G35" s="12">
        <f>901+911+932+914+912+877+753+854+820+759+785+736+761+0+591+368+0+462+965+1011+935+1016+1019+1019+982+731+1020+1008</f>
        <v>22042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0+0+0+0+0+0+0+0+0+0+0+0+0+0+0+0+0+0+0+0+0+0+0+0+0+0+0+0</f>
        <v>0</v>
      </c>
      <c r="H36" s="27"/>
      <c r="I36" s="9">
        <v>982.5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0+0+0+0+0+0+0+0+0+0+0+0+0+0+0+0+0+0+0+0+0+0+0+0+0+0+0+0</f>
        <v>0</v>
      </c>
      <c r="H37" s="27"/>
      <c r="I37" s="9">
        <v>67.7508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0+0+2+0+3+0+0+0+0+2+0+3+0+12+1+5+10+0+5+7+2+3+4+2+2+0+0+0</f>
        <v>63</v>
      </c>
      <c r="H38" s="27"/>
      <c r="I38" s="12">
        <v>0</v>
      </c>
      <c r="J38" s="42"/>
      <c r="K38" s="32"/>
      <c r="L38" s="22" t="s">
        <v>121</v>
      </c>
      <c r="M38" s="9">
        <v>30</v>
      </c>
    </row>
    <row r="39" s="1" customFormat="1" ht="80" customHeight="1" spans="1:13">
      <c r="A39" s="9">
        <v>11</v>
      </c>
      <c r="B39" s="43" t="s">
        <v>45</v>
      </c>
      <c r="C39" s="32" t="s">
        <v>144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11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4:N6"/>
    <mergeCell ref="N7:N9"/>
  </mergeCells>
  <pageMargins left="0.75" right="0.75" top="1" bottom="1" header="0.5" footer="0.5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O1" sqref="O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6.7583333333333" style="2" customWidth="1"/>
    <col min="18" max="16384" width="9" style="2" customWidth="1"/>
  </cols>
  <sheetData>
    <row r="1" s="1" customFormat="1" ht="45" customHeight="1" spans="1:16">
      <c r="A1" s="5" t="s">
        <v>161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7">
        <v>46170</v>
      </c>
      <c r="O2" s="8"/>
      <c r="P2" s="8"/>
    </row>
    <row r="3" s="1" customFormat="1" ht="38" customHeight="1" spans="1:16">
      <c r="A3" s="9">
        <v>1</v>
      </c>
      <c r="B3" s="10" t="s">
        <v>13</v>
      </c>
      <c r="C3" s="11">
        <v>6</v>
      </c>
      <c r="D3" s="11">
        <v>6</v>
      </c>
      <c r="E3" s="12">
        <f t="shared" ref="E3:E12" si="0">C3+D3</f>
        <v>12</v>
      </c>
      <c r="F3" s="12" t="s">
        <v>14</v>
      </c>
      <c r="G3" s="12">
        <f>8.5+16+13+13+16+7.5+12+8+14+16.5+14.5+11.5+13.5+10+5.5+12.5+9.5+13.5+9.5+14+8.5+10+9+9.5+13+13+12+11.5+12</f>
        <v>337</v>
      </c>
      <c r="H3" s="12">
        <v>340</v>
      </c>
      <c r="I3" s="12">
        <f>H3-G3</f>
        <v>3</v>
      </c>
      <c r="J3" s="13"/>
      <c r="K3" s="12"/>
      <c r="L3" s="12"/>
      <c r="M3" s="12">
        <f>I3/2</f>
        <v>1.5</v>
      </c>
      <c r="N3" s="15" t="s">
        <v>149</v>
      </c>
      <c r="O3" s="15" t="s">
        <v>150</v>
      </c>
      <c r="P3" s="15" t="s">
        <v>151</v>
      </c>
    </row>
    <row r="4" s="1" customFormat="1" ht="38" customHeight="1" spans="1:16">
      <c r="A4" s="16">
        <v>2</v>
      </c>
      <c r="B4" s="10" t="s">
        <v>15</v>
      </c>
      <c r="C4" s="11">
        <v>12</v>
      </c>
      <c r="D4" s="11"/>
      <c r="E4" s="12">
        <f t="shared" si="0"/>
        <v>12</v>
      </c>
      <c r="F4" s="12" t="s">
        <v>14</v>
      </c>
      <c r="G4" s="12">
        <f>12+10+18+10+14+16+8+10+10+12+18+14+12+14+10+4+14+8+14+10+14+8+10+8+10+14+12+12+12</f>
        <v>338</v>
      </c>
      <c r="H4" s="17"/>
      <c r="I4" s="17"/>
      <c r="J4" s="13"/>
      <c r="K4" s="12"/>
      <c r="L4" s="12"/>
      <c r="M4" s="44"/>
      <c r="N4" s="15" t="s">
        <v>2</v>
      </c>
      <c r="O4" s="15" t="s">
        <v>162</v>
      </c>
      <c r="P4" s="15" t="s">
        <v>153</v>
      </c>
    </row>
    <row r="5" s="1" customFormat="1" ht="38" customHeight="1" spans="1:16">
      <c r="A5" s="16">
        <v>3</v>
      </c>
      <c r="B5" s="10" t="s">
        <v>16</v>
      </c>
      <c r="C5" s="12">
        <v>92</v>
      </c>
      <c r="D5" s="12">
        <v>95</v>
      </c>
      <c r="E5" s="12">
        <f t="shared" si="0"/>
        <v>187</v>
      </c>
      <c r="F5" s="12" t="s">
        <v>14</v>
      </c>
      <c r="G5" s="12">
        <f>127+161+174+183+112+177+87+146+147+209+196+191+145+92+120+147+159+86+182+152+161+144+41+170+184+169+186+163+187</f>
        <v>4398</v>
      </c>
      <c r="H5" s="12">
        <v>5239</v>
      </c>
      <c r="I5" s="12">
        <f>H5-G5-G7-G6</f>
        <v>836</v>
      </c>
      <c r="J5" s="18"/>
      <c r="K5" s="12"/>
      <c r="L5" s="12"/>
      <c r="M5" s="44"/>
      <c r="N5" s="15" t="s">
        <v>3</v>
      </c>
      <c r="O5" s="15" t="s">
        <v>163</v>
      </c>
      <c r="P5" s="15" t="s">
        <v>153</v>
      </c>
    </row>
    <row r="6" s="1" customFormat="1" ht="38" customHeight="1" spans="1:16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0+0+0+0+0+0+0+0+0+0+0+0+0+0+0+0+0+0+0+0+0+0+0+0+0+0+0+0+0</f>
        <v>0</v>
      </c>
      <c r="H6" s="19"/>
      <c r="I6" s="19"/>
      <c r="J6" s="13"/>
      <c r="K6" s="12"/>
      <c r="L6" s="12"/>
      <c r="M6" s="12"/>
      <c r="N6" s="19"/>
      <c r="O6" s="15" t="s">
        <v>164</v>
      </c>
      <c r="P6" s="15" t="s">
        <v>153</v>
      </c>
    </row>
    <row r="7" s="1" customFormat="1" ht="38" customHeight="1" spans="1:16">
      <c r="A7" s="19"/>
      <c r="B7" s="10" t="s">
        <v>18</v>
      </c>
      <c r="C7" s="12">
        <v>1</v>
      </c>
      <c r="D7" s="12">
        <v>1</v>
      </c>
      <c r="E7" s="12">
        <f t="shared" si="0"/>
        <v>2</v>
      </c>
      <c r="F7" s="12" t="s">
        <v>14</v>
      </c>
      <c r="G7" s="12">
        <f>0+0+0+0+0+0+0+0+0+0+0+0+0+0+0+0+0+0+0+0+1+0+0+1+0+0+0+1+2</f>
        <v>5</v>
      </c>
      <c r="H7" s="19"/>
      <c r="I7" s="19"/>
      <c r="J7" s="13"/>
      <c r="K7" s="12"/>
      <c r="L7" s="12"/>
      <c r="M7" s="12"/>
      <c r="N7" s="19"/>
      <c r="O7" s="15" t="s">
        <v>165</v>
      </c>
      <c r="P7" s="15" t="s">
        <v>153</v>
      </c>
    </row>
    <row r="8" s="1" customFormat="1" ht="38" customHeight="1" spans="1:16">
      <c r="A8" s="19"/>
      <c r="B8" s="10" t="s">
        <v>19</v>
      </c>
      <c r="C8" s="12">
        <v>1</v>
      </c>
      <c r="D8" s="12">
        <v>0</v>
      </c>
      <c r="E8" s="12">
        <f t="shared" si="0"/>
        <v>1</v>
      </c>
      <c r="F8" s="12" t="s">
        <v>14</v>
      </c>
      <c r="G8" s="12">
        <f>0+0+0+0+1+0+3+0+0+1+0+0+0+0+0+1+0+0+0+0+0+0+0+0+1+0+0+0+1</f>
        <v>8</v>
      </c>
      <c r="H8" s="20"/>
      <c r="I8" s="20"/>
      <c r="J8" s="13"/>
      <c r="K8" s="12"/>
      <c r="L8" s="12"/>
      <c r="M8" s="12"/>
      <c r="N8" s="19"/>
      <c r="O8" s="15" t="s">
        <v>166</v>
      </c>
      <c r="P8" s="15" t="s">
        <v>153</v>
      </c>
    </row>
    <row r="9" s="1" customFormat="1" ht="25" customHeight="1" spans="1:16">
      <c r="A9" s="16">
        <v>4</v>
      </c>
      <c r="B9" s="21" t="s">
        <v>20</v>
      </c>
      <c r="C9" s="17">
        <v>41.34</v>
      </c>
      <c r="D9" s="17"/>
      <c r="E9" s="12">
        <f t="shared" si="0"/>
        <v>41.34</v>
      </c>
      <c r="F9" s="17" t="s">
        <v>14</v>
      </c>
      <c r="G9" s="12">
        <f>116.84+61.93+0+0+0+41.52+0+37.57+0+0+0+40.96+30.91+40.68+31.37+31.83+81.7+0+112.9+0+40.98+71.56+31.17+41.04+0+0+0+0+41.34</f>
        <v>854.3</v>
      </c>
      <c r="H9" s="17">
        <v>6.27</v>
      </c>
      <c r="I9" s="17">
        <f>H9-K10</f>
        <v>-1.071632</v>
      </c>
      <c r="J9" s="22" t="s">
        <v>107</v>
      </c>
      <c r="K9" s="17">
        <v>80</v>
      </c>
      <c r="L9" s="12">
        <v>0.84</v>
      </c>
      <c r="M9" s="23"/>
      <c r="N9" s="20"/>
      <c r="O9" s="15" t="s">
        <v>167</v>
      </c>
      <c r="P9" s="15" t="s">
        <v>153</v>
      </c>
    </row>
    <row r="10" s="1" customFormat="1" ht="25" customHeight="1" spans="1:16">
      <c r="A10" s="9">
        <v>5</v>
      </c>
      <c r="B10" s="10" t="s">
        <v>22</v>
      </c>
      <c r="C10" s="12">
        <v>4.9275</v>
      </c>
      <c r="D10" s="12">
        <v>0</v>
      </c>
      <c r="E10" s="12">
        <f t="shared" si="0"/>
        <v>4.9275</v>
      </c>
      <c r="F10" s="12" t="s">
        <v>14</v>
      </c>
      <c r="G10" s="12">
        <f>9.8415+8.019+6.237+13.635+8.1135+6.9255+7.3035+4.6305+6.345+9.3285+10.476+8.7075+9.369+5.481+4.752+9.5715+6.5475+5.643+7.668+9.4365+6.183+7.02+4.347+7.6815+5.616+9.504+9.585+11.124+4.9275</f>
        <v>224.019</v>
      </c>
      <c r="H10" s="12"/>
      <c r="I10" s="12">
        <f>G10/(G3*0.1865)</f>
        <v>3.56431531968719</v>
      </c>
      <c r="J10" s="22" t="s">
        <v>23</v>
      </c>
      <c r="K10" s="23">
        <f>0.946404+0.526405+0+0+0+0.369528+0+0.345644+0+0+0+0.335872+0.265826+0.357984+0.288604+0.28647+0.71079+0+0.99352+0+0.344232+0.601104+0.264945+0.357048+0+0+0+0+0.347256</f>
        <v>7.341632</v>
      </c>
      <c r="L10" s="12"/>
      <c r="M10" s="12">
        <f>C9*L9/100</f>
        <v>0.347256</v>
      </c>
      <c r="O10" s="25"/>
      <c r="P10" s="25"/>
    </row>
    <row r="11" s="1" customFormat="1" ht="25" customHeight="1" spans="1:16">
      <c r="A11" s="9">
        <v>6</v>
      </c>
      <c r="B11" s="10" t="s">
        <v>24</v>
      </c>
      <c r="C11" s="12">
        <v>11.8312</v>
      </c>
      <c r="D11" s="12">
        <v>0</v>
      </c>
      <c r="E11" s="12">
        <f t="shared" si="0"/>
        <v>11.8312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16.8544+8.4824+14.9408+17.5168+16.9464+4.3424+22.08+11.8496+11.9232+17.0936+13.7264+18.86+11.3528+15.1432+10.2856+10.8744+14.7016+17.572+8.8872+16.7808+13.7632+13.9656+6.8816+15.8976+11.0032+21.0496+10.3776+18.6944+11.8312</f>
        <v>403.6776</v>
      </c>
      <c r="H11" s="12"/>
      <c r="I11" s="12">
        <f>G11/(G3*0.1865)</f>
        <v>6.42282241191399</v>
      </c>
      <c r="J11" s="13"/>
      <c r="K11" s="12"/>
      <c r="L11" s="12"/>
      <c r="M11" s="26"/>
      <c r="N11" s="1"/>
      <c r="O11" s="25"/>
      <c r="P11" s="25"/>
    </row>
    <row r="12" s="1" customFormat="1" ht="25" customHeight="1" spans="1:16">
      <c r="A12" s="9">
        <v>7</v>
      </c>
      <c r="B12" s="10" t="s">
        <v>25</v>
      </c>
      <c r="C12" s="12">
        <v>228</v>
      </c>
      <c r="D12" s="12">
        <v>196</v>
      </c>
      <c r="E12" s="12">
        <f t="shared" si="0"/>
        <v>424</v>
      </c>
      <c r="F12" s="12"/>
      <c r="G12" s="12">
        <f>280+495+437+544+380+394+300+578+329+529+497+482+462+323+318+459+442+366+444+461+398+416+155+429+423+436+437+484+424</f>
        <v>12122</v>
      </c>
      <c r="H12" s="12">
        <f>G12*1.05</f>
        <v>12728.1</v>
      </c>
      <c r="I12" s="12"/>
      <c r="J12" s="13"/>
      <c r="K12" s="12"/>
      <c r="L12" s="12"/>
      <c r="M12" s="26"/>
    </row>
    <row r="13" s="1" customFormat="1" ht="25" customHeight="1" spans="1:16">
      <c r="A13" s="16">
        <v>8</v>
      </c>
      <c r="B13" s="10" t="s">
        <v>26</v>
      </c>
      <c r="C13" s="12">
        <v>220</v>
      </c>
      <c r="D13" s="12">
        <v>152</v>
      </c>
      <c r="E13" s="12">
        <f t="shared" ref="E13:E21" si="1">D13+C13</f>
        <v>372</v>
      </c>
      <c r="F13" s="12" t="s">
        <v>27</v>
      </c>
      <c r="G13" s="12">
        <f>282+436+387+416+376+286+243+396+353+470+428+288+421+233+281+359+301+336+354+395+228+344+180+345+368+389+341+392+372</f>
        <v>10000</v>
      </c>
      <c r="H13" s="12"/>
      <c r="I13" s="12"/>
      <c r="J13" s="18"/>
      <c r="K13" s="12"/>
      <c r="L13" s="12"/>
      <c r="M13" s="12"/>
    </row>
    <row r="14" s="1" customFormat="1" ht="25" customHeight="1" spans="1:16">
      <c r="A14" s="9">
        <v>9</v>
      </c>
      <c r="B14" s="10" t="s">
        <v>28</v>
      </c>
      <c r="C14" s="12">
        <v>393.69</v>
      </c>
      <c r="D14" s="12">
        <v>340.81</v>
      </c>
      <c r="E14" s="12">
        <f t="shared" si="1"/>
        <v>734.5</v>
      </c>
      <c r="F14" s="12" t="s">
        <v>27</v>
      </c>
      <c r="G14" s="12">
        <f>677.66+732.19+798.94+881.44+519.28+837+784.96+736.12+741.94+781.75+680.65+708.72+773.6+377.6+563.1+636.47+803.32+689.35+755.61+562.27+696.86+493.41+520.25+623.91+693+798.71+788.16+782.25+734.5</f>
        <v>20173.02</v>
      </c>
      <c r="H14" s="12"/>
      <c r="I14" s="12"/>
      <c r="J14" s="22" t="s">
        <v>29</v>
      </c>
      <c r="K14" s="12">
        <v>2.95</v>
      </c>
      <c r="L14" s="12">
        <v>2.87</v>
      </c>
      <c r="M14" s="12"/>
    </row>
    <row r="15" s="1" customFormat="1" ht="25" customHeight="1" spans="1:16">
      <c r="A15" s="9">
        <v>10</v>
      </c>
      <c r="B15" s="10" t="s">
        <v>30</v>
      </c>
      <c r="C15" s="12">
        <v>18</v>
      </c>
      <c r="D15" s="12">
        <v>12</v>
      </c>
      <c r="E15" s="12">
        <f t="shared" si="1"/>
        <v>30</v>
      </c>
      <c r="F15" s="12" t="s">
        <v>14</v>
      </c>
      <c r="G15" s="12">
        <f>21+39+30+33+33+21+18+33+30+36+36+24+33+18+21+30+24+30+24+36+21+27+18+27+33+30+27+33+30</f>
        <v>816</v>
      </c>
      <c r="H15" s="12"/>
      <c r="I15" s="12">
        <f>G15/(G3*0.1865)</f>
        <v>12.9831902689716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2.2333187+2.4654986+2.5645024+3.1869984+1.6910493+2.6327277+2.5231379+2.3150624+2.2740958+2.371376+2.1212961+2.1141256+2.4494317+1.2174571+1.733172+2.0622557+2.6259264+2.1840665+2.2767711+1.749917+2.5737928+1.518852+1.6583718+2.041851+2.2176+2.4289256+2.4750424+2.37804+2.1395102</f>
        <v>64.2241722</v>
      </c>
      <c r="L15" s="12"/>
      <c r="M15" s="12">
        <f>(C14*K14+L14*D14)/1000</f>
        <v>2.1395102</v>
      </c>
    </row>
    <row r="16" s="1" customFormat="1" ht="25" customHeight="1" spans="1:16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0.0125+0+0+0.075+0+0.0875+0.05+0.05+0+0+0+0.125+0+0.075+0+0.075+0.1125+0+0+0+0.15+0+0+0+0+0+0.075+0.0875+0</f>
        <v>0.975</v>
      </c>
      <c r="H16" s="27"/>
      <c r="I16" s="27"/>
      <c r="J16" s="13"/>
      <c r="K16" s="27"/>
      <c r="L16" s="27"/>
      <c r="M16" s="12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2+0+2+2+2+0+2+0+2+2+0+2+0+2+0+2+0+2+0+2+2+2+0+0+2+2+0+2+0</f>
        <v>34</v>
      </c>
      <c r="H17" s="27"/>
      <c r="I17" s="12">
        <f>G17/(G3*0.1865)</f>
        <v>0.54096626120715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2+0+2+2+2+0+2+0+2+2+0+2+0+2+0+2+0+2+0+2+2+2+0+0+2+2+0+2+0</f>
        <v>34</v>
      </c>
      <c r="H18" s="27"/>
      <c r="I18" s="12">
        <f>G18/(G3*0.1865)</f>
        <v>0.54096626120715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2</v>
      </c>
      <c r="D19" s="9">
        <v>3</v>
      </c>
      <c r="E19" s="12">
        <f t="shared" si="1"/>
        <v>5</v>
      </c>
      <c r="F19" s="12" t="s">
        <v>36</v>
      </c>
      <c r="G19" s="12">
        <f>10+5+7+21+9+6+7+6+11+11+8+8+6+5+4+10+10+10+10+4+12+6+3+7+9+10+9+7+5</f>
        <v>236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567</v>
      </c>
      <c r="D20" s="9">
        <v>548</v>
      </c>
      <c r="E20" s="12">
        <f t="shared" si="1"/>
        <v>1115</v>
      </c>
      <c r="F20" s="12" t="s">
        <v>27</v>
      </c>
      <c r="G20" s="12">
        <f>1011+1084+1036+1277+854+1124+787+1194+1035+1351+1157+1170+1119+749+828+968+955+899+1310+1099+1029+1084+448+1129+1064+1084+1178+1181+1115</f>
        <v>30319</v>
      </c>
      <c r="H20" s="28"/>
      <c r="I20" s="12">
        <f>E20/M20</f>
        <v>46.4583333333333</v>
      </c>
      <c r="J20" s="22" t="s">
        <v>38</v>
      </c>
      <c r="K20" s="12">
        <f>18+24+24+24+15+21.5+13+20.5+18+24+24+24+24+17+17+24+24+18.5+24+24+24+23.5+8+24+24+24+24+24+24</f>
        <v>622</v>
      </c>
      <c r="L20" s="12">
        <f>G20/K20</f>
        <v>48.7443729903537</v>
      </c>
      <c r="M20" s="12">
        <v>24</v>
      </c>
    </row>
    <row r="21" s="1" customFormat="1" ht="25" customHeight="1" spans="1:13">
      <c r="A21" s="16">
        <v>16</v>
      </c>
      <c r="B21" s="10" t="s">
        <v>39</v>
      </c>
      <c r="C21" s="9">
        <v>737</v>
      </c>
      <c r="D21" s="9">
        <v>676</v>
      </c>
      <c r="E21" s="12">
        <f t="shared" si="1"/>
        <v>1413</v>
      </c>
      <c r="F21" s="12" t="s">
        <v>27</v>
      </c>
      <c r="G21" s="12">
        <f>1281+1421+1306+1647+1060+1392+944+1503+1292+1749+1504+1463+1321+885+989+1313+1252+1065+1613+1298+1261+1213+508+1410+1340+1363+1419+1484+1413</f>
        <v>37709</v>
      </c>
      <c r="H21" s="27"/>
      <c r="I21" s="12">
        <f>E21/M20</f>
        <v>58.875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27.41</v>
      </c>
      <c r="D22" s="16">
        <v>29.49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82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168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17.63+8.3+15.11+16.68+16.59+16.58+0+0+0+8.32+8.28+16.39+0+0+0+0+0+0+0+20.16+16.58+16.55+17.08+16.63+16.68+0+0+0+0</f>
        <v>227.56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18</v>
      </c>
      <c r="D31" s="12">
        <v>7</v>
      </c>
      <c r="E31" s="12">
        <f t="shared" si="2"/>
        <v>25</v>
      </c>
      <c r="F31" s="12" t="s">
        <v>27</v>
      </c>
      <c r="G31" s="12">
        <f>28+25+28+24+15+16+20+26+28+25+15+19+15+32+26+17+15+23+84+82.74+33+25+12+24+73+42+29+13+25</f>
        <v>839.74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4.509+7.7625+0+10.5435+7.7085+9.288+0+0+0+0+8.127+10.179+0+0+0+0+0+0+0+0+10.8405+0+6.8715+12.528+0+12.42+0+0+0</f>
        <v>100.7775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220</v>
      </c>
      <c r="D34" s="12">
        <v>122</v>
      </c>
      <c r="E34" s="12">
        <f t="shared" si="2"/>
        <v>342</v>
      </c>
      <c r="F34" s="12" t="s">
        <v>27</v>
      </c>
      <c r="G34" s="12">
        <f>620+619+610+632+626+623+310+603+607+603+609+584+337+49+202+208+276+327+538+606+508+283+551+574+576+189+379+367+342</f>
        <v>13358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507</v>
      </c>
      <c r="D35" s="12">
        <v>504</v>
      </c>
      <c r="E35" s="12">
        <f t="shared" si="2"/>
        <v>1011</v>
      </c>
      <c r="F35" s="12" t="s">
        <v>27</v>
      </c>
      <c r="G35" s="12">
        <f>901+911+932+914+912+877+753+854+820+759+785+736+761+0+591+368+0+462+965+1011+935+1016+1019+1019+982+731+1020+1008+1011</f>
        <v>23053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0+0+0+0+0+0+0+0+0+0+0+0+0+0+0+0+0+0+0+0+0+0+0+0+0+0+0+0+0</f>
        <v>0</v>
      </c>
      <c r="H36" s="27"/>
      <c r="I36" s="9">
        <v>622.5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0+0+0+0+0+0+0+0+0+0+0+0+0+0+0+0+0+0+0+0+0+0+0+0+0+0+0+0+0</f>
        <v>0</v>
      </c>
      <c r="H37" s="27"/>
      <c r="I37" s="9">
        <v>62.5392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0+0+2+0+3+0+0+0+0+2+0+3+0+12+1+5+10+0+5+7+2+3+4+2+2+0+0+0+0</f>
        <v>63</v>
      </c>
      <c r="H38" s="27"/>
      <c r="I38" s="12">
        <v>0</v>
      </c>
      <c r="J38" s="42"/>
      <c r="K38" s="32"/>
      <c r="L38" s="22" t="s">
        <v>121</v>
      </c>
      <c r="M38" s="9">
        <v>30</v>
      </c>
    </row>
    <row r="39" s="1" customFormat="1" ht="80" customHeight="1" spans="1:13">
      <c r="A39" s="9">
        <v>11</v>
      </c>
      <c r="B39" s="43" t="s">
        <v>45</v>
      </c>
      <c r="C39" s="32" t="s">
        <v>144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10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5:N9"/>
  </mergeCells>
  <pageMargins left="0.75" right="0.75" top="1" bottom="1" header="0.5" footer="0.5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85" zoomScaleNormal="85" workbookViewId="0">
      <selection activeCell="A1" sqref="A1:M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6.7583333333333" style="2" customWidth="1"/>
    <col min="18" max="16384" width="9" style="2" customWidth="1"/>
  </cols>
  <sheetData>
    <row r="1" s="1" customFormat="1" ht="45" customHeight="1" spans="1:16">
      <c r="A1" s="5" t="s">
        <v>169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7">
        <v>46171</v>
      </c>
      <c r="O2" s="8"/>
      <c r="P2" s="8"/>
    </row>
    <row r="3" s="1" customFormat="1" ht="38" customHeight="1" spans="1:16">
      <c r="A3" s="9">
        <v>1</v>
      </c>
      <c r="B3" s="10" t="s">
        <v>13</v>
      </c>
      <c r="C3" s="11">
        <v>4.5</v>
      </c>
      <c r="D3" s="11">
        <v>5</v>
      </c>
      <c r="E3" s="12">
        <f t="shared" ref="E3:E12" si="0">C3+D3</f>
        <v>9.5</v>
      </c>
      <c r="F3" s="12" t="s">
        <v>14</v>
      </c>
      <c r="G3" s="12">
        <f>8.5+16+13+13+16+7.5+12+8+14+16.5+14.5+11.5+13.5+10+5.5+12.5+9.5+13.5+9.5+14+8.5+10+9+9.5+13+13+12+11.5+12+9.5</f>
        <v>346.5</v>
      </c>
      <c r="H3" s="12">
        <v>340</v>
      </c>
      <c r="I3" s="12">
        <f>H3-G3</f>
        <v>-6.5</v>
      </c>
      <c r="J3" s="13"/>
      <c r="K3" s="12"/>
      <c r="L3" s="12"/>
      <c r="M3" s="12">
        <f>I3/1</f>
        <v>-6.5</v>
      </c>
      <c r="N3" s="14" t="s">
        <v>149</v>
      </c>
      <c r="O3" s="15" t="s">
        <v>150</v>
      </c>
      <c r="P3" s="15" t="s">
        <v>151</v>
      </c>
    </row>
    <row r="4" s="1" customFormat="1" ht="38" customHeight="1" spans="1:16">
      <c r="A4" s="16">
        <v>2</v>
      </c>
      <c r="B4" s="10" t="s">
        <v>15</v>
      </c>
      <c r="C4" s="11">
        <v>12</v>
      </c>
      <c r="D4" s="11"/>
      <c r="E4" s="12">
        <f t="shared" si="0"/>
        <v>12</v>
      </c>
      <c r="F4" s="12" t="s">
        <v>14</v>
      </c>
      <c r="G4" s="12">
        <f>12+10+18+10+14+16+8+10+10+12+18+14+12+14+10+4+14+8+14+10+14+8+10+8+10+14+12+12+12+12</f>
        <v>350</v>
      </c>
      <c r="H4" s="17"/>
      <c r="I4" s="17"/>
      <c r="J4" s="13"/>
      <c r="K4" s="12"/>
      <c r="L4" s="12"/>
      <c r="M4" s="12"/>
      <c r="N4" s="15" t="s">
        <v>2</v>
      </c>
      <c r="O4" s="15" t="s">
        <v>170</v>
      </c>
      <c r="P4" s="15" t="s">
        <v>153</v>
      </c>
    </row>
    <row r="5" s="1" customFormat="1" ht="38" customHeight="1" spans="1:16">
      <c r="A5" s="16">
        <v>3</v>
      </c>
      <c r="B5" s="10" t="s">
        <v>16</v>
      </c>
      <c r="C5" s="12">
        <v>70</v>
      </c>
      <c r="D5" s="12">
        <v>0</v>
      </c>
      <c r="E5" s="12">
        <f t="shared" si="0"/>
        <v>70</v>
      </c>
      <c r="F5" s="12" t="s">
        <v>14</v>
      </c>
      <c r="G5" s="12">
        <f>127+161+174+183+112+177+87+146+147+209+196+191+145+92+120+147+159+86+182+152+161+144+41+170+184+169+186+163+187+70</f>
        <v>4468</v>
      </c>
      <c r="H5" s="12">
        <v>5239</v>
      </c>
      <c r="I5" s="12">
        <f>H5-G5-G7-G6</f>
        <v>748</v>
      </c>
      <c r="J5" s="18"/>
      <c r="K5" s="12"/>
      <c r="L5" s="12"/>
      <c r="M5" s="12"/>
      <c r="N5" s="20"/>
      <c r="O5" s="15" t="s">
        <v>171</v>
      </c>
      <c r="P5" s="15" t="s">
        <v>153</v>
      </c>
    </row>
    <row r="6" s="1" customFormat="1" ht="38" customHeight="1" spans="1:16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0+0+0+0+0+0+0+0+0+0+0+0+0+0+0+0+0+0+0+0+0+0+0+0+0+0+0+0+0+0</f>
        <v>0</v>
      </c>
      <c r="H6" s="19"/>
      <c r="I6" s="19"/>
      <c r="J6" s="13"/>
      <c r="K6" s="12"/>
      <c r="L6" s="12"/>
      <c r="M6" s="12"/>
      <c r="N6" s="15" t="s">
        <v>3</v>
      </c>
      <c r="O6" s="15" t="s">
        <v>172</v>
      </c>
      <c r="P6" s="15" t="s">
        <v>153</v>
      </c>
    </row>
    <row r="7" s="1" customFormat="1" ht="38" customHeight="1" spans="1:16">
      <c r="A7" s="19"/>
      <c r="B7" s="10" t="s">
        <v>18</v>
      </c>
      <c r="C7" s="12">
        <v>0</v>
      </c>
      <c r="D7" s="12">
        <v>18</v>
      </c>
      <c r="E7" s="12">
        <f t="shared" si="0"/>
        <v>18</v>
      </c>
      <c r="F7" s="12" t="s">
        <v>14</v>
      </c>
      <c r="G7" s="12">
        <f>0+0+0+0+0+0+0+0+0+0+0+0+0+0+0+0+0+0+0+0+1+0+0+1+0+0+0+1+2+18</f>
        <v>23</v>
      </c>
      <c r="H7" s="19"/>
      <c r="I7" s="19"/>
      <c r="J7" s="13"/>
      <c r="K7" s="12"/>
      <c r="L7" s="12"/>
      <c r="M7" s="12"/>
      <c r="N7" s="20"/>
      <c r="O7" s="15" t="s">
        <v>173</v>
      </c>
      <c r="P7" s="15" t="s">
        <v>174</v>
      </c>
    </row>
    <row r="8" s="1" customFormat="1" ht="38" customHeight="1" spans="1:16">
      <c r="A8" s="19"/>
      <c r="B8" s="10" t="s">
        <v>19</v>
      </c>
      <c r="C8" s="12">
        <v>0</v>
      </c>
      <c r="D8" s="12">
        <v>0</v>
      </c>
      <c r="E8" s="12">
        <f t="shared" si="0"/>
        <v>0</v>
      </c>
      <c r="F8" s="12" t="s">
        <v>14</v>
      </c>
      <c r="G8" s="12">
        <f>0+0+0+0+1+0+3+0+0+1+0+0+0+0+0+1+0+0+0+0+0+0+0+0+1+0+0+0+1+0</f>
        <v>8</v>
      </c>
      <c r="H8" s="20"/>
      <c r="I8" s="20"/>
      <c r="J8" s="13"/>
      <c r="K8" s="12"/>
      <c r="L8" s="12"/>
      <c r="M8" s="12"/>
      <c r="N8" s="25"/>
      <c r="O8" s="25"/>
      <c r="P8" s="25"/>
    </row>
    <row r="9" s="1" customFormat="1" ht="25" customHeight="1" spans="1:16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116.84+61.93+0+0+0+41.52+0+37.57+0+0+0+40.96+30.91+40.68+31.37+31.83+81.7+0+112.9+0+40.98+71.56+31.17+41.04+0+0+0+0+41.34+0</f>
        <v>854.3</v>
      </c>
      <c r="H9" s="17">
        <v>6.27</v>
      </c>
      <c r="I9" s="17">
        <f>H9-K10</f>
        <v>-1.071632</v>
      </c>
      <c r="J9" s="22" t="s">
        <v>107</v>
      </c>
      <c r="K9" s="12">
        <v>120</v>
      </c>
      <c r="L9" s="12">
        <v>0</v>
      </c>
      <c r="M9" s="23"/>
      <c r="N9" s="25"/>
      <c r="O9" s="25"/>
      <c r="P9" s="25"/>
    </row>
    <row r="10" s="1" customFormat="1" ht="25" customHeight="1" spans="1:16">
      <c r="A10" s="9">
        <v>5</v>
      </c>
      <c r="B10" s="10" t="s">
        <v>22</v>
      </c>
      <c r="C10" s="12">
        <v>6.7905</v>
      </c>
      <c r="D10" s="12">
        <v>1.5525</v>
      </c>
      <c r="E10" s="12">
        <f t="shared" si="0"/>
        <v>8.343</v>
      </c>
      <c r="F10" s="12" t="s">
        <v>14</v>
      </c>
      <c r="G10" s="12">
        <f>9.8415+8.019+6.237+13.635+8.1135+6.9255+7.3035+4.6305+6.345+9.3285+10.476+8.7075+9.369+5.481+4.752+9.5715+6.5475+5.643+7.668+9.4365+6.183+7.02+4.347+7.6815+5.616+9.504+9.585+11.124+4.9275+8.343</f>
        <v>232.362</v>
      </c>
      <c r="H10" s="12"/>
      <c r="I10" s="12">
        <f>G10/(G3*0.1865)</f>
        <v>3.5956965286724</v>
      </c>
      <c r="J10" s="22" t="s">
        <v>23</v>
      </c>
      <c r="K10" s="23">
        <f>0.946404+0.526405+0+0+0+0.369528+0+0.345644+0+0+0+0.335872+0.265826+0.357984+0.288604+0.28647+0.71079+0+0.99352+0+0.344232+0.601104+0.264945+0.357048+0+0+0+0+0.347256+0</f>
        <v>7.341632</v>
      </c>
      <c r="L10" s="12"/>
      <c r="M10" s="12">
        <f>C9*L9/100</f>
        <v>0</v>
      </c>
      <c r="O10" s="25"/>
      <c r="P10" s="25"/>
    </row>
    <row r="11" s="1" customFormat="1" ht="25" customHeight="1" spans="1:16">
      <c r="A11" s="9">
        <v>6</v>
      </c>
      <c r="B11" s="10" t="s">
        <v>24</v>
      </c>
      <c r="C11" s="12">
        <v>20.424</v>
      </c>
      <c r="D11" s="12">
        <v>0</v>
      </c>
      <c r="E11" s="12">
        <f t="shared" si="0"/>
        <v>20.424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16.8544+8.4824+14.9408+17.5168+16.9464+4.3424+22.08+11.8496+11.9232+17.0936+13.7264+18.86+11.3528+15.1432+10.2856+10.8744+14.7016+17.572+8.8872+16.7808+13.7632+13.9656+6.8816+15.8976+11.0032+21.0496+10.3776+18.6944+11.8312+20.424</f>
        <v>424.1016</v>
      </c>
      <c r="H11" s="12"/>
      <c r="I11" s="12">
        <f>G11/(G3*0.1865)</f>
        <v>6.56277984749835</v>
      </c>
      <c r="J11" s="13"/>
      <c r="K11" s="12"/>
      <c r="L11" s="12"/>
      <c r="M11" s="26"/>
      <c r="N11" s="1"/>
      <c r="O11" s="25"/>
      <c r="P11" s="25"/>
    </row>
    <row r="12" s="1" customFormat="1" ht="25" customHeight="1" spans="1:16">
      <c r="A12" s="9">
        <v>7</v>
      </c>
      <c r="B12" s="10" t="s">
        <v>25</v>
      </c>
      <c r="C12" s="12">
        <v>179</v>
      </c>
      <c r="D12" s="12">
        <v>276</v>
      </c>
      <c r="E12" s="12">
        <f t="shared" si="0"/>
        <v>455</v>
      </c>
      <c r="F12" s="12"/>
      <c r="G12" s="12">
        <f>280+495+437+544+380+394+300+578+329+529+497+482+462+323+318+459+442+366+444+461+398+416+155+429+423+436+437+484+424+455</f>
        <v>12577</v>
      </c>
      <c r="H12" s="12">
        <f>G12*1.05</f>
        <v>13205.85</v>
      </c>
      <c r="I12" s="12"/>
      <c r="J12" s="13"/>
      <c r="K12" s="12"/>
      <c r="L12" s="12"/>
      <c r="M12" s="26"/>
    </row>
    <row r="13" s="1" customFormat="1" ht="25" customHeight="1" spans="1:16">
      <c r="A13" s="16">
        <v>8</v>
      </c>
      <c r="B13" s="10" t="s">
        <v>26</v>
      </c>
      <c r="C13" s="12">
        <v>144</v>
      </c>
      <c r="D13" s="12">
        <v>230</v>
      </c>
      <c r="E13" s="12">
        <f t="shared" ref="E13:E21" si="1">D13+C13</f>
        <v>374</v>
      </c>
      <c r="F13" s="12" t="s">
        <v>27</v>
      </c>
      <c r="G13" s="12">
        <f>282+436+387+416+376+286+243+396+353+470+428+288+421+233+281+359+301+336+354+395+228+344+180+345+368+389+341+392+372+374</f>
        <v>10374</v>
      </c>
      <c r="H13" s="12"/>
      <c r="I13" s="12"/>
      <c r="J13" s="18"/>
      <c r="K13" s="12"/>
      <c r="L13" s="12"/>
      <c r="M13" s="12"/>
      <c r="N13" s="25"/>
      <c r="O13" s="25"/>
      <c r="P13" s="25"/>
    </row>
    <row r="14" s="1" customFormat="1" ht="25" customHeight="1" spans="1:16">
      <c r="A14" s="9">
        <v>9</v>
      </c>
      <c r="B14" s="10" t="s">
        <v>28</v>
      </c>
      <c r="C14" s="12">
        <v>441.25</v>
      </c>
      <c r="D14" s="12">
        <v>365.5</v>
      </c>
      <c r="E14" s="12">
        <f t="shared" si="1"/>
        <v>806.75</v>
      </c>
      <c r="F14" s="12" t="s">
        <v>27</v>
      </c>
      <c r="G14" s="12">
        <f>677.66+732.19+798.94+881.44+519.28+837+784.96+736.12+741.94+781.75+680.65+708.72+773.6+377.6+563.1+636.47+803.32+689.35+755.61+562.27+696.86+493.41+520.25+623.91+693+798.71+788.16+782.25+734.5+806.75</f>
        <v>20979.77</v>
      </c>
      <c r="H14" s="12"/>
      <c r="I14" s="12"/>
      <c r="J14" s="22" t="s">
        <v>29</v>
      </c>
      <c r="K14" s="12">
        <v>2.79</v>
      </c>
      <c r="L14" s="12">
        <v>2.71</v>
      </c>
      <c r="M14" s="12"/>
      <c r="N14" s="25"/>
      <c r="O14" s="25"/>
      <c r="P14" s="25"/>
    </row>
    <row r="15" s="1" customFormat="1" ht="25" customHeight="1" spans="1:16">
      <c r="A15" s="9">
        <v>10</v>
      </c>
      <c r="B15" s="10" t="s">
        <v>30</v>
      </c>
      <c r="C15" s="12">
        <v>12</v>
      </c>
      <c r="D15" s="12">
        <v>15</v>
      </c>
      <c r="E15" s="12">
        <f t="shared" si="1"/>
        <v>27</v>
      </c>
      <c r="F15" s="12" t="s">
        <v>14</v>
      </c>
      <c r="G15" s="12">
        <f>21+39+30+33+33+21+18+33+30+36+36+24+33+18+21+30+24+30+24+36+21+27+18+27+33+30+27+33+30+27</f>
        <v>843</v>
      </c>
      <c r="H15" s="12"/>
      <c r="I15" s="12">
        <f>G15/(G3*0.1865)</f>
        <v>13.0450425356592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+2.2176+2.4289256+2.4750424+2.37804+2.1395102+2.2215925</f>
        <v>66.4457647</v>
      </c>
      <c r="L15" s="12"/>
      <c r="M15" s="12">
        <f>(C14*K14+L14*D14)/1000</f>
        <v>2.2215925</v>
      </c>
      <c r="N15" s="25"/>
      <c r="O15" s="25"/>
      <c r="P15" s="25"/>
    </row>
    <row r="16" s="1" customFormat="1" ht="25" customHeight="1" spans="1:16">
      <c r="A16" s="9">
        <v>11</v>
      </c>
      <c r="B16" s="10" t="s">
        <v>32</v>
      </c>
      <c r="C16" s="9">
        <v>0.0625</v>
      </c>
      <c r="D16" s="9">
        <v>0</v>
      </c>
      <c r="E16" s="12">
        <f t="shared" si="1"/>
        <v>0.0625</v>
      </c>
      <c r="F16" s="12" t="s">
        <v>14</v>
      </c>
      <c r="G16" s="12">
        <f>0.0125+0+0+0.075+0+0.0875+0.05+0.05+0+0+0+0.125+0+0.075+0+0.075+0.1125+0+0+0+0.15+0+0+0+0+0+0.075+0.0875+0+0.0625</f>
        <v>1.0375</v>
      </c>
      <c r="H16" s="27"/>
      <c r="I16" s="27"/>
      <c r="J16" s="13"/>
      <c r="K16" s="27"/>
      <c r="L16" s="27"/>
      <c r="M16" s="12"/>
      <c r="O16" s="25"/>
      <c r="P16" s="25"/>
    </row>
    <row r="17" s="1" customFormat="1" ht="25" customHeight="1" spans="1:13">
      <c r="A17" s="16">
        <v>12</v>
      </c>
      <c r="B17" s="10" t="s">
        <v>33</v>
      </c>
      <c r="C17" s="12">
        <v>2</v>
      </c>
      <c r="D17" s="9">
        <v>0</v>
      </c>
      <c r="E17" s="12">
        <f t="shared" si="1"/>
        <v>2</v>
      </c>
      <c r="F17" s="12" t="s">
        <v>14</v>
      </c>
      <c r="G17" s="12">
        <f>2+0+2+2+2+0+2+0+2+2+0+2+0+2+0+2+0+2+0+2+2+2+0+0+2+2+0+2+0+2</f>
        <v>36</v>
      </c>
      <c r="H17" s="27"/>
      <c r="I17" s="12">
        <f>G17/(G3*0.1865)</f>
        <v>0.557083667003238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2</v>
      </c>
      <c r="D18" s="9">
        <v>0</v>
      </c>
      <c r="E18" s="12">
        <f t="shared" si="1"/>
        <v>2</v>
      </c>
      <c r="F18" s="12" t="s">
        <v>14</v>
      </c>
      <c r="G18" s="12">
        <f>2+0+2+2+2+0+2+0+2+2+0+2+0+2+0+2+0+2+0+2+2+2+0+0+2+2+0+2+0+2</f>
        <v>36</v>
      </c>
      <c r="H18" s="27"/>
      <c r="I18" s="12">
        <f>G18/(G3*0.1865)</f>
        <v>0.557083667003238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7</v>
      </c>
      <c r="D19" s="9">
        <v>3</v>
      </c>
      <c r="E19" s="12">
        <f t="shared" si="1"/>
        <v>10</v>
      </c>
      <c r="F19" s="12" t="s">
        <v>36</v>
      </c>
      <c r="G19" s="12">
        <f>10+5+7+21+9+6+7+6+11+11+8+8+6+5+4+10+10+10+10+4+12+6+3+7+9+10+9+7+5+10</f>
        <v>246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553</v>
      </c>
      <c r="D20" s="9">
        <v>119</v>
      </c>
      <c r="E20" s="12">
        <f t="shared" si="1"/>
        <v>672</v>
      </c>
      <c r="F20" s="12" t="s">
        <v>27</v>
      </c>
      <c r="G20" s="12">
        <f>1011+1084+1036+1277+854+1124+787+1194+1035+1351+1157+1170+1119+749+828+968+955+899+1310+1099+1029+1084+448+1129+1064+1084+1178+1181+1115+672</f>
        <v>30991</v>
      </c>
      <c r="H20" s="28"/>
      <c r="I20" s="12">
        <f>E20/M20</f>
        <v>51.6923076923077</v>
      </c>
      <c r="J20" s="22" t="s">
        <v>38</v>
      </c>
      <c r="K20" s="12">
        <f>18+24+24+24+15+21.5+13+20.5+18+24+24+24+24+17+17+24+24+18.5+24+24+24+23.5+8+24+24+24+24+24+24+13</f>
        <v>635</v>
      </c>
      <c r="L20" s="12">
        <f>G20/K20</f>
        <v>48.8047244094488</v>
      </c>
      <c r="M20" s="12">
        <v>13</v>
      </c>
    </row>
    <row r="21" s="1" customFormat="1" ht="25" customHeight="1" spans="1:13">
      <c r="A21" s="16">
        <v>16</v>
      </c>
      <c r="B21" s="10" t="s">
        <v>39</v>
      </c>
      <c r="C21" s="9">
        <v>558</v>
      </c>
      <c r="D21" s="9">
        <v>263</v>
      </c>
      <c r="E21" s="12">
        <f t="shared" si="1"/>
        <v>821</v>
      </c>
      <c r="F21" s="12" t="s">
        <v>27</v>
      </c>
      <c r="G21" s="12">
        <f>1281+1421+1306+1647+1060+1392+944+1503+1292+1749+1504+1463+1321+885+989+1313+1252+1065+1613+1298+1261+1213+508+1410+1340+1363+1419+1484+1413+821</f>
        <v>38530</v>
      </c>
      <c r="H21" s="27"/>
      <c r="I21" s="12">
        <f>E21/M20</f>
        <v>63.1538461538462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31.75</v>
      </c>
      <c r="D22" s="16">
        <v>32.8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 t="s">
        <v>175</v>
      </c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176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177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8.25</v>
      </c>
      <c r="D30" s="12">
        <v>1</v>
      </c>
      <c r="E30" s="12">
        <f t="shared" si="2"/>
        <v>9.25</v>
      </c>
      <c r="F30" s="12" t="s">
        <v>27</v>
      </c>
      <c r="G30" s="12">
        <f>17.63+8.3+15.11+16.68+16.59+16.58+0+0+0+8.32+8.28+16.39+0+0+0+0+0+0+0+20.16+16.58+16.55+17.08+16.63+16.68+0+0+0+0+9.25</f>
        <v>236.81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31.7</v>
      </c>
      <c r="D31" s="12">
        <v>10</v>
      </c>
      <c r="E31" s="12">
        <f t="shared" si="2"/>
        <v>41.7</v>
      </c>
      <c r="F31" s="12" t="s">
        <v>27</v>
      </c>
      <c r="G31" s="12">
        <f>28+25+28+24+15+16+20+26+28+25+15+19+15+32+26+17+15+23+84+82.74+33+25+12+24+73+42+29+13+25+41.7</f>
        <v>881.44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4.509+7.7625+0+10.5435+7.7085+9.288+0+0+0+0+8.127+10.179+0+0+0+0+0+0+0+0+10.8405+0+6.8715+12.528+0+12.42+0+0+0+0</f>
        <v>100.7775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161</v>
      </c>
      <c r="D34" s="12">
        <v>250</v>
      </c>
      <c r="E34" s="12">
        <f t="shared" si="2"/>
        <v>411</v>
      </c>
      <c r="F34" s="12" t="s">
        <v>27</v>
      </c>
      <c r="G34" s="12">
        <f>620+619+610+632+626+623+310+603+607+603+609+584+337+49+202+208+276+327+538+606+508+283+551+574+576+189+379+367+342+411</f>
        <v>13769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505</v>
      </c>
      <c r="D35" s="12">
        <v>506</v>
      </c>
      <c r="E35" s="12">
        <f t="shared" si="2"/>
        <v>1011</v>
      </c>
      <c r="F35" s="12" t="s">
        <v>27</v>
      </c>
      <c r="G35" s="12">
        <f>901+911+932+914+912+877+753+854+820+759+785+736+761+0+591+368+0+462+965+1011+935+1016+1019+1019+982+731+1020+1008+1011+1011</f>
        <v>24064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0+0+0+0+0+0+0+0+0+0+0+0+0+0+0+0+0+0+0+0+0+0+0+0+0+0+0+0+0+0</f>
        <v>0</v>
      </c>
      <c r="H36" s="27"/>
      <c r="I36" s="9">
        <v>607.5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0+0+0+0+0+0+0+0+0+0+0+0+0+0+0+0+0+0+0+0+0+0+0+0+0+0+0+0+0+0</f>
        <v>0</v>
      </c>
      <c r="H37" s="27"/>
      <c r="I37" s="9">
        <v>20.8464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0+0+2+0+3+0+0+0+0+2+0+3+0+12+1+5+10+0+5+7+2+3+4+2+2+0+0+0+0+0</f>
        <v>63</v>
      </c>
      <c r="H38" s="27"/>
      <c r="I38" s="12">
        <v>0</v>
      </c>
      <c r="J38" s="42"/>
      <c r="K38" s="32"/>
      <c r="L38" s="22" t="s">
        <v>121</v>
      </c>
      <c r="M38" s="9">
        <v>22</v>
      </c>
    </row>
    <row r="39" s="1" customFormat="1" ht="80" customHeight="1" spans="1:13">
      <c r="A39" s="9">
        <v>11</v>
      </c>
      <c r="B39" s="43" t="s">
        <v>45</v>
      </c>
      <c r="C39" s="32" t="s">
        <v>144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12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4:N5"/>
    <mergeCell ref="N6:N7"/>
    <mergeCell ref="N15:N16"/>
  </mergeCells>
  <pageMargins left="0.75" right="0.75" top="1" bottom="1" header="0.5" footer="0.5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abSelected="1" zoomScale="85" zoomScaleNormal="85" workbookViewId="0">
      <selection activeCell="K2" sqref="K2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9.7" style="2" customWidth="1"/>
    <col min="15" max="15" width="17.2" style="2" customWidth="1"/>
    <col min="16" max="16" width="15.4333333333333" style="2" customWidth="1"/>
    <col min="17" max="17" width="16.7583333333333" style="2" customWidth="1"/>
    <col min="18" max="16384" width="9" style="2" customWidth="1"/>
  </cols>
  <sheetData>
    <row r="1" s="1" customFormat="1" ht="45" customHeight="1" spans="1:16">
      <c r="A1" s="5" t="s">
        <v>178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7">
        <v>46172</v>
      </c>
      <c r="O2" s="8"/>
      <c r="P2" s="8"/>
    </row>
    <row r="3" s="1" customFormat="1" ht="38" customHeight="1" spans="1:16">
      <c r="A3" s="9">
        <v>1</v>
      </c>
      <c r="B3" s="10" t="s">
        <v>13</v>
      </c>
      <c r="C3" s="11">
        <v>5.5</v>
      </c>
      <c r="D3" s="11">
        <v>4</v>
      </c>
      <c r="E3" s="12">
        <f t="shared" ref="E3:E12" si="0">C3+D3</f>
        <v>9.5</v>
      </c>
      <c r="F3" s="12" t="s">
        <v>14</v>
      </c>
      <c r="G3" s="12">
        <f>8.5+16+13+13+16+7.5+12+8+14+16.5+14.5+11.5+13.5+10+5.5+12.5+9.5+13.5+9.5+14+8.5+10+9+9.5+13+13+12+11.5+12+9.5+9.5</f>
        <v>356</v>
      </c>
      <c r="H3" s="12">
        <v>340</v>
      </c>
      <c r="I3" s="12">
        <f>H3-G3</f>
        <v>-16</v>
      </c>
      <c r="J3" s="13"/>
      <c r="K3" s="12"/>
      <c r="L3" s="12"/>
      <c r="M3" s="12"/>
      <c r="N3" s="14" t="s">
        <v>149</v>
      </c>
      <c r="O3" s="15" t="s">
        <v>150</v>
      </c>
      <c r="P3" s="15" t="s">
        <v>151</v>
      </c>
    </row>
    <row r="4" s="1" customFormat="1" ht="38" customHeight="1" spans="1:16">
      <c r="A4" s="16">
        <v>2</v>
      </c>
      <c r="B4" s="10" t="s">
        <v>15</v>
      </c>
      <c r="C4" s="11">
        <v>10</v>
      </c>
      <c r="D4" s="11"/>
      <c r="E4" s="12">
        <f t="shared" si="0"/>
        <v>10</v>
      </c>
      <c r="F4" s="12" t="s">
        <v>14</v>
      </c>
      <c r="G4" s="12">
        <f>12+10+18+10+14+16+8+10+10+12+18+14+12+14+10+4+14+8+14+10+14+8+10+8+10+14+12+12+12+12+10</f>
        <v>360</v>
      </c>
      <c r="H4" s="17"/>
      <c r="I4" s="17"/>
      <c r="J4" s="13"/>
      <c r="K4" s="12"/>
      <c r="L4" s="12"/>
      <c r="M4" s="12"/>
      <c r="N4" s="15" t="s">
        <v>2</v>
      </c>
      <c r="O4" s="15" t="s">
        <v>179</v>
      </c>
      <c r="P4" s="15" t="s">
        <v>153</v>
      </c>
    </row>
    <row r="5" s="1" customFormat="1" ht="38" customHeight="1" spans="1:16">
      <c r="A5" s="16">
        <v>3</v>
      </c>
      <c r="B5" s="10" t="s">
        <v>16</v>
      </c>
      <c r="C5" s="12">
        <v>56</v>
      </c>
      <c r="D5" s="12">
        <v>104</v>
      </c>
      <c r="E5" s="12">
        <f t="shared" si="0"/>
        <v>160</v>
      </c>
      <c r="F5" s="12" t="s">
        <v>14</v>
      </c>
      <c r="G5" s="12">
        <f>127+161+174+183+112+177+87+146+147+209+196+191+145+92+120+147+159+86+182+152+161+144+41+170+184+169+186+163+187+70+160</f>
        <v>4628</v>
      </c>
      <c r="H5" s="12">
        <v>5239</v>
      </c>
      <c r="I5" s="12">
        <f>H5-G5-G7-G6</f>
        <v>585</v>
      </c>
      <c r="J5" s="18"/>
      <c r="K5" s="12"/>
      <c r="L5" s="12"/>
      <c r="M5" s="12"/>
      <c r="N5" s="19"/>
      <c r="O5" s="15" t="s">
        <v>180</v>
      </c>
      <c r="P5" s="15" t="s">
        <v>153</v>
      </c>
    </row>
    <row r="6" s="1" customFormat="1" ht="38" customHeight="1" spans="1:16">
      <c r="A6" s="19"/>
      <c r="B6" s="10" t="s">
        <v>17</v>
      </c>
      <c r="C6" s="12">
        <v>0</v>
      </c>
      <c r="D6" s="12">
        <v>0</v>
      </c>
      <c r="E6" s="12">
        <f t="shared" si="0"/>
        <v>0</v>
      </c>
      <c r="F6" s="12" t="s">
        <v>14</v>
      </c>
      <c r="G6" s="12">
        <f>0+0+0+0+0+0+0+0+0+0+0+0+0+0+0+0+0+0+0+0+0+0+0+0+0+0+0+0+0+0+0</f>
        <v>0</v>
      </c>
      <c r="H6" s="19"/>
      <c r="I6" s="19"/>
      <c r="J6" s="13"/>
      <c r="K6" s="12"/>
      <c r="L6" s="12"/>
      <c r="M6" s="12"/>
      <c r="N6" s="20"/>
      <c r="O6" s="15" t="s">
        <v>181</v>
      </c>
      <c r="P6" s="15" t="s">
        <v>174</v>
      </c>
    </row>
    <row r="7" s="1" customFormat="1" ht="38" customHeight="1" spans="1:16">
      <c r="A7" s="19"/>
      <c r="B7" s="10" t="s">
        <v>18</v>
      </c>
      <c r="C7" s="12">
        <v>3</v>
      </c>
      <c r="D7" s="12">
        <v>0</v>
      </c>
      <c r="E7" s="12">
        <f t="shared" si="0"/>
        <v>3</v>
      </c>
      <c r="F7" s="12" t="s">
        <v>14</v>
      </c>
      <c r="G7" s="12">
        <f>0+0+0+0+0+0+0+0+0+0+0+0+0+0+0+0+0+0+0+0+1+0+0+1+0+0+0+1+2+18+3</f>
        <v>26</v>
      </c>
      <c r="H7" s="19"/>
      <c r="I7" s="19"/>
      <c r="J7" s="13"/>
      <c r="K7" s="12"/>
      <c r="L7" s="12"/>
      <c r="M7" s="12"/>
      <c r="N7" s="15" t="s">
        <v>3</v>
      </c>
      <c r="O7" s="15" t="s">
        <v>182</v>
      </c>
      <c r="P7" s="15" t="s">
        <v>153</v>
      </c>
    </row>
    <row r="8" s="1" customFormat="1" ht="38" customHeight="1" spans="1:16">
      <c r="A8" s="19"/>
      <c r="B8" s="10" t="s">
        <v>19</v>
      </c>
      <c r="C8" s="12">
        <v>0</v>
      </c>
      <c r="D8" s="12">
        <v>1</v>
      </c>
      <c r="E8" s="12">
        <f t="shared" si="0"/>
        <v>1</v>
      </c>
      <c r="F8" s="12" t="s">
        <v>14</v>
      </c>
      <c r="G8" s="12">
        <f>0+0+0+0+1+0+3+0+0+1+0+0+0+0+0+1+0+0+0+0+0+0+0+0+1+0+0+0+1+0+1</f>
        <v>9</v>
      </c>
      <c r="H8" s="20"/>
      <c r="I8" s="20"/>
      <c r="J8" s="13"/>
      <c r="K8" s="12"/>
      <c r="L8" s="12"/>
      <c r="M8" s="12"/>
      <c r="N8" s="19"/>
      <c r="O8" s="15" t="s">
        <v>183</v>
      </c>
      <c r="P8" s="15" t="s">
        <v>153</v>
      </c>
    </row>
    <row r="9" s="1" customFormat="1" ht="25" customHeight="1" spans="1:16">
      <c r="A9" s="16">
        <v>4</v>
      </c>
      <c r="B9" s="21" t="s">
        <v>20</v>
      </c>
      <c r="C9" s="17">
        <v>0</v>
      </c>
      <c r="D9" s="17"/>
      <c r="E9" s="12">
        <f t="shared" si="0"/>
        <v>0</v>
      </c>
      <c r="F9" s="17" t="s">
        <v>14</v>
      </c>
      <c r="G9" s="12">
        <f>116.84+61.93+0+0+0+41.52+0+37.57+0+0+0+40.96+30.91+40.68+31.37+31.83+81.7+0+112.9+0+40.98+71.56+31.17+41.04+0+0+0+0+41.34+0+0</f>
        <v>854.3</v>
      </c>
      <c r="H9" s="17">
        <v>6.27</v>
      </c>
      <c r="I9" s="17">
        <f>H9-K10</f>
        <v>-1.071632</v>
      </c>
      <c r="J9" s="22" t="s">
        <v>107</v>
      </c>
      <c r="K9" s="12">
        <v>120</v>
      </c>
      <c r="L9" s="12">
        <v>0</v>
      </c>
      <c r="M9" s="23"/>
      <c r="N9" s="20"/>
      <c r="O9" s="15" t="s">
        <v>184</v>
      </c>
      <c r="P9" s="15" t="s">
        <v>153</v>
      </c>
    </row>
    <row r="10" s="1" customFormat="1" ht="25" customHeight="1" spans="1:16">
      <c r="A10" s="9">
        <v>5</v>
      </c>
      <c r="B10" s="10" t="s">
        <v>22</v>
      </c>
      <c r="C10" s="12">
        <v>8.91</v>
      </c>
      <c r="D10" s="12">
        <v>2.295</v>
      </c>
      <c r="E10" s="12">
        <f t="shared" si="0"/>
        <v>11.205</v>
      </c>
      <c r="F10" s="12" t="s">
        <v>14</v>
      </c>
      <c r="G10" s="12">
        <f>9.8415+8.019+6.237+13.635+8.1135+6.9255+7.3035+4.6305+6.345+9.3285+10.476+8.7075+9.369+5.481+4.752+9.5715+6.5475+5.643+7.668+9.4365+6.183+7.02+4.347+7.6815+5.616+9.504+9.585+11.124+4.9275+8.343+11.205</f>
        <v>243.567</v>
      </c>
      <c r="H10" s="12"/>
      <c r="I10" s="12">
        <f>G10/(G3*0.1865)</f>
        <v>3.66850920263879</v>
      </c>
      <c r="J10" s="22" t="s">
        <v>23</v>
      </c>
      <c r="K10" s="23">
        <f>0.946404+0.526405+0+0+0+0.369528+0+0.345644+0+0+0+0.335872+0.265826+0.357984+0.288604+0.28647+0.71079+0+0.99352+0+0.344232+0.601104+0.264945+0.357048+0+0+0+0+0.347256+0+0</f>
        <v>7.341632</v>
      </c>
      <c r="L10" s="12"/>
      <c r="M10" s="24">
        <f>C9*L9/100</f>
        <v>0</v>
      </c>
      <c r="O10" s="25"/>
      <c r="P10" s="25"/>
    </row>
    <row r="11" s="1" customFormat="1" ht="25" customHeight="1" spans="1:16">
      <c r="A11" s="9">
        <v>6</v>
      </c>
      <c r="B11" s="10" t="s">
        <v>24</v>
      </c>
      <c r="C11" s="12">
        <v>10.3776</v>
      </c>
      <c r="D11" s="12">
        <v>0</v>
      </c>
      <c r="E11" s="12">
        <f t="shared" si="0"/>
        <v>10.3776</v>
      </c>
      <c r="F11" s="12" t="s">
        <v>14</v>
      </c>
      <c r="G11" s="12">
        <f>16.8544+8.4824+14.9408+17.5168+16.9464+4.3424+22.08+11.8496+11.9232+17.0936+13.7264+18.86+11.3528+15.1432+10.2856+10.8744+14.7016+17.572+8.8872+16.7808+13.7632+13.9656+6.8816+15.8976+11.0032+21.0496+10.3776+18.6944+11.8312+20.424+10.3776</f>
        <v>434.4792</v>
      </c>
      <c r="H11" s="12"/>
      <c r="I11" s="12">
        <f>G11/(G3*0.1865)</f>
        <v>6.54395276681628</v>
      </c>
      <c r="J11" s="13"/>
      <c r="K11" s="12"/>
      <c r="L11" s="12"/>
      <c r="M11" s="26"/>
      <c r="O11" s="25"/>
      <c r="P11" s="25"/>
    </row>
    <row r="12" s="1" customFormat="1" ht="25" customHeight="1" spans="1:16">
      <c r="A12" s="9">
        <v>7</v>
      </c>
      <c r="B12" s="10" t="s">
        <v>25</v>
      </c>
      <c r="C12" s="12">
        <v>26</v>
      </c>
      <c r="D12" s="12">
        <v>269</v>
      </c>
      <c r="E12" s="12">
        <f t="shared" si="0"/>
        <v>295</v>
      </c>
      <c r="F12" s="12"/>
      <c r="G12" s="12">
        <f>280+495+437+544+380+394+300+578+329+529+497+482+462+323+318+459+442+366+444+461+398+416+155+429+423+436+437+484+424+455+295</f>
        <v>12872</v>
      </c>
      <c r="H12" s="12">
        <f>G12*1.05</f>
        <v>13515.6</v>
      </c>
      <c r="I12" s="12"/>
      <c r="J12" s="13"/>
      <c r="K12" s="12"/>
      <c r="L12" s="12"/>
      <c r="M12" s="26"/>
    </row>
    <row r="13" s="1" customFormat="1" ht="25" customHeight="1" spans="1:16">
      <c r="A13" s="16">
        <v>8</v>
      </c>
      <c r="B13" s="10" t="s">
        <v>26</v>
      </c>
      <c r="C13" s="12">
        <v>49</v>
      </c>
      <c r="D13" s="12">
        <v>200</v>
      </c>
      <c r="E13" s="12">
        <f t="shared" ref="E13:E21" si="1">D13+C13</f>
        <v>249</v>
      </c>
      <c r="F13" s="12" t="s">
        <v>27</v>
      </c>
      <c r="G13" s="12">
        <f>282+436+387+416+376+286+243+396+353+470+428+288+421+233+281+359+301+336+354+395+228+344+180+345+368+389+341+392+372+374+249</f>
        <v>10623</v>
      </c>
      <c r="H13" s="12"/>
      <c r="I13" s="12"/>
      <c r="J13" s="18"/>
      <c r="K13" s="12"/>
      <c r="L13" s="12"/>
      <c r="M13" s="12"/>
      <c r="N13" s="25"/>
      <c r="O13" s="25"/>
      <c r="P13" s="25"/>
    </row>
    <row r="14" s="1" customFormat="1" ht="25" customHeight="1" spans="1:16">
      <c r="A14" s="9">
        <v>9</v>
      </c>
      <c r="B14" s="10" t="s">
        <v>28</v>
      </c>
      <c r="C14" s="12">
        <v>379.72</v>
      </c>
      <c r="D14" s="12">
        <v>384.91</v>
      </c>
      <c r="E14" s="12">
        <f t="shared" si="1"/>
        <v>764.63</v>
      </c>
      <c r="F14" s="12" t="s">
        <v>27</v>
      </c>
      <c r="G14" s="12">
        <f>677.66+732.19+798.94+881.44+519.28+837+784.96+736.12+741.94+781.75+680.65+708.72+773.6+377.6+563.1+636.47+803.32+689.35+755.61+562.27+696.86+493.41+520.25+623.91+693+798.71+788.16+782.25+734.5+806.75+764.63</f>
        <v>21744.4</v>
      </c>
      <c r="H14" s="12"/>
      <c r="I14" s="12"/>
      <c r="J14" s="22" t="s">
        <v>29</v>
      </c>
      <c r="K14" s="12">
        <v>2.75</v>
      </c>
      <c r="L14" s="12">
        <v>2.93</v>
      </c>
      <c r="M14" s="12"/>
      <c r="N14" s="25"/>
      <c r="O14" s="25"/>
      <c r="P14" s="25"/>
    </row>
    <row r="15" s="1" customFormat="1" ht="25" customHeight="1" spans="1:16">
      <c r="A15" s="9">
        <v>10</v>
      </c>
      <c r="B15" s="10" t="s">
        <v>30</v>
      </c>
      <c r="C15" s="12">
        <v>6</v>
      </c>
      <c r="D15" s="12">
        <v>15</v>
      </c>
      <c r="E15" s="12">
        <f t="shared" si="1"/>
        <v>21</v>
      </c>
      <c r="F15" s="12" t="s">
        <v>14</v>
      </c>
      <c r="G15" s="12">
        <f>21+39+30+33+33+21+18+33+30+36+36+24+33+18+21+30+24+30+24+36+21+27+18+27+33+30+27+33+30+27+21</f>
        <v>864</v>
      </c>
      <c r="H15" s="12"/>
      <c r="I15" s="12">
        <f>G15/(G3*0.1865)</f>
        <v>13.0132240865138</v>
      </c>
      <c r="J15" s="22" t="s">
        <v>31</v>
      </c>
      <c r="K15" s="23">
        <f>2.2333187+2.4654986+2.5645024+3.1869984+1.6910493+2.6327277+2.5231379+2.3150624+2.2740958+2.371376+2.1212961+2.1141256+2.4494317+1.2174571+1.733172+2.0622557+2.6259264+2.1840665+2.2767711+1.749917+2.5737928+1.518852+1.6583718+2.041851+2.2176+2.4289256+2.4750424+2.37804+2.1395102+2.2215925+2.1720163</f>
        <v>68.617781</v>
      </c>
      <c r="L15" s="12"/>
      <c r="M15" s="12">
        <f>(C14*K14+L14*D14)/1000</f>
        <v>2.1720163</v>
      </c>
      <c r="N15" s="25"/>
      <c r="O15" s="25"/>
      <c r="P15" s="25"/>
    </row>
    <row r="16" s="1" customFormat="1" ht="25" customHeight="1" spans="1:16">
      <c r="A16" s="9">
        <v>11</v>
      </c>
      <c r="B16" s="10" t="s">
        <v>32</v>
      </c>
      <c r="C16" s="9">
        <v>0</v>
      </c>
      <c r="D16" s="9">
        <v>0</v>
      </c>
      <c r="E16" s="12">
        <f t="shared" si="1"/>
        <v>0</v>
      </c>
      <c r="F16" s="12" t="s">
        <v>14</v>
      </c>
      <c r="G16" s="12">
        <f>0.0125+0+0+0.075+0+0.0875+0.05+0.05+0+0+0+0.125+0+0.075+0+0.075+0.1125+0+0+0+0.15+0+0+0+0+0+0.075+0.0875+0+0.0625+0</f>
        <v>1.0375</v>
      </c>
      <c r="H16" s="27"/>
      <c r="I16" s="27"/>
      <c r="J16" s="13"/>
      <c r="K16" s="27"/>
      <c r="L16" s="27"/>
      <c r="M16" s="12"/>
      <c r="O16" s="25"/>
      <c r="P16" s="25"/>
    </row>
    <row r="17" s="1" customFormat="1" ht="25" customHeight="1" spans="1:13">
      <c r="A17" s="16">
        <v>12</v>
      </c>
      <c r="B17" s="10" t="s">
        <v>33</v>
      </c>
      <c r="C17" s="12">
        <v>0</v>
      </c>
      <c r="D17" s="9">
        <v>0</v>
      </c>
      <c r="E17" s="12">
        <f t="shared" si="1"/>
        <v>0</v>
      </c>
      <c r="F17" s="12" t="s">
        <v>14</v>
      </c>
      <c r="G17" s="12">
        <f>2+0+2+2+2+0+2+0+2+2+0+2+0+2+0+2+0+2+0+2+2+2+0+0+2+2+0+2+0+2+0</f>
        <v>36</v>
      </c>
      <c r="H17" s="27"/>
      <c r="I17" s="12">
        <f>G17/(G3*0.1865)</f>
        <v>0.54221767027141</v>
      </c>
      <c r="J17" s="13"/>
      <c r="K17" s="27"/>
      <c r="L17" s="27"/>
      <c r="M17" s="12"/>
    </row>
    <row r="18" s="1" customFormat="1" ht="25" customHeight="1" spans="1:13">
      <c r="A18" s="9">
        <v>13</v>
      </c>
      <c r="B18" s="10" t="s">
        <v>34</v>
      </c>
      <c r="C18" s="12">
        <v>0</v>
      </c>
      <c r="D18" s="9">
        <v>0</v>
      </c>
      <c r="E18" s="12">
        <f t="shared" si="1"/>
        <v>0</v>
      </c>
      <c r="F18" s="12" t="s">
        <v>14</v>
      </c>
      <c r="G18" s="12">
        <f>2+0+2+2+2+0+2+0+2+2+0+2+0+2+0+2+0+2+0+2+2+2+0+0+2+2+0+2+0+2+0</f>
        <v>36</v>
      </c>
      <c r="H18" s="27"/>
      <c r="I18" s="12">
        <f>G18/(G3*0.1865)</f>
        <v>0.54221767027141</v>
      </c>
      <c r="J18" s="13"/>
      <c r="K18" s="27"/>
      <c r="L18" s="27"/>
      <c r="M18" s="12"/>
    </row>
    <row r="19" s="1" customFormat="1" ht="25" customHeight="1" spans="1:13">
      <c r="A19" s="9">
        <v>14</v>
      </c>
      <c r="B19" s="10" t="s">
        <v>35</v>
      </c>
      <c r="C19" s="12">
        <v>2</v>
      </c>
      <c r="D19" s="9">
        <v>2</v>
      </c>
      <c r="E19" s="12">
        <f t="shared" si="1"/>
        <v>4</v>
      </c>
      <c r="F19" s="12" t="s">
        <v>36</v>
      </c>
      <c r="G19" s="12">
        <f>10+5+7+21+9+6+7+6+11+11+8+8+6+5+4+10+10+10+10+4+12+6+3+7+9+10+9+7+5+10+4</f>
        <v>250</v>
      </c>
      <c r="H19" s="27"/>
      <c r="I19" s="27"/>
      <c r="J19" s="13"/>
      <c r="K19" s="27"/>
      <c r="L19" s="27"/>
      <c r="M19" s="12"/>
    </row>
    <row r="20" s="1" customFormat="1" ht="25" customHeight="1" spans="1:13">
      <c r="A20" s="9">
        <v>15</v>
      </c>
      <c r="B20" s="10" t="s">
        <v>37</v>
      </c>
      <c r="C20" s="9">
        <v>595</v>
      </c>
      <c r="D20" s="9">
        <v>662</v>
      </c>
      <c r="E20" s="12">
        <f t="shared" si="1"/>
        <v>1257</v>
      </c>
      <c r="F20" s="12" t="s">
        <v>27</v>
      </c>
      <c r="G20" s="12">
        <f>1011+1084+1036+1277+854+1124+787+1194+1035+1351+1157+1170+1119+749+828+968+955+899+1310+1099+1029+1084+448+1129+1064+1084+1178+1181+1115+672+1257</f>
        <v>32248</v>
      </c>
      <c r="H20" s="28"/>
      <c r="I20" s="12">
        <f>E20/M20</f>
        <v>54.6521739130435</v>
      </c>
      <c r="J20" s="22" t="s">
        <v>38</v>
      </c>
      <c r="K20" s="12">
        <f>18+24+24+24+15+21.5+13+20.5+18+24+24+24+24+17+17+24+24+18.5+24+24+24+23.5+8+24+24+24+24+24+24+13+23</f>
        <v>658</v>
      </c>
      <c r="L20" s="12">
        <f>G20/K20</f>
        <v>49.0091185410334</v>
      </c>
      <c r="M20" s="12">
        <v>23</v>
      </c>
    </row>
    <row r="21" s="1" customFormat="1" ht="25" customHeight="1" spans="1:13">
      <c r="A21" s="16">
        <v>16</v>
      </c>
      <c r="B21" s="10" t="s">
        <v>39</v>
      </c>
      <c r="C21" s="9">
        <v>592</v>
      </c>
      <c r="D21" s="9">
        <v>888</v>
      </c>
      <c r="E21" s="12">
        <f t="shared" si="1"/>
        <v>1480</v>
      </c>
      <c r="F21" s="12" t="s">
        <v>27</v>
      </c>
      <c r="G21" s="12">
        <f>1281+1421+1306+1647+1060+1392+944+1503+1292+1749+1504+1463+1321+885+989+1313+1252+1065+1613+1298+1261+1213+508+1410+1340+1363+1419+1484+1413+821+1480</f>
        <v>40010</v>
      </c>
      <c r="H21" s="27"/>
      <c r="I21" s="12">
        <f>E21/M20</f>
        <v>64.3478260869565</v>
      </c>
      <c r="J21" s="13"/>
      <c r="K21" s="27"/>
      <c r="L21" s="27"/>
      <c r="M21" s="12"/>
    </row>
    <row r="22" s="1" customFormat="1" ht="25" customHeight="1" spans="1:13">
      <c r="A22" s="9">
        <v>17</v>
      </c>
      <c r="B22" s="10" t="s">
        <v>40</v>
      </c>
      <c r="C22" s="16">
        <v>0</v>
      </c>
      <c r="D22" s="16">
        <v>24.57</v>
      </c>
      <c r="E22" s="17"/>
      <c r="F22" s="17" t="s">
        <v>41</v>
      </c>
      <c r="G22" s="17"/>
      <c r="H22" s="29"/>
      <c r="I22" s="29"/>
      <c r="J22" s="30"/>
      <c r="K22" s="29"/>
      <c r="L22" s="29"/>
      <c r="M22" s="12"/>
    </row>
    <row r="23" s="1" customFormat="1" ht="80" customHeight="1" spans="1:13">
      <c r="A23" s="9">
        <v>18</v>
      </c>
      <c r="B23" s="31" t="s">
        <v>42</v>
      </c>
      <c r="C23" s="32" t="s">
        <v>128</v>
      </c>
      <c r="D23" s="33"/>
      <c r="E23" s="33"/>
      <c r="F23" s="33"/>
      <c r="G23" s="33"/>
      <c r="H23" s="33"/>
      <c r="I23" s="33"/>
      <c r="J23" s="33"/>
      <c r="K23" s="33"/>
      <c r="L23" s="34"/>
      <c r="M23" s="35"/>
    </row>
    <row r="24" s="1" customFormat="1" ht="120" customHeight="1" spans="1:13">
      <c r="A24" s="9">
        <v>19</v>
      </c>
      <c r="B24" s="36" t="s">
        <v>44</v>
      </c>
      <c r="C24" s="32"/>
      <c r="D24" s="33"/>
      <c r="E24" s="33"/>
      <c r="F24" s="33"/>
      <c r="G24" s="33"/>
      <c r="H24" s="33"/>
      <c r="I24" s="33"/>
      <c r="J24" s="33"/>
      <c r="K24" s="33"/>
      <c r="L24" s="34"/>
      <c r="M24" s="37"/>
    </row>
    <row r="25" s="1" customFormat="1" ht="80" customHeight="1" spans="1:13">
      <c r="A25" s="9">
        <v>20</v>
      </c>
      <c r="B25" s="36" t="s">
        <v>45</v>
      </c>
      <c r="C25" s="32" t="s">
        <v>176</v>
      </c>
      <c r="D25" s="33"/>
      <c r="E25" s="33"/>
      <c r="F25" s="33"/>
      <c r="G25" s="33"/>
      <c r="H25" s="33"/>
      <c r="I25" s="33"/>
      <c r="J25" s="33"/>
      <c r="K25" s="33"/>
      <c r="L25" s="34"/>
      <c r="M25" s="35"/>
    </row>
    <row r="26" s="1" customFormat="1" ht="14" customHeight="1" spans="1:13">
      <c r="C26" s="25"/>
      <c r="D26" s="25"/>
      <c r="J26" s="38"/>
    </row>
    <row r="27" s="1" customFormat="1" ht="45" customHeight="1" spans="1:13">
      <c r="A27" s="5" t="s">
        <v>185</v>
      </c>
    </row>
    <row r="28" s="1" customFormat="1" ht="30" customHeight="1" spans="1:13">
      <c r="A28" s="6" t="s">
        <v>48</v>
      </c>
      <c r="B28" s="6" t="s">
        <v>49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9">
        <v>1</v>
      </c>
      <c r="B29" s="10" t="s">
        <v>50</v>
      </c>
      <c r="C29" s="12">
        <v>0</v>
      </c>
      <c r="D29" s="12">
        <v>0</v>
      </c>
      <c r="E29" s="12">
        <f t="shared" ref="E29:E35" si="2">D29+C29</f>
        <v>0</v>
      </c>
      <c r="F29" s="12" t="s">
        <v>27</v>
      </c>
      <c r="G29" s="12">
        <f>0+0+0+0+38.94+0+0+0+0+0+0+0+0+0+0+0+0+0+0+0+0+0+0+0+0+0+0+0+0+0+0</f>
        <v>38.94</v>
      </c>
      <c r="H29" s="12"/>
      <c r="I29" s="12"/>
      <c r="J29" s="13"/>
      <c r="K29" s="27"/>
      <c r="L29" s="27"/>
      <c r="M29" s="12"/>
    </row>
    <row r="30" s="1" customFormat="1" ht="25" customHeight="1" spans="1:13">
      <c r="A30" s="9">
        <v>2</v>
      </c>
      <c r="B30" s="10" t="s">
        <v>51</v>
      </c>
      <c r="C30" s="12">
        <v>0</v>
      </c>
      <c r="D30" s="12">
        <v>0</v>
      </c>
      <c r="E30" s="12">
        <f t="shared" si="2"/>
        <v>0</v>
      </c>
      <c r="F30" s="12" t="s">
        <v>27</v>
      </c>
      <c r="G30" s="12">
        <f>17.63+8.3+15.11+16.68+16.59+16.58+0+0+0+8.32+8.28+16.39+0+0+0+0+0+0+0+20.16+16.58+16.55+17.08+16.63+16.68+0+0+0+0+9.25+0</f>
        <v>236.81</v>
      </c>
      <c r="H30" s="12"/>
      <c r="I30" s="12"/>
      <c r="J30" s="13"/>
      <c r="K30" s="27"/>
      <c r="L30" s="27"/>
      <c r="M30" s="26"/>
    </row>
    <row r="31" s="1" customFormat="1" ht="25" customHeight="1" spans="1:13">
      <c r="A31" s="9">
        <v>3</v>
      </c>
      <c r="B31" s="10" t="s">
        <v>52</v>
      </c>
      <c r="C31" s="12">
        <v>76</v>
      </c>
      <c r="D31" s="12">
        <v>10</v>
      </c>
      <c r="E31" s="12">
        <f t="shared" si="2"/>
        <v>86</v>
      </c>
      <c r="F31" s="12" t="s">
        <v>27</v>
      </c>
      <c r="G31" s="12">
        <f>28+25+28+24+15+16+20+26+28+25+15+19+15+32+26+17+15+23+84+82.74+33+25+12+24+73+42+29+13+25+41.7+86</f>
        <v>967.44</v>
      </c>
      <c r="H31" s="12"/>
      <c r="I31" s="12"/>
      <c r="J31" s="13"/>
      <c r="K31" s="27"/>
      <c r="L31" s="27"/>
      <c r="M31" s="26"/>
    </row>
    <row r="32" s="1" customFormat="1" ht="25" customHeight="1" spans="1:13">
      <c r="A32" s="9">
        <v>4</v>
      </c>
      <c r="B32" s="10" t="s">
        <v>22</v>
      </c>
      <c r="C32" s="12">
        <v>0</v>
      </c>
      <c r="D32" s="12">
        <v>0</v>
      </c>
      <c r="E32" s="12">
        <f t="shared" si="2"/>
        <v>0</v>
      </c>
      <c r="F32" s="12" t="s">
        <v>14</v>
      </c>
      <c r="G32" s="12">
        <f>4.509+7.7625+0+10.5435+7.7085+9.288+0+0+0+0+8.127+10.179+0+0+0+0+0+0+0+0+10.8405+0+6.8715+12.528+0+12.42+0+0+0+0+0</f>
        <v>100.7775</v>
      </c>
      <c r="H32" s="12"/>
      <c r="J32" s="13"/>
      <c r="K32" s="27"/>
      <c r="L32" s="27"/>
      <c r="M32" s="27"/>
    </row>
    <row r="33" s="1" customFormat="1" ht="25" customHeight="1" spans="1:13">
      <c r="A33" s="9">
        <v>5</v>
      </c>
      <c r="B33" s="10" t="s">
        <v>24</v>
      </c>
      <c r="C33" s="12">
        <v>0</v>
      </c>
      <c r="D33" s="12">
        <v>0</v>
      </c>
      <c r="E33" s="12">
        <f t="shared" si="2"/>
        <v>0</v>
      </c>
      <c r="F33" s="12" t="s">
        <v>14</v>
      </c>
      <c r="G33" s="12">
        <f>0+0+0+0+0+0+0+0+0+0+0+0+0+0+0+0+0+0+0+0+0+0+0+0+0+0+0+0+0+0+0</f>
        <v>0</v>
      </c>
      <c r="H33" s="12"/>
      <c r="I33" s="12"/>
      <c r="J33" s="18"/>
      <c r="K33" s="27"/>
      <c r="L33" s="27"/>
      <c r="M33" s="27"/>
    </row>
    <row r="34" s="1" customFormat="1" ht="25" customHeight="1" spans="1:13">
      <c r="A34" s="9">
        <v>6</v>
      </c>
      <c r="B34" s="10" t="s">
        <v>53</v>
      </c>
      <c r="C34" s="12">
        <v>241</v>
      </c>
      <c r="D34" s="12">
        <v>220</v>
      </c>
      <c r="E34" s="12">
        <f t="shared" si="2"/>
        <v>461</v>
      </c>
      <c r="F34" s="12" t="s">
        <v>27</v>
      </c>
      <c r="G34" s="12">
        <f>620+619+610+632+626+623+310+603+607+603+609+584+337+49+202+208+276+327+538+606+508+283+551+574+576+189+379+367+342+411+461</f>
        <v>14230</v>
      </c>
      <c r="H34" s="12"/>
      <c r="I34" s="12"/>
      <c r="J34" s="39"/>
      <c r="K34" s="27"/>
      <c r="L34" s="12"/>
      <c r="M34" s="27"/>
    </row>
    <row r="35" s="1" customFormat="1" ht="25" customHeight="1" spans="1:13">
      <c r="A35" s="9">
        <v>7</v>
      </c>
      <c r="B35" s="10" t="s">
        <v>54</v>
      </c>
      <c r="C35" s="12">
        <v>503</v>
      </c>
      <c r="D35" s="12">
        <v>505</v>
      </c>
      <c r="E35" s="12">
        <f t="shared" si="2"/>
        <v>1008</v>
      </c>
      <c r="F35" s="12" t="s">
        <v>27</v>
      </c>
      <c r="G35" s="12">
        <f>901+911+932+914+912+877+753+854+820+759+785+736+761+0+591+368+0+462+965+1011+935+1016+1019+1019+982+731+1020+1008+1011+1011+1008</f>
        <v>25072</v>
      </c>
      <c r="H35" s="12"/>
      <c r="I35" s="12"/>
      <c r="J35" s="40"/>
      <c r="K35" s="27"/>
      <c r="L35" s="12"/>
      <c r="M35" s="27"/>
    </row>
    <row r="36" s="1" customFormat="1" ht="25" customHeight="1" spans="1:13">
      <c r="A36" s="9">
        <v>8</v>
      </c>
      <c r="B36" s="10" t="s">
        <v>55</v>
      </c>
      <c r="C36" s="12">
        <v>0</v>
      </c>
      <c r="D36" s="12">
        <v>0</v>
      </c>
      <c r="E36" s="12">
        <f>C36+D36</f>
        <v>0</v>
      </c>
      <c r="F36" s="12" t="s">
        <v>27</v>
      </c>
      <c r="G36" s="12">
        <f>0+0+0+0+0+0+0+0+0+0+0+0+0+0+0+0+0+0+0+0+0+0+0+0+0+0+0+0+0+0+0</f>
        <v>0</v>
      </c>
      <c r="H36" s="27"/>
      <c r="I36" s="9">
        <v>0</v>
      </c>
      <c r="J36" s="18"/>
      <c r="K36" s="41"/>
      <c r="L36" s="32"/>
      <c r="M36" s="15"/>
    </row>
    <row r="37" s="1" customFormat="1" ht="25" customHeight="1" spans="1:13">
      <c r="A37" s="9">
        <v>9</v>
      </c>
      <c r="B37" s="10" t="s">
        <v>56</v>
      </c>
      <c r="C37" s="12">
        <v>0</v>
      </c>
      <c r="D37" s="12">
        <v>0</v>
      </c>
      <c r="E37" s="12">
        <f>C37+D37</f>
        <v>0</v>
      </c>
      <c r="F37" s="12" t="s">
        <v>27</v>
      </c>
      <c r="G37" s="12">
        <f>0+0+0+0+0+0+0+0+0+0+0+0+0+0+0+0+0+0+0+0+0+0+0+0+0+0+0+0+0+0+0</f>
        <v>0</v>
      </c>
      <c r="H37" s="27"/>
      <c r="I37" s="9">
        <v>70.3566</v>
      </c>
      <c r="J37" s="39"/>
      <c r="K37" s="41"/>
      <c r="L37" s="32"/>
      <c r="M37" s="15"/>
    </row>
    <row r="38" s="1" customFormat="1" ht="25" customHeight="1" spans="1:13">
      <c r="A38" s="9">
        <v>10</v>
      </c>
      <c r="B38" s="10" t="s">
        <v>57</v>
      </c>
      <c r="C38" s="9">
        <v>0</v>
      </c>
      <c r="D38" s="9">
        <v>0</v>
      </c>
      <c r="E38" s="12">
        <f>D38+C38</f>
        <v>0</v>
      </c>
      <c r="F38" s="12" t="s">
        <v>36</v>
      </c>
      <c r="G38" s="12">
        <f>0+0+2+0+3+0+0+0+0+2+0+3+0+12+1+5+10+0+5+7+2+3+4+2+2+0+0+0+0+0+0</f>
        <v>63</v>
      </c>
      <c r="H38" s="27"/>
      <c r="I38" s="12">
        <v>0</v>
      </c>
      <c r="J38" s="42"/>
      <c r="K38" s="32"/>
      <c r="L38" s="22" t="s">
        <v>121</v>
      </c>
      <c r="M38" s="9">
        <v>0</v>
      </c>
    </row>
    <row r="39" s="1" customFormat="1" ht="80" customHeight="1" spans="1:13">
      <c r="A39" s="9">
        <v>11</v>
      </c>
      <c r="B39" s="43" t="s">
        <v>45</v>
      </c>
      <c r="C39" s="32" t="s">
        <v>144</v>
      </c>
      <c r="D39" s="33"/>
      <c r="E39" s="33"/>
      <c r="F39" s="33"/>
      <c r="G39" s="33"/>
      <c r="H39" s="33"/>
      <c r="I39" s="33"/>
      <c r="J39" s="33"/>
      <c r="K39" s="33"/>
      <c r="L39" s="34"/>
      <c r="M39" s="43"/>
    </row>
    <row r="47" s="1" customFormat="1" spans="1:13">
      <c r="C47" s="25"/>
      <c r="D47" s="25"/>
      <c r="J47" s="38"/>
    </row>
    <row r="48" spans="1:13">
      <c r="L48" s="1"/>
    </row>
  </sheetData>
  <mergeCells count="12">
    <mergeCell ref="A1:M1"/>
    <mergeCell ref="C23:L23"/>
    <mergeCell ref="C24:L24"/>
    <mergeCell ref="C25:L25"/>
    <mergeCell ref="A27:M27"/>
    <mergeCell ref="C39:L39"/>
    <mergeCell ref="A5:A8"/>
    <mergeCell ref="H5:H8"/>
    <mergeCell ref="I5:I8"/>
    <mergeCell ref="N4:N6"/>
    <mergeCell ref="N7:N9"/>
    <mergeCell ref="N15:N1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4.30</vt:lpstr>
      <vt:lpstr>5.1</vt:lpstr>
      <vt:lpstr>5.2</vt:lpstr>
      <vt:lpstr>5.3</vt:lpstr>
      <vt:lpstr>5.4</vt:lpstr>
      <vt:lpstr>5.5</vt:lpstr>
      <vt:lpstr>5.6</vt:lpstr>
      <vt:lpstr>5.7</vt:lpstr>
      <vt:lpstr>5.8</vt:lpstr>
      <vt:lpstr>5.9</vt:lpstr>
      <vt:lpstr>5.10</vt:lpstr>
      <vt:lpstr>5.11</vt:lpstr>
      <vt:lpstr>5.12</vt:lpstr>
      <vt:lpstr>5.13</vt:lpstr>
      <vt:lpstr>5.14</vt:lpstr>
      <vt:lpstr>5.15</vt:lpstr>
      <vt:lpstr>5.16</vt:lpstr>
      <vt:lpstr>5.17</vt:lpstr>
      <vt:lpstr>5.18</vt:lpstr>
      <vt:lpstr>5.19</vt:lpstr>
      <vt:lpstr>5.20</vt:lpstr>
      <vt:lpstr>5.21</vt:lpstr>
      <vt:lpstr>5.22</vt:lpstr>
      <vt:lpstr>5.23</vt:lpstr>
      <vt:lpstr>5.24</vt:lpstr>
      <vt:lpstr>5.25</vt:lpstr>
      <vt:lpstr>5.26</vt:lpstr>
      <vt:lpstr>5.27</vt:lpstr>
      <vt:lpstr>5.28</vt:lpstr>
      <vt:lpstr>5.29</vt:lpstr>
      <vt:lpstr>5.30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2026-06-02T08:30:14Z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6232A2274CB54920BC2CDF5A93C2DEC2_13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