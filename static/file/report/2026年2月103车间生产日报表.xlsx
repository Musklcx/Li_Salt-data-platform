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1.31" sheetId="14" r:id="rId1"/>
    <sheet name="2.1" sheetId="15" r:id="rId2"/>
    <sheet name="2.2" sheetId="16" r:id="rId3"/>
    <sheet name="2.3" sheetId="17" r:id="rId4"/>
    <sheet name="2.4" sheetId="18" r:id="rId5"/>
    <sheet name="2.5" sheetId="19" r:id="rId6"/>
    <sheet name="2.6" sheetId="20" r:id="rId7"/>
    <sheet name="2.7" sheetId="21" r:id="rId8"/>
    <sheet name="2.8" sheetId="22" r:id="rId9"/>
    <sheet name="2.9" sheetId="24" r:id="rId10"/>
    <sheet name="2.10" sheetId="25" r:id="rId11"/>
    <sheet name="2.11" sheetId="26" r:id="rId12"/>
    <sheet name="2.12" sheetId="27" r:id="rId13"/>
    <sheet name="2.13" sheetId="28" r:id="rId14"/>
    <sheet name="2.14" sheetId="29" r:id="rId15"/>
    <sheet name="2.15" sheetId="30" r:id="rId16"/>
    <sheet name="2.16" sheetId="31" r:id="rId17"/>
    <sheet name="2.17" sheetId="32" r:id="rId18"/>
    <sheet name="2.18" sheetId="33" r:id="rId19"/>
    <sheet name="2.19" sheetId="34" r:id="rId20"/>
    <sheet name="2.20" sheetId="35" r:id="rId21"/>
    <sheet name="2.21" sheetId="36" r:id="rId22"/>
    <sheet name="2.22" sheetId="37" r:id="rId23"/>
    <sheet name="2.23" sheetId="38" r:id="rId24"/>
    <sheet name="2.24" sheetId="39" r:id="rId25"/>
    <sheet name="2.25" sheetId="40" r:id="rId26"/>
    <sheet name="2.26" sheetId="41" r:id="rId27"/>
    <sheet name="2.27" sheetId="42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9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K22" authorId="1">
      <text>
        <r>
          <rPr>
            <sz val="9"/>
            <rFont val="宋体"/>
            <charset val="134"/>
          </rPr>
          <t>蒸发累计时长</t>
        </r>
      </text>
    </comment>
    <comment ref="L22" authorId="1">
      <text>
        <r>
          <rPr>
            <sz val="9"/>
            <rFont val="宋体"/>
            <charset val="134"/>
          </rPr>
          <t>平均蒸发量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10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K22" authorId="1">
      <text>
        <r>
          <rPr>
            <sz val="9"/>
            <rFont val="宋体"/>
            <charset val="134"/>
          </rPr>
          <t>蒸发累计时长</t>
        </r>
      </text>
    </comment>
    <comment ref="L22" authorId="1">
      <text>
        <r>
          <rPr>
            <sz val="9"/>
            <rFont val="宋体"/>
            <charset val="134"/>
          </rPr>
          <t>平均蒸发量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1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K22" authorId="1">
      <text>
        <r>
          <rPr>
            <sz val="9"/>
            <rFont val="宋体"/>
            <charset val="134"/>
          </rPr>
          <t>蒸发累计时长</t>
        </r>
      </text>
    </comment>
    <comment ref="L22" authorId="1">
      <text>
        <r>
          <rPr>
            <sz val="9"/>
            <rFont val="宋体"/>
            <charset val="134"/>
          </rPr>
          <t>平均蒸发量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1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K22" authorId="1">
      <text>
        <r>
          <rPr>
            <sz val="9"/>
            <rFont val="宋体"/>
            <charset val="134"/>
          </rPr>
          <t>蒸发累计时长</t>
        </r>
      </text>
    </comment>
    <comment ref="L22" authorId="1">
      <text>
        <r>
          <rPr>
            <sz val="9"/>
            <rFont val="宋体"/>
            <charset val="134"/>
          </rPr>
          <t>平均蒸发量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1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K22" authorId="1">
      <text>
        <r>
          <rPr>
            <sz val="9"/>
            <rFont val="宋体"/>
            <charset val="134"/>
          </rPr>
          <t>蒸发累计时长</t>
        </r>
      </text>
    </comment>
    <comment ref="L22" authorId="1">
      <text>
        <r>
          <rPr>
            <sz val="9"/>
            <rFont val="宋体"/>
            <charset val="134"/>
          </rPr>
          <t>平均蒸发量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1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K22" authorId="1">
      <text>
        <r>
          <rPr>
            <sz val="9"/>
            <rFont val="宋体"/>
            <charset val="134"/>
          </rPr>
          <t>蒸发累计时长</t>
        </r>
      </text>
    </comment>
    <comment ref="L22" authorId="1">
      <text>
        <r>
          <rPr>
            <sz val="9"/>
            <rFont val="宋体"/>
            <charset val="134"/>
          </rPr>
          <t>平均蒸发量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1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K22" authorId="1">
      <text>
        <r>
          <rPr>
            <sz val="9"/>
            <rFont val="宋体"/>
            <charset val="134"/>
          </rPr>
          <t>蒸发累计时长</t>
        </r>
      </text>
    </comment>
    <comment ref="L22" authorId="1">
      <text>
        <r>
          <rPr>
            <sz val="9"/>
            <rFont val="宋体"/>
            <charset val="134"/>
          </rPr>
          <t>平均蒸发量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1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K22" authorId="1">
      <text>
        <r>
          <rPr>
            <sz val="9"/>
            <rFont val="宋体"/>
            <charset val="134"/>
          </rPr>
          <t>蒸发累计时长</t>
        </r>
      </text>
    </comment>
    <comment ref="L22" authorId="1">
      <text>
        <r>
          <rPr>
            <sz val="9"/>
            <rFont val="宋体"/>
            <charset val="134"/>
          </rPr>
          <t>平均蒸发量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1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K22" authorId="1">
      <text>
        <r>
          <rPr>
            <sz val="9"/>
            <rFont val="宋体"/>
            <charset val="134"/>
          </rPr>
          <t>蒸发累计时长</t>
        </r>
      </text>
    </comment>
    <comment ref="L22" authorId="1">
      <text>
        <r>
          <rPr>
            <sz val="9"/>
            <rFont val="宋体"/>
            <charset val="134"/>
          </rPr>
          <t>平均蒸发量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1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K22" authorId="1">
      <text>
        <r>
          <rPr>
            <sz val="9"/>
            <rFont val="宋体"/>
            <charset val="134"/>
          </rPr>
          <t>蒸发累计时长</t>
        </r>
      </text>
    </comment>
    <comment ref="L22" authorId="1">
      <text>
        <r>
          <rPr>
            <sz val="9"/>
            <rFont val="宋体"/>
            <charset val="134"/>
          </rPr>
          <t>平均蒸发量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19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K22" authorId="1">
      <text>
        <r>
          <rPr>
            <sz val="9"/>
            <rFont val="宋体"/>
            <charset val="134"/>
          </rPr>
          <t>蒸发累计时长</t>
        </r>
      </text>
    </comment>
    <comment ref="L22" authorId="1">
      <text>
        <r>
          <rPr>
            <sz val="9"/>
            <rFont val="宋体"/>
            <charset val="134"/>
          </rPr>
          <t>平均蒸发量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20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K22" authorId="1">
      <text>
        <r>
          <rPr>
            <sz val="9"/>
            <rFont val="宋体"/>
            <charset val="134"/>
          </rPr>
          <t>蒸发累计时长</t>
        </r>
      </text>
    </comment>
    <comment ref="L22" authorId="1">
      <text>
        <r>
          <rPr>
            <sz val="9"/>
            <rFont val="宋体"/>
            <charset val="134"/>
          </rPr>
          <t>平均蒸发量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2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K22" authorId="1">
      <text>
        <r>
          <rPr>
            <sz val="9"/>
            <rFont val="宋体"/>
            <charset val="134"/>
          </rPr>
          <t>蒸发累计时长</t>
        </r>
      </text>
    </comment>
    <comment ref="L22" authorId="1">
      <text>
        <r>
          <rPr>
            <sz val="9"/>
            <rFont val="宋体"/>
            <charset val="134"/>
          </rPr>
          <t>平均蒸发量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2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K22" authorId="1">
      <text>
        <r>
          <rPr>
            <sz val="9"/>
            <rFont val="宋体"/>
            <charset val="134"/>
          </rPr>
          <t>蒸发累计时长</t>
        </r>
      </text>
    </comment>
    <comment ref="L22" authorId="1">
      <text>
        <r>
          <rPr>
            <sz val="9"/>
            <rFont val="宋体"/>
            <charset val="134"/>
          </rPr>
          <t>平均蒸发量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2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K22" authorId="1">
      <text>
        <r>
          <rPr>
            <sz val="9"/>
            <rFont val="宋体"/>
            <charset val="134"/>
          </rPr>
          <t>蒸发累计时长</t>
        </r>
      </text>
    </comment>
    <comment ref="L22" authorId="1">
      <text>
        <r>
          <rPr>
            <sz val="9"/>
            <rFont val="宋体"/>
            <charset val="134"/>
          </rPr>
          <t>平均蒸发量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2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K22" authorId="1">
      <text>
        <r>
          <rPr>
            <sz val="9"/>
            <rFont val="宋体"/>
            <charset val="134"/>
          </rPr>
          <t>蒸发累计时长</t>
        </r>
      </text>
    </comment>
    <comment ref="L22" authorId="1">
      <text>
        <r>
          <rPr>
            <sz val="9"/>
            <rFont val="宋体"/>
            <charset val="134"/>
          </rPr>
          <t>平均蒸发量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2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K22" authorId="1">
      <text>
        <r>
          <rPr>
            <sz val="9"/>
            <rFont val="宋体"/>
            <charset val="134"/>
          </rPr>
          <t>蒸发累计时长</t>
        </r>
      </text>
    </comment>
    <comment ref="L22" authorId="1">
      <text>
        <r>
          <rPr>
            <sz val="9"/>
            <rFont val="宋体"/>
            <charset val="134"/>
          </rPr>
          <t>平均蒸发量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2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K22" authorId="1">
      <text>
        <r>
          <rPr>
            <sz val="9"/>
            <rFont val="宋体"/>
            <charset val="134"/>
          </rPr>
          <t>蒸发累计时长</t>
        </r>
      </text>
    </comment>
    <comment ref="L22" authorId="1">
      <text>
        <r>
          <rPr>
            <sz val="9"/>
            <rFont val="宋体"/>
            <charset val="134"/>
          </rPr>
          <t>平均蒸发量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2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K22" authorId="1">
      <text>
        <r>
          <rPr>
            <sz val="9"/>
            <rFont val="宋体"/>
            <charset val="134"/>
          </rPr>
          <t>蒸发累计时长</t>
        </r>
      </text>
    </comment>
    <comment ref="L22" authorId="1">
      <text>
        <r>
          <rPr>
            <sz val="9"/>
            <rFont val="宋体"/>
            <charset val="134"/>
          </rPr>
          <t>平均蒸发量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2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K22" authorId="1">
      <text>
        <r>
          <rPr>
            <sz val="9"/>
            <rFont val="宋体"/>
            <charset val="134"/>
          </rPr>
          <t>蒸发累计时长</t>
        </r>
      </text>
    </comment>
    <comment ref="L22" authorId="1">
      <text>
        <r>
          <rPr>
            <sz val="9"/>
            <rFont val="宋体"/>
            <charset val="134"/>
          </rPr>
          <t>平均蒸发量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sharedStrings.xml><?xml version="1.0" encoding="utf-8"?>
<sst xmlns="http://schemas.openxmlformats.org/spreadsheetml/2006/main" count="3014" uniqueCount="152">
  <si>
    <t>103车间1月31日生产情况</t>
  </si>
  <si>
    <t>生产情况</t>
  </si>
  <si>
    <t>白班</t>
  </si>
  <si>
    <t>夜班</t>
  </si>
  <si>
    <t>合计</t>
  </si>
  <si>
    <t>单位</t>
  </si>
  <si>
    <t>月累计</t>
  </si>
  <si>
    <t>月计划</t>
  </si>
  <si>
    <t>剩余计划</t>
  </si>
  <si>
    <t>异常原因</t>
  </si>
  <si>
    <t>导致结果</t>
  </si>
  <si>
    <t>处理措施</t>
  </si>
  <si>
    <t>备注</t>
  </si>
  <si>
    <t>碳酸锂(车间产量)</t>
  </si>
  <si>
    <t>t</t>
  </si>
  <si>
    <t>碳酸锂(入库数量)</t>
  </si>
  <si>
    <t>硫酸钠（干料）</t>
  </si>
  <si>
    <t>硫酸钠（湿料）</t>
  </si>
  <si>
    <t>硫酸钠杂质料</t>
  </si>
  <si>
    <t>硫酸钠落地料</t>
  </si>
  <si>
    <t>外售硫酸锂</t>
  </si>
  <si>
    <t>车间剩余硫酸锂量（车）</t>
  </si>
  <si>
    <t>液碱</t>
  </si>
  <si>
    <t>硫酸</t>
  </si>
  <si>
    <t>合成前液</t>
  </si>
  <si>
    <t>m³</t>
  </si>
  <si>
    <t>接102气浮除油后液</t>
  </si>
  <si>
    <t>硫化钠</t>
  </si>
  <si>
    <t>累计接料锂金属量</t>
  </si>
  <si>
    <t>碳酸钠</t>
  </si>
  <si>
    <t>偏铝酸钠</t>
  </si>
  <si>
    <t>除氟剂</t>
  </si>
  <si>
    <t>活性炭</t>
  </si>
  <si>
    <t>活性炭渣</t>
  </si>
  <si>
    <t>包</t>
  </si>
  <si>
    <t>锂渣</t>
  </si>
  <si>
    <t>/</t>
  </si>
  <si>
    <t>锂渣全部回投</t>
  </si>
  <si>
    <t>冷凝水</t>
  </si>
  <si>
    <t>蒸发前液进料累计量</t>
  </si>
  <si>
    <t>二效氯离子量</t>
  </si>
  <si>
    <t>g/L</t>
  </si>
  <si>
    <t>需协调事项</t>
  </si>
  <si>
    <t xml:space="preserve">
</t>
  </si>
  <si>
    <t>维修事宜</t>
  </si>
  <si>
    <t>计划情况</t>
  </si>
  <si>
    <t xml:space="preserve">1、蒸发开机中，关注运行情况；
2、清理卫生；
3、外协施工时注意安全监护；
4、关注外排水PH、镍指标。
</t>
  </si>
  <si>
    <t>104车间1月31日生产情况</t>
  </si>
  <si>
    <t>序号</t>
  </si>
  <si>
    <t>内容</t>
  </si>
  <si>
    <t>接102废液</t>
  </si>
  <si>
    <t>接102返镁液</t>
  </si>
  <si>
    <t>接生活废水</t>
  </si>
  <si>
    <t>接磷酸锂母液</t>
  </si>
  <si>
    <t>使用氧化钙</t>
  </si>
  <si>
    <t>使用自来水</t>
  </si>
  <si>
    <t>外排水</t>
  </si>
  <si>
    <t>废钴水处理量</t>
  </si>
  <si>
    <t>雨水池处理量</t>
  </si>
  <si>
    <t>已处理完</t>
  </si>
  <si>
    <t>除COD池处理量</t>
  </si>
  <si>
    <t>钴渣产出</t>
  </si>
  <si>
    <t>1、下雨应急水池关闭，外排打开；
2、104正常处理废水；
3、钴渣需尽快送101回投；</t>
  </si>
  <si>
    <t>补充</t>
  </si>
  <si>
    <t xml:space="preserve"> </t>
  </si>
  <si>
    <t>103车间2月1日生产情况</t>
  </si>
  <si>
    <t>1、从南面冷凝水泵出口到尾气塔，加装DN50冷凝水管；</t>
  </si>
  <si>
    <t xml:space="preserve">1、蒸发正常开机，关注蒸发量；
2、清理卫生；
3、外协施工时注意安全监护；
4、关注外排水PH、镍指标。
</t>
  </si>
  <si>
    <t>104车间2月1日生产情况</t>
  </si>
  <si>
    <t>103车间2月2日生产情况</t>
  </si>
  <si>
    <t>因为车间清洗蒸发器并把一效加热改为二效加热，昨晚大小压缩机都已达到额定电流，
11小时平均蒸发量是58.72，建议MVR小风机改造需谨慎；</t>
  </si>
  <si>
    <t>1、从南面冷凝水泵出口到尾气塔接管道，今天安装回流泵；</t>
  </si>
  <si>
    <t>104车间2月2日生产情况</t>
  </si>
  <si>
    <t>103车间2月3日生产情况</t>
  </si>
  <si>
    <t>1、碳酸锂包装机上除磁器需要加垫片封闭，现在漏料严重；
2、热冷凝水管冲洗尾气塔液位计对接。</t>
  </si>
  <si>
    <t>104车间2月3日生产情况</t>
  </si>
  <si>
    <t>103车间2月4日生产情况</t>
  </si>
  <si>
    <t>1、203拆除刮板机，振动筛，更换成铰刀；
2、尾气液位计提高到500位置，回流泵对口；
3、高压电调试。</t>
  </si>
  <si>
    <t xml:space="preserve">1、蒸发停机；
2、清理卫生；
3、外协施工时注意安全监护；
4、关注外排水PH、镍指标。
</t>
  </si>
  <si>
    <t>104车间2月4日生产情况</t>
  </si>
  <si>
    <t>103车间2月5日生产情况</t>
  </si>
  <si>
    <t>1、碳酸锂A泵漏液需维修；</t>
  </si>
  <si>
    <t>104车间2月5日生产情况</t>
  </si>
  <si>
    <t>103车间2月6日生产情况</t>
  </si>
  <si>
    <t>差值</t>
  </si>
  <si>
    <t>实测值</t>
  </si>
  <si>
    <t>104车间2月6日生产情况</t>
  </si>
  <si>
    <t>103车间2月7日生产情况</t>
  </si>
  <si>
    <t>1、新安装30KW压滤泵使用时震动大，一晚损坏2台机封，目前车间无法使用；</t>
  </si>
  <si>
    <t>1、元明粉进包装机大绞龙坏了需维修；</t>
  </si>
  <si>
    <t xml:space="preserve">1、蒸发停机退料；
2、清理卫生；
3、外协施工时注意安全监护；
4、关注外排水PH、镍指标。
</t>
  </si>
  <si>
    <t>104车间2月7日生产情况</t>
  </si>
  <si>
    <t>103车间2月8日生产情况</t>
  </si>
  <si>
    <t>蒸发累计时长\平均蒸发量</t>
  </si>
  <si>
    <t>1、蒸发正常开机；
2、清理卫生；
3、外协施工时注意安全监护；
4、关注外排水PH、镍指标。</t>
  </si>
  <si>
    <t>104车间2月8日生产情况</t>
  </si>
  <si>
    <t>103车间2月9日生产情况</t>
  </si>
  <si>
    <t>1、2号离心机供油系统需恢复，避免过年期间影响生产；
2、沉锂泵机封冷却水外排，不进机封水罐；
3、关注铰刀轴承温度，高于80℃联系机修处理；
4、12点至13点30、17点30至20点无维修人员。</t>
  </si>
  <si>
    <t>104车间2月9日生产情况</t>
  </si>
  <si>
    <t>103车间2月10日生产情况</t>
  </si>
  <si>
    <t>1、2号离心机供油系统需恢复，避免过年期间影响生产；
2、沉锂泵机封冷却水外排，不进机封水罐；
3、203铰刀轴承温度高着火需维修；
4、12点至13点30、17点30至20点无维修人员。</t>
  </si>
  <si>
    <t>1、蒸发正常停机；
2、清理卫生；
3、外协施工时注意安全监护；
4、关注外排水PH、镍指标。</t>
  </si>
  <si>
    <t>104车间2月10日生产情况</t>
  </si>
  <si>
    <t>103车间2月11日生产情况</t>
  </si>
  <si>
    <t>1、蒸发正常开机，关注蒸发量；
2、清理卫生；
3、外协施工时注意安全监护；
4、关注外排水PH、镍指标。</t>
  </si>
  <si>
    <t>104车间2月11日生产情况</t>
  </si>
  <si>
    <t>103车间2月12日生产情况</t>
  </si>
  <si>
    <t>104车间2月12日生产情况</t>
  </si>
  <si>
    <t>103车间2月13日生产情况</t>
  </si>
  <si>
    <t>104车间2月13日生产情况</t>
  </si>
  <si>
    <t>103车间2月14日生产情况</t>
  </si>
  <si>
    <t>1、拆除合成D釜滤网。</t>
  </si>
  <si>
    <t>104车间2月14日生产情况</t>
  </si>
  <si>
    <t>103车间2月15日生产情况</t>
  </si>
  <si>
    <t>104车间2月15日生产情况</t>
  </si>
  <si>
    <t>103车间2月16日生产情况</t>
  </si>
  <si>
    <t>1、合成B釜搅拌、放料阀维修；</t>
  </si>
  <si>
    <t>104车间2月16日生产情况</t>
  </si>
  <si>
    <t>103车间2月17日生产情况</t>
  </si>
  <si>
    <t>1、合成B釜搅拌轴晃动大，待维修；
2、元明粉离心机蒸汽阀门漏，待停机维修。</t>
  </si>
  <si>
    <t>104车间2月17日生产情况</t>
  </si>
  <si>
    <t>103车间2月18日生产情况</t>
  </si>
  <si>
    <t>1、合成B釜搅拌轴晃动大，待维修；
2、元明粉离心机蒸汽阀门漏，待停机维修；
3、碳酸钠配制槽B搅拌异响，择机维修。</t>
  </si>
  <si>
    <t>104车间2月18日生产情况</t>
  </si>
  <si>
    <t>103车间2月19日生产情况</t>
  </si>
  <si>
    <t>1、合成B釜搅拌轴晃动大，待维修；
2、元明粉离心机蒸汽阀门漏，待停机维修；
3、碳酸钠配制槽B搅拌异响，择机维修；
4、元明粉2号离心机漏油维修，保证使用；
5、蒸发预调压滤管道脱落。</t>
  </si>
  <si>
    <t>104车间2月19日生产情况</t>
  </si>
  <si>
    <t>103车间2月20日生产情况</t>
  </si>
  <si>
    <t>1、元明粉出料中间绞龙传动方式由链条改为联轴器，绞龙整体需抬高；
2、MVR两个板式换热器堵，需拆下来清洗。</t>
  </si>
  <si>
    <t>1、合成B釜搅拌轴晃动大，待维修；
2、碳酸钠配制槽B搅拌异响，择机维修。</t>
  </si>
  <si>
    <t>104车间2月20日生产情况</t>
  </si>
  <si>
    <t>103车间2月21日生产情况</t>
  </si>
  <si>
    <t>1、合成B釜搅拌轴晃动大，待维修；
2、碳酸钠配制槽B搅拌异响，择机维修；
3、雨水池阀门坏需维修。</t>
  </si>
  <si>
    <t>104车间2月21日生产情况</t>
  </si>
  <si>
    <t>103车间2月22日生产情况</t>
  </si>
  <si>
    <t>104车间2月22日生产情况</t>
  </si>
  <si>
    <t>103车间2月23日生产情况</t>
  </si>
  <si>
    <t>104车间2月23日生产情况</t>
  </si>
  <si>
    <t>103车间2月24日生产情况</t>
  </si>
  <si>
    <t>1、蒸发停机退料；
2、清理卫生；
3、外协施工时注意安全监护；
4、关注外排水PH、镍指标。</t>
  </si>
  <si>
    <t>104车间2月24日生产情况</t>
  </si>
  <si>
    <t>103车间2月25日生产情况</t>
  </si>
  <si>
    <t>1、元明粉出料中间绞龙传动方式由链条改为联轴器，绞龙整体需抬高；
2、MVR小板式换热器拆卸后已清洗，需要回装（大换热器等下次停车再拆）；
3、沉锂泵机封损坏频次高，且不耐用；
4、除氟新安装的压滤泵异响大。</t>
  </si>
  <si>
    <t>104车间2月25日生产情况</t>
  </si>
  <si>
    <t>103车间2月26日生产情况</t>
  </si>
  <si>
    <t>1、元明粉出料中间绞龙传动方式由链条改为联轴器，绞龙整体需抬高；
2、沉锂泵机封损坏频次高，且不耐用；
3、除氟新安装的压滤泵异响大。</t>
  </si>
  <si>
    <t>1、合成B釜搅拌轴晃动大，待维修；
2、碳酸钠配制槽B搅拌异响，择机维修；
3、雨水池阀门坏需维修；
4、MVR大换热器堵盲板。</t>
  </si>
  <si>
    <t>1、蒸发停压缩机，大换热器堵盲板；
2、清理卫生；
3、外协施工时注意安全监护；
4、关注外排水PH、镍指标。</t>
  </si>
  <si>
    <t>104车间2月26日生产情况</t>
  </si>
  <si>
    <t>103车间2月27日生产情况</t>
  </si>
  <si>
    <t>1、合成B釜搅拌轴晃动大，待维修；
2、碳酸钠配制槽B搅拌异响，择机维修；
3、雨水池阀门坏需维修；
4、大板式换热器清洗完后回装。</t>
  </si>
  <si>
    <t>104车间2月27日生产情况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</si>
</sst>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20"/>
      <color rgb="FF00000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2"/>
      <color rgb="FFFF0000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4" applyNumberFormat="0" applyAlignment="0" applyProtection="0">
      <alignment vertical="center"/>
    </xf>
    <xf numFmtId="0" fontId="17" fillId="4" borderId="15" applyNumberFormat="0" applyAlignment="0" applyProtection="0">
      <alignment vertical="center"/>
    </xf>
    <xf numFmtId="0" fontId="18" fillId="4" borderId="14" applyNumberFormat="0" applyAlignment="0" applyProtection="0">
      <alignment vertical="center"/>
    </xf>
    <xf numFmtId="0" fontId="19" fillId="5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left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left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1" fillId="0" borderId="0" xfId="0" applyNumberFormat="1" applyFont="1" applyFill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655320</xdr:colOff>
      <xdr:row>24</xdr:row>
      <xdr:rowOff>491490</xdr:rowOff>
    </xdr:from>
    <xdr:to>
      <xdr:col>11</xdr:col>
      <xdr:colOff>867410</xdr:colOff>
      <xdr:row>24</xdr:row>
      <xdr:rowOff>1463040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27795" y="10803890"/>
          <a:ext cx="4962525" cy="971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comments" Target="../comments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tabSelected="1" zoomScale="85" zoomScaleNormal="85" topLeftCell="A4" workbookViewId="0">
      <pane xSplit="2" topLeftCell="C1" activePane="topRight" state="frozen"/>
      <selection/>
      <selection pane="topRight" activeCell="H22" sqref="H22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0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0</v>
      </c>
      <c r="D3" s="10">
        <v>3</v>
      </c>
      <c r="E3" s="11">
        <f t="shared" ref="E3:E8" si="0">C3+D3</f>
        <v>3</v>
      </c>
      <c r="F3" s="11" t="s">
        <v>14</v>
      </c>
      <c r="G3" s="11">
        <f>3</f>
        <v>3</v>
      </c>
      <c r="H3" s="11">
        <v>231</v>
      </c>
      <c r="I3" s="11">
        <f>H3-G3</f>
        <v>228</v>
      </c>
      <c r="J3" s="11"/>
      <c r="K3" s="11"/>
      <c r="L3" s="11"/>
      <c r="M3" s="12">
        <f>I3/27</f>
        <v>8.44444444444444</v>
      </c>
    </row>
    <row r="4" s="1" customFormat="1" ht="56" customHeight="1" spans="1:13">
      <c r="A4" s="13">
        <v>2</v>
      </c>
      <c r="B4" s="9" t="s">
        <v>15</v>
      </c>
      <c r="C4" s="12">
        <v>2</v>
      </c>
      <c r="D4" s="12"/>
      <c r="E4" s="11">
        <f t="shared" si="0"/>
        <v>2</v>
      </c>
      <c r="F4" s="11" t="s">
        <v>14</v>
      </c>
      <c r="G4" s="11">
        <f>2</f>
        <v>2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0</v>
      </c>
      <c r="D5" s="12">
        <v>0</v>
      </c>
      <c r="E5" s="11">
        <f t="shared" si="0"/>
        <v>0</v>
      </c>
      <c r="F5" s="11" t="s">
        <v>14</v>
      </c>
      <c r="G5" s="11">
        <v>0</v>
      </c>
      <c r="H5" s="14">
        <v>3715</v>
      </c>
      <c r="I5" s="14">
        <f>H5-G5-G7-G6</f>
        <v>3715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0</v>
      </c>
      <c r="D7" s="12">
        <v>0</v>
      </c>
      <c r="E7" s="11">
        <f t="shared" si="0"/>
        <v>0</v>
      </c>
      <c r="F7" s="11" t="s">
        <v>14</v>
      </c>
      <c r="G7" s="11">
        <v>0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v>0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0</v>
      </c>
      <c r="D9" s="19"/>
      <c r="E9" s="14">
        <v>0</v>
      </c>
      <c r="F9" s="14" t="s">
        <v>14</v>
      </c>
      <c r="G9" s="14">
        <v>0</v>
      </c>
      <c r="H9" s="14">
        <v>4.26</v>
      </c>
      <c r="I9" s="14">
        <f>H9-G9</f>
        <v>4.26</v>
      </c>
      <c r="J9" s="20" t="s">
        <v>21</v>
      </c>
      <c r="K9" s="21">
        <v>0</v>
      </c>
      <c r="L9" s="14">
        <f>C9*K9/100</f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2.916</v>
      </c>
      <c r="D11" s="11">
        <v>0</v>
      </c>
      <c r="E11" s="11">
        <f>C11+D11</f>
        <v>2.916</v>
      </c>
      <c r="F11" s="11" t="s">
        <v>14</v>
      </c>
      <c r="G11" s="11">
        <f>2.916</f>
        <v>2.916</v>
      </c>
      <c r="H11" s="11"/>
      <c r="I11" s="11">
        <f>G11/(G3*0.1865)</f>
        <v>5.21179624664879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16.0816</v>
      </c>
      <c r="D12" s="11">
        <v>0</v>
      </c>
      <c r="E12" s="11">
        <f t="shared" ref="E12:E20" si="1">D12+C12</f>
        <v>16.0816</v>
      </c>
      <c r="F12" s="11" t="s">
        <v>14</v>
      </c>
      <c r="G12" s="11">
        <f>16.0816</f>
        <v>16.0816</v>
      </c>
      <c r="H12" s="11"/>
      <c r="I12" s="11">
        <f>G12/(G3*0.1865)</f>
        <v>28.7428060768543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0</v>
      </c>
      <c r="D13" s="12">
        <v>145</v>
      </c>
      <c r="E13" s="11">
        <f t="shared" si="1"/>
        <v>145</v>
      </c>
      <c r="F13" s="11" t="s">
        <v>25</v>
      </c>
      <c r="G13" s="11">
        <f>145</f>
        <v>145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0</v>
      </c>
      <c r="D14" s="12">
        <v>483.5</v>
      </c>
      <c r="E14" s="11">
        <f t="shared" si="1"/>
        <v>483.5</v>
      </c>
      <c r="F14" s="11" t="s">
        <v>25</v>
      </c>
      <c r="G14" s="11">
        <f>483.5</f>
        <v>483.5</v>
      </c>
      <c r="H14" s="11"/>
      <c r="I14" s="11"/>
      <c r="J14" s="11">
        <f>(C14*K14+L14*D14)/1000</f>
        <v>1.310285</v>
      </c>
      <c r="K14" s="11">
        <v>0</v>
      </c>
      <c r="L14" s="11">
        <v>2.71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</f>
        <v>1.310285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0</v>
      </c>
      <c r="D16" s="12">
        <v>16</v>
      </c>
      <c r="E16" s="11">
        <f t="shared" si="1"/>
        <v>16</v>
      </c>
      <c r="F16" s="11" t="s">
        <v>14</v>
      </c>
      <c r="G16" s="11">
        <f>16</f>
        <v>16</v>
      </c>
      <c r="H16" s="11"/>
      <c r="I16" s="11">
        <f>G16/(G3*0.1865)</f>
        <v>28.5969615728329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v>0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0</v>
      </c>
      <c r="D18" s="29">
        <v>2</v>
      </c>
      <c r="E18" s="11">
        <f t="shared" si="1"/>
        <v>2</v>
      </c>
      <c r="F18" s="11" t="s">
        <v>14</v>
      </c>
      <c r="G18" s="11">
        <f>2</f>
        <v>2</v>
      </c>
      <c r="H18" s="28"/>
      <c r="I18" s="28">
        <f>G18/(G3*0.1865)</f>
        <v>3.57462019660411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0</v>
      </c>
      <c r="D19" s="29">
        <v>1.5</v>
      </c>
      <c r="E19" s="11">
        <f t="shared" si="1"/>
        <v>1.5</v>
      </c>
      <c r="F19" s="11" t="s">
        <v>14</v>
      </c>
      <c r="G19" s="11">
        <f>1.5</f>
        <v>1.5</v>
      </c>
      <c r="H19" s="28"/>
      <c r="I19" s="28">
        <f>G19/(G3*0.1865)</f>
        <v>2.68096514745308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29">
        <v>0</v>
      </c>
      <c r="D20" s="29">
        <v>5</v>
      </c>
      <c r="E20" s="11">
        <f t="shared" si="1"/>
        <v>5</v>
      </c>
      <c r="F20" s="11" t="s">
        <v>34</v>
      </c>
      <c r="G20" s="11">
        <f>5</f>
        <v>5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11" t="s">
        <v>36</v>
      </c>
      <c r="D21" s="11" t="s">
        <v>36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0</v>
      </c>
      <c r="D22" s="29">
        <v>77</v>
      </c>
      <c r="E22" s="11">
        <f>D22+C22</f>
        <v>77</v>
      </c>
      <c r="F22" s="11" t="s">
        <v>25</v>
      </c>
      <c r="G22" s="11">
        <f>77</f>
        <v>77</v>
      </c>
      <c r="H22" s="30">
        <v>1</v>
      </c>
      <c r="I22" s="28">
        <f>E22/H22</f>
        <v>77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39</v>
      </c>
      <c r="C23" s="29">
        <v>0</v>
      </c>
      <c r="D23" s="29">
        <v>230</v>
      </c>
      <c r="E23" s="11">
        <f>D23+C23</f>
        <v>230</v>
      </c>
      <c r="F23" s="11" t="s">
        <v>25</v>
      </c>
      <c r="G23" s="11">
        <f>230</f>
        <v>230</v>
      </c>
      <c r="H23" s="28"/>
      <c r="I23" s="28">
        <f>E23/H22</f>
        <v>230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0</v>
      </c>
      <c r="D24" s="29">
        <v>0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 t="s">
        <v>43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46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47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4.51</v>
      </c>
      <c r="D32" s="12">
        <v>3.24</v>
      </c>
      <c r="E32" s="11">
        <f t="shared" si="2"/>
        <v>7.75</v>
      </c>
      <c r="F32" s="11" t="s">
        <v>25</v>
      </c>
      <c r="G32" s="11">
        <f>7.75</f>
        <v>7.75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3</v>
      </c>
      <c r="D33" s="12">
        <v>2</v>
      </c>
      <c r="E33" s="11">
        <f t="shared" si="2"/>
        <v>5</v>
      </c>
      <c r="F33" s="11" t="s">
        <v>25</v>
      </c>
      <c r="G33" s="11">
        <f>5</f>
        <v>5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2">
        <f>0</f>
        <v>0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37</v>
      </c>
      <c r="D37" s="12">
        <v>199</v>
      </c>
      <c r="E37" s="11">
        <f t="shared" si="2"/>
        <v>236</v>
      </c>
      <c r="F37" s="11" t="s">
        <v>25</v>
      </c>
      <c r="G37" s="11">
        <f>236</f>
        <v>236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245</v>
      </c>
      <c r="D38" s="12">
        <v>497</v>
      </c>
      <c r="E38" s="11">
        <f t="shared" si="2"/>
        <v>742</v>
      </c>
      <c r="F38" s="11" t="s">
        <v>25</v>
      </c>
      <c r="G38" s="11">
        <f>742</f>
        <v>742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750*0</f>
        <v>0</v>
      </c>
      <c r="J40" s="27" t="s">
        <v>59</v>
      </c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86.86*1.84</f>
        <v>159.8224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1</v>
      </c>
      <c r="D42" s="29">
        <v>2</v>
      </c>
      <c r="E42" s="11">
        <f>D42+C42</f>
        <v>3</v>
      </c>
      <c r="F42" s="11" t="s">
        <v>34</v>
      </c>
      <c r="G42" s="11">
        <f>3</f>
        <v>3</v>
      </c>
      <c r="H42" s="28"/>
      <c r="I42" s="11">
        <v>14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18" workbookViewId="0">
      <pane xSplit="2" topLeftCell="C1" activePane="topRight" state="frozen"/>
      <selection/>
      <selection pane="topRight" activeCell="A17" sqref="$A17:$XFD17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65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5</v>
      </c>
      <c r="D3" s="10">
        <v>1.5</v>
      </c>
      <c r="E3" s="11">
        <f t="shared" ref="E3:E8" si="0">C3+D3</f>
        <v>6.5</v>
      </c>
      <c r="F3" s="11" t="s">
        <v>14</v>
      </c>
      <c r="G3" s="11">
        <f>3+6.5</f>
        <v>9.5</v>
      </c>
      <c r="H3" s="11">
        <v>231</v>
      </c>
      <c r="I3" s="11">
        <f>H3-G3</f>
        <v>221.5</v>
      </c>
      <c r="J3" s="11"/>
      <c r="K3" s="11"/>
      <c r="L3" s="11"/>
      <c r="M3" s="12">
        <f>I3/26</f>
        <v>8.51923076923077</v>
      </c>
    </row>
    <row r="4" s="1" customFormat="1" ht="56" customHeight="1" spans="1:13">
      <c r="A4" s="13">
        <v>2</v>
      </c>
      <c r="B4" s="9" t="s">
        <v>15</v>
      </c>
      <c r="C4" s="12">
        <v>6</v>
      </c>
      <c r="D4" s="12"/>
      <c r="E4" s="11">
        <f t="shared" si="0"/>
        <v>6</v>
      </c>
      <c r="F4" s="11" t="s">
        <v>14</v>
      </c>
      <c r="G4" s="11">
        <f>2+6</f>
        <v>8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0</v>
      </c>
      <c r="D5" s="12">
        <v>0</v>
      </c>
      <c r="E5" s="11">
        <f t="shared" si="0"/>
        <v>0</v>
      </c>
      <c r="F5" s="11" t="s">
        <v>14</v>
      </c>
      <c r="G5" s="11">
        <v>0</v>
      </c>
      <c r="H5" s="14">
        <v>3715</v>
      </c>
      <c r="I5" s="14">
        <f>H5-G5-G7-G6</f>
        <v>3564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60</v>
      </c>
      <c r="D7" s="12">
        <v>91</v>
      </c>
      <c r="E7" s="11">
        <f t="shared" si="0"/>
        <v>151</v>
      </c>
      <c r="F7" s="11" t="s">
        <v>14</v>
      </c>
      <c r="G7" s="11">
        <f>0+151</f>
        <v>151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0</v>
      </c>
      <c r="D8" s="12">
        <v>7</v>
      </c>
      <c r="E8" s="11">
        <f t="shared" si="0"/>
        <v>7</v>
      </c>
      <c r="F8" s="11" t="s">
        <v>14</v>
      </c>
      <c r="G8" s="11">
        <f>0+7</f>
        <v>7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0</v>
      </c>
      <c r="D9" s="19"/>
      <c r="E9" s="14">
        <v>0</v>
      </c>
      <c r="F9" s="14" t="s">
        <v>14</v>
      </c>
      <c r="G9" s="14">
        <v>0</v>
      </c>
      <c r="H9" s="14">
        <v>4.26</v>
      </c>
      <c r="I9" s="14">
        <f>H9-G9</f>
        <v>4.26</v>
      </c>
      <c r="J9" s="20" t="s">
        <v>21</v>
      </c>
      <c r="K9" s="21">
        <v>0</v>
      </c>
      <c r="L9" s="14">
        <f>C9*K9/100</f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3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2.106</v>
      </c>
      <c r="D11" s="11">
        <v>0</v>
      </c>
      <c r="E11" s="11">
        <f>C11+D11</f>
        <v>2.106</v>
      </c>
      <c r="F11" s="11" t="s">
        <v>14</v>
      </c>
      <c r="G11" s="11">
        <f>2.916+2.106</f>
        <v>5.022</v>
      </c>
      <c r="H11" s="11"/>
      <c r="I11" s="11">
        <f>G11/(G3*0.1865)</f>
        <v>2.83448567800198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6.2008</v>
      </c>
      <c r="D12" s="11">
        <v>0</v>
      </c>
      <c r="E12" s="11">
        <f t="shared" ref="E12:E20" si="1">D12+C12</f>
        <v>6.2008</v>
      </c>
      <c r="F12" s="11" t="s">
        <v>14</v>
      </c>
      <c r="G12" s="11">
        <f>16.0816+6.2008</f>
        <v>22.2824</v>
      </c>
      <c r="H12" s="11"/>
      <c r="I12" s="11">
        <f>G12/(G3*0.1865)</f>
        <v>12.5764921687597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102</v>
      </c>
      <c r="D13" s="12">
        <v>55</v>
      </c>
      <c r="E13" s="11">
        <f t="shared" si="1"/>
        <v>157</v>
      </c>
      <c r="F13" s="11" t="s">
        <v>25</v>
      </c>
      <c r="G13" s="11">
        <f>145+157</f>
        <v>302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220.84</v>
      </c>
      <c r="D14" s="12">
        <v>562.36</v>
      </c>
      <c r="E14" s="11">
        <f t="shared" si="1"/>
        <v>783.2</v>
      </c>
      <c r="F14" s="11" t="s">
        <v>25</v>
      </c>
      <c r="G14" s="11">
        <f>483.5+783.2</f>
        <v>1266.7</v>
      </c>
      <c r="H14" s="11"/>
      <c r="I14" s="11"/>
      <c r="J14" s="11">
        <f>(C14*K14+L14*D14)/1000</f>
        <v>2.0899372</v>
      </c>
      <c r="K14" s="11">
        <v>2.69</v>
      </c>
      <c r="L14" s="11">
        <v>2.66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</f>
        <v>3.4002222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9</v>
      </c>
      <c r="D16" s="12">
        <v>3</v>
      </c>
      <c r="E16" s="11">
        <f t="shared" si="1"/>
        <v>12</v>
      </c>
      <c r="F16" s="11" t="s">
        <v>14</v>
      </c>
      <c r="G16" s="11">
        <f>16+12</f>
        <v>28</v>
      </c>
      <c r="H16" s="11"/>
      <c r="I16" s="11">
        <f>G16/(G3*0.1865)</f>
        <v>15.8035840270919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</v>
      </c>
      <c r="D17" s="29">
        <v>0.3</v>
      </c>
      <c r="E17" s="11">
        <f t="shared" si="1"/>
        <v>0.3</v>
      </c>
      <c r="F17" s="11" t="s">
        <v>14</v>
      </c>
      <c r="G17" s="11">
        <f>0.3</f>
        <v>0.3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</f>
        <v>2</v>
      </c>
      <c r="H18" s="28"/>
      <c r="I18" s="28">
        <f>G18/(G3*0.1865)</f>
        <v>1.12882743050656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1.5</f>
        <v>1.5</v>
      </c>
      <c r="H19" s="28"/>
      <c r="I19" s="28">
        <f>G19/(G3*0.1865)</f>
        <v>0.846620572879921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29">
        <v>0</v>
      </c>
      <c r="D20" s="29">
        <v>1</v>
      </c>
      <c r="E20" s="11">
        <f t="shared" si="1"/>
        <v>1</v>
      </c>
      <c r="F20" s="11" t="s">
        <v>34</v>
      </c>
      <c r="G20" s="11">
        <f>5+1</f>
        <v>6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11">
        <v>0</v>
      </c>
      <c r="D21" s="11">
        <v>0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652</v>
      </c>
      <c r="D22" s="29">
        <v>657</v>
      </c>
      <c r="E22" s="11">
        <f>D22+C22</f>
        <v>1309</v>
      </c>
      <c r="F22" s="11" t="s">
        <v>25</v>
      </c>
      <c r="G22" s="11">
        <f>77+1309</f>
        <v>1386</v>
      </c>
      <c r="H22" s="48">
        <v>24</v>
      </c>
      <c r="I22" s="28">
        <f>E22/H22</f>
        <v>54.5416666666667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39</v>
      </c>
      <c r="C23" s="29">
        <v>643</v>
      </c>
      <c r="D23" s="29">
        <v>822</v>
      </c>
      <c r="E23" s="11">
        <f>D23+C23</f>
        <v>1465</v>
      </c>
      <c r="F23" s="11" t="s">
        <v>25</v>
      </c>
      <c r="G23" s="11">
        <f>230+1465</f>
        <v>1695</v>
      </c>
      <c r="H23" s="28"/>
      <c r="I23" s="28">
        <f>E23/H22</f>
        <v>61.0416666666667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0</v>
      </c>
      <c r="D24" s="29">
        <v>31.5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 t="s">
        <v>43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 t="s">
        <v>66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67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68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2.98</v>
      </c>
      <c r="D32" s="12">
        <v>3</v>
      </c>
      <c r="E32" s="11">
        <f t="shared" si="2"/>
        <v>5.98</v>
      </c>
      <c r="F32" s="11" t="s">
        <v>25</v>
      </c>
      <c r="G32" s="11">
        <f>7.75+5.98</f>
        <v>13.73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3</v>
      </c>
      <c r="D33" s="12">
        <v>3</v>
      </c>
      <c r="E33" s="11">
        <f t="shared" si="2"/>
        <v>6</v>
      </c>
      <c r="F33" s="11" t="s">
        <v>25</v>
      </c>
      <c r="G33" s="11">
        <f>5+6</f>
        <v>11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36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7.8165</v>
      </c>
      <c r="D35" s="11">
        <v>0</v>
      </c>
      <c r="E35" s="11">
        <f t="shared" si="2"/>
        <v>7.8165</v>
      </c>
      <c r="F35" s="11" t="s">
        <v>14</v>
      </c>
      <c r="G35" s="11">
        <f>7.8165</f>
        <v>7.8165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39</v>
      </c>
      <c r="D37" s="12">
        <v>5</v>
      </c>
      <c r="E37" s="11">
        <f t="shared" si="2"/>
        <v>44</v>
      </c>
      <c r="F37" s="11" t="s">
        <v>25</v>
      </c>
      <c r="G37" s="11">
        <f>236+44</f>
        <v>280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403</v>
      </c>
      <c r="D38" s="12">
        <v>252</v>
      </c>
      <c r="E38" s="11">
        <f t="shared" si="2"/>
        <v>655</v>
      </c>
      <c r="F38" s="11" t="s">
        <v>25</v>
      </c>
      <c r="G38" s="11">
        <f>742+655</f>
        <v>1397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ref="G39:G41" si="4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4"/>
        <v>0</v>
      </c>
      <c r="H40" s="28"/>
      <c r="I40" s="29">
        <f>750*0</f>
        <v>0</v>
      </c>
      <c r="J40" s="27" t="s">
        <v>59</v>
      </c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4"/>
        <v>0</v>
      </c>
      <c r="H41" s="28"/>
      <c r="I41" s="29">
        <f>86.86*1.79</f>
        <v>155.4794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2</v>
      </c>
      <c r="D42" s="29">
        <v>1</v>
      </c>
      <c r="E42" s="11">
        <f>D42+C42</f>
        <v>3</v>
      </c>
      <c r="F42" s="11" t="s">
        <v>34</v>
      </c>
      <c r="G42" s="11">
        <f>3+3</f>
        <v>6</v>
      </c>
      <c r="H42" s="28"/>
      <c r="I42" s="11">
        <v>17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ignoredErrors>
    <ignoredError sqref="G35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topLeftCell="A22" workbookViewId="0">
      <pane xSplit="2" topLeftCell="C1" activePane="topRight" state="frozen"/>
      <selection/>
      <selection pane="topRight" activeCell="K8" sqref="K8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69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5.5</v>
      </c>
      <c r="D3" s="10">
        <v>7.5</v>
      </c>
      <c r="E3" s="11">
        <f t="shared" ref="E3:E8" si="0">C3+D3</f>
        <v>13</v>
      </c>
      <c r="F3" s="11" t="s">
        <v>14</v>
      </c>
      <c r="G3" s="11">
        <f>3+6.5+13</f>
        <v>22.5</v>
      </c>
      <c r="H3" s="11">
        <v>231</v>
      </c>
      <c r="I3" s="11">
        <f>H3-G3</f>
        <v>208.5</v>
      </c>
      <c r="J3" s="11"/>
      <c r="K3" s="11"/>
      <c r="L3" s="11"/>
      <c r="M3" s="12">
        <f>I3/25</f>
        <v>8.34</v>
      </c>
    </row>
    <row r="4" s="1" customFormat="1" ht="56" customHeight="1" spans="1:13">
      <c r="A4" s="13">
        <v>2</v>
      </c>
      <c r="B4" s="9" t="s">
        <v>15</v>
      </c>
      <c r="C4" s="12">
        <v>6</v>
      </c>
      <c r="D4" s="12"/>
      <c r="E4" s="11">
        <f t="shared" si="0"/>
        <v>6</v>
      </c>
      <c r="F4" s="11" t="s">
        <v>14</v>
      </c>
      <c r="G4" s="11">
        <f>2+6+6</f>
        <v>14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100</v>
      </c>
      <c r="D5" s="12">
        <v>94</v>
      </c>
      <c r="E5" s="11">
        <f t="shared" si="0"/>
        <v>194</v>
      </c>
      <c r="F5" s="11" t="s">
        <v>14</v>
      </c>
      <c r="G5" s="11">
        <f>194</f>
        <v>194</v>
      </c>
      <c r="H5" s="14">
        <v>3715</v>
      </c>
      <c r="I5" s="14">
        <f>H5-G5-G7-G6</f>
        <v>3370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0</v>
      </c>
      <c r="D7" s="12">
        <v>0</v>
      </c>
      <c r="E7" s="11">
        <f t="shared" si="0"/>
        <v>0</v>
      </c>
      <c r="F7" s="11" t="s">
        <v>14</v>
      </c>
      <c r="G7" s="11">
        <f>0+151</f>
        <v>151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2</v>
      </c>
      <c r="D8" s="12">
        <v>0</v>
      </c>
      <c r="E8" s="11">
        <f t="shared" si="0"/>
        <v>2</v>
      </c>
      <c r="F8" s="11" t="s">
        <v>14</v>
      </c>
      <c r="G8" s="11">
        <f>0+7+2</f>
        <v>9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30.61</v>
      </c>
      <c r="D9" s="19"/>
      <c r="E9" s="14">
        <f>30.61</f>
        <v>30.61</v>
      </c>
      <c r="F9" s="14" t="s">
        <v>14</v>
      </c>
      <c r="G9" s="14">
        <f>0.251002</f>
        <v>0.251002</v>
      </c>
      <c r="H9" s="14">
        <v>4.26</v>
      </c>
      <c r="I9" s="14">
        <f>H9-G9</f>
        <v>4.008998</v>
      </c>
      <c r="J9" s="20" t="s">
        <v>21</v>
      </c>
      <c r="K9" s="21">
        <v>0.82</v>
      </c>
      <c r="L9" s="14">
        <f>C9*K9/100</f>
        <v>0.251002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3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2.268</v>
      </c>
      <c r="D11" s="11">
        <v>1.6605</v>
      </c>
      <c r="E11" s="11">
        <f>C11+D11</f>
        <v>3.9285</v>
      </c>
      <c r="F11" s="11" t="s">
        <v>14</v>
      </c>
      <c r="G11" s="11">
        <f>2.916+2.106+3.9285</f>
        <v>8.9505</v>
      </c>
      <c r="H11" s="11"/>
      <c r="I11" s="11">
        <f>G11/(G3*0.1865)</f>
        <v>2.13297587131367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10.9112</v>
      </c>
      <c r="D12" s="11">
        <v>0</v>
      </c>
      <c r="E12" s="11">
        <f t="shared" ref="E12:E20" si="1">D12+C12</f>
        <v>10.9112</v>
      </c>
      <c r="F12" s="11" t="s">
        <v>14</v>
      </c>
      <c r="G12" s="11">
        <f>16.0816+6.2008+10.9112</f>
        <v>33.1936</v>
      </c>
      <c r="H12" s="11"/>
      <c r="I12" s="11">
        <f>G12/(G3*0.1865)</f>
        <v>7.91030086386655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215</v>
      </c>
      <c r="D13" s="12">
        <v>251</v>
      </c>
      <c r="E13" s="11">
        <f t="shared" si="1"/>
        <v>466</v>
      </c>
      <c r="F13" s="11" t="s">
        <v>25</v>
      </c>
      <c r="G13" s="11">
        <f>145+157+466</f>
        <v>768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510.74</v>
      </c>
      <c r="D14" s="12">
        <v>0</v>
      </c>
      <c r="E14" s="11">
        <f t="shared" si="1"/>
        <v>510.74</v>
      </c>
      <c r="F14" s="11" t="s">
        <v>25</v>
      </c>
      <c r="G14" s="11">
        <f>483.5+783.2+510.74</f>
        <v>1777.44</v>
      </c>
      <c r="H14" s="11"/>
      <c r="I14" s="11"/>
      <c r="J14" s="11">
        <f>(C14*K14+L14*D14)/1000</f>
        <v>1.404535</v>
      </c>
      <c r="K14" s="11">
        <v>2.75</v>
      </c>
      <c r="L14" s="11">
        <v>0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1.310285+2.0899372+1.404535</f>
        <v>4.8047572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18</v>
      </c>
      <c r="D16" s="12">
        <v>18</v>
      </c>
      <c r="E16" s="11">
        <f t="shared" si="1"/>
        <v>36</v>
      </c>
      <c r="F16" s="11" t="s">
        <v>14</v>
      </c>
      <c r="G16" s="11">
        <f>16+12+36</f>
        <v>64</v>
      </c>
      <c r="H16" s="11"/>
      <c r="I16" s="11">
        <f>G16/(G3*0.1865)</f>
        <v>15.2517128388442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0.1</v>
      </c>
      <c r="D17" s="29">
        <v>0</v>
      </c>
      <c r="E17" s="11">
        <f t="shared" si="1"/>
        <v>0.1</v>
      </c>
      <c r="F17" s="11" t="s">
        <v>14</v>
      </c>
      <c r="G17" s="11">
        <f>0.3+0.1</f>
        <v>0.4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</f>
        <v>2</v>
      </c>
      <c r="H18" s="28"/>
      <c r="I18" s="28">
        <f>G18/(G3*0.1865)</f>
        <v>0.476616026213881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1.5</f>
        <v>1.5</v>
      </c>
      <c r="H19" s="28"/>
      <c r="I19" s="28">
        <f>G19/(G3*0.1865)</f>
        <v>0.357462019660411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29">
        <v>5</v>
      </c>
      <c r="D20" s="29">
        <v>4</v>
      </c>
      <c r="E20" s="11">
        <f t="shared" si="1"/>
        <v>9</v>
      </c>
      <c r="F20" s="11" t="s">
        <v>34</v>
      </c>
      <c r="G20" s="11">
        <f>5+1+9</f>
        <v>15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11" t="s">
        <v>36</v>
      </c>
      <c r="D21" s="11" t="s">
        <v>36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671</v>
      </c>
      <c r="D22" s="29">
        <v>704</v>
      </c>
      <c r="E22" s="11">
        <f>D22+C22</f>
        <v>1375</v>
      </c>
      <c r="F22" s="11" t="s">
        <v>25</v>
      </c>
      <c r="G22" s="11">
        <f>77+1309+1375</f>
        <v>2761</v>
      </c>
      <c r="H22" s="48">
        <v>24</v>
      </c>
      <c r="I22" s="28">
        <f>E22/H22</f>
        <v>57.2916666666667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39</v>
      </c>
      <c r="C23" s="29">
        <v>855</v>
      </c>
      <c r="D23" s="29">
        <v>922</v>
      </c>
      <c r="E23" s="11">
        <f>D23+C23</f>
        <v>1777</v>
      </c>
      <c r="F23" s="11" t="s">
        <v>25</v>
      </c>
      <c r="G23" s="11">
        <f>230+1465+1777</f>
        <v>3472</v>
      </c>
      <c r="H23" s="28"/>
      <c r="I23" s="28">
        <f>E23/H22</f>
        <v>74.0416666666667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34.5</v>
      </c>
      <c r="D24" s="29">
        <v>25.52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 t="s">
        <v>70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 t="s">
        <v>71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67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72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3.27</v>
      </c>
      <c r="D32" s="12">
        <v>3.27</v>
      </c>
      <c r="E32" s="11">
        <f t="shared" si="2"/>
        <v>6.54</v>
      </c>
      <c r="F32" s="11" t="s">
        <v>25</v>
      </c>
      <c r="G32" s="11">
        <f>7.75+5.98+6.54</f>
        <v>20.27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3</v>
      </c>
      <c r="D33" s="12">
        <v>3</v>
      </c>
      <c r="E33" s="11">
        <f t="shared" si="2"/>
        <v>6</v>
      </c>
      <c r="F33" s="11" t="s">
        <v>25</v>
      </c>
      <c r="G33" s="11">
        <f>5+6+6</f>
        <v>17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41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1">
        <f>7.8165</f>
        <v>7.8165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19</v>
      </c>
      <c r="E37" s="11">
        <f t="shared" si="2"/>
        <v>19</v>
      </c>
      <c r="F37" s="11" t="s">
        <v>25</v>
      </c>
      <c r="G37" s="11">
        <f>236+44+19</f>
        <v>299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235</v>
      </c>
      <c r="D38" s="12">
        <v>302</v>
      </c>
      <c r="E38" s="11">
        <f t="shared" si="2"/>
        <v>537</v>
      </c>
      <c r="F38" s="11" t="s">
        <v>25</v>
      </c>
      <c r="G38" s="11">
        <f>742+655+537</f>
        <v>1934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si="3"/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750*0</f>
        <v>0</v>
      </c>
      <c r="J40" s="27" t="s">
        <v>59</v>
      </c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86.86*1.65</f>
        <v>143.319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1</v>
      </c>
      <c r="D42" s="29">
        <v>0</v>
      </c>
      <c r="E42" s="11">
        <f>D42+C42</f>
        <v>1</v>
      </c>
      <c r="F42" s="11" t="s">
        <v>34</v>
      </c>
      <c r="G42" s="11">
        <f>3+3+1</f>
        <v>7</v>
      </c>
      <c r="H42" s="28"/>
      <c r="I42" s="11">
        <v>18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4" workbookViewId="0">
      <pane xSplit="2" topLeftCell="C1" activePane="topRight" state="frozen"/>
      <selection/>
      <selection pane="topRight" activeCell="L9" sqref="L9:L10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73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6.5</v>
      </c>
      <c r="D3" s="10">
        <v>6.5</v>
      </c>
      <c r="E3" s="11">
        <f t="shared" ref="E3:E8" si="0">C3+D3</f>
        <v>13</v>
      </c>
      <c r="F3" s="11" t="s">
        <v>14</v>
      </c>
      <c r="G3" s="11">
        <f>3+6.5+13+13</f>
        <v>35.5</v>
      </c>
      <c r="H3" s="11">
        <v>231</v>
      </c>
      <c r="I3" s="11">
        <f>H3-G3</f>
        <v>195.5</v>
      </c>
      <c r="J3" s="11"/>
      <c r="K3" s="11"/>
      <c r="L3" s="11"/>
      <c r="M3" s="12">
        <f>I3/24</f>
        <v>8.14583333333333</v>
      </c>
    </row>
    <row r="4" s="1" customFormat="1" ht="56" customHeight="1" spans="1:13">
      <c r="A4" s="13">
        <v>2</v>
      </c>
      <c r="B4" s="9" t="s">
        <v>15</v>
      </c>
      <c r="C4" s="12">
        <v>14</v>
      </c>
      <c r="D4" s="12"/>
      <c r="E4" s="11">
        <f t="shared" si="0"/>
        <v>14</v>
      </c>
      <c r="F4" s="11" t="s">
        <v>14</v>
      </c>
      <c r="G4" s="11">
        <f>2+6+6+14</f>
        <v>28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102</v>
      </c>
      <c r="D5" s="12">
        <v>110</v>
      </c>
      <c r="E5" s="11">
        <f t="shared" si="0"/>
        <v>212</v>
      </c>
      <c r="F5" s="11" t="s">
        <v>14</v>
      </c>
      <c r="G5" s="11">
        <f>194+212</f>
        <v>406</v>
      </c>
      <c r="H5" s="14">
        <v>3715</v>
      </c>
      <c r="I5" s="14">
        <f>H5-G5-G7-G6</f>
        <v>3158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0</v>
      </c>
      <c r="D7" s="12">
        <v>0</v>
      </c>
      <c r="E7" s="11">
        <f t="shared" si="0"/>
        <v>0</v>
      </c>
      <c r="F7" s="11" t="s">
        <v>14</v>
      </c>
      <c r="G7" s="11">
        <f>0+151</f>
        <v>151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1</v>
      </c>
      <c r="D8" s="12">
        <v>0</v>
      </c>
      <c r="E8" s="11">
        <f t="shared" si="0"/>
        <v>1</v>
      </c>
      <c r="F8" s="11" t="s">
        <v>14</v>
      </c>
      <c r="G8" s="11">
        <f>0+7+2+1</f>
        <v>10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31.24</v>
      </c>
      <c r="D9" s="19"/>
      <c r="E9" s="14">
        <f>30.61+31.24</f>
        <v>61.85</v>
      </c>
      <c r="F9" s="14" t="s">
        <v>14</v>
      </c>
      <c r="G9" s="14">
        <f>0.251002+0.253044</f>
        <v>0.504046</v>
      </c>
      <c r="H9" s="14">
        <v>4.26</v>
      </c>
      <c r="I9" s="14">
        <f>H9-G9</f>
        <v>3.755954</v>
      </c>
      <c r="J9" s="20" t="s">
        <v>21</v>
      </c>
      <c r="K9" s="21">
        <v>0.81</v>
      </c>
      <c r="L9" s="14">
        <f>C9*K9/100</f>
        <v>0.253044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3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3.7125</v>
      </c>
      <c r="D11" s="11">
        <v>1.2285</v>
      </c>
      <c r="E11" s="11">
        <f>C11+D11</f>
        <v>4.941</v>
      </c>
      <c r="F11" s="11" t="s">
        <v>14</v>
      </c>
      <c r="G11" s="11">
        <f>2.916+2.106+3.9285+4.941</f>
        <v>13.8915</v>
      </c>
      <c r="H11" s="11"/>
      <c r="I11" s="11">
        <f>G11/(G3*0.1865)</f>
        <v>2.09817618849828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15.1432</v>
      </c>
      <c r="D12" s="11">
        <v>0</v>
      </c>
      <c r="E12" s="11">
        <f t="shared" ref="E12:E20" si="1">D12+C12</f>
        <v>15.1432</v>
      </c>
      <c r="F12" s="11" t="s">
        <v>14</v>
      </c>
      <c r="G12" s="11">
        <f>16.0816+6.2008+10.9112+15.1432</f>
        <v>48.3368</v>
      </c>
      <c r="H12" s="11"/>
      <c r="I12" s="11">
        <f>G12/(G3*0.1865)</f>
        <v>7.30080428954424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236</v>
      </c>
      <c r="D13" s="12">
        <v>150</v>
      </c>
      <c r="E13" s="11">
        <f t="shared" si="1"/>
        <v>386</v>
      </c>
      <c r="F13" s="11" t="s">
        <v>25</v>
      </c>
      <c r="G13" s="11">
        <f>145+157+466+386</f>
        <v>1154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442.83</v>
      </c>
      <c r="D14" s="12">
        <v>496.95</v>
      </c>
      <c r="E14" s="11">
        <f t="shared" si="1"/>
        <v>939.78</v>
      </c>
      <c r="F14" s="11" t="s">
        <v>25</v>
      </c>
      <c r="G14" s="11">
        <f>483.5+783.2+510.74+939.78</f>
        <v>2717.22</v>
      </c>
      <c r="H14" s="11"/>
      <c r="I14" s="11"/>
      <c r="J14" s="11">
        <f>(C14*K14+L14*D14)/1000</f>
        <v>2.4071166</v>
      </c>
      <c r="K14" s="11">
        <v>2.72</v>
      </c>
      <c r="L14" s="11">
        <v>2.42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1.310285+2.0899372+1.404535+2.4071166</f>
        <v>7.2118738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15</v>
      </c>
      <c r="D16" s="12">
        <v>15</v>
      </c>
      <c r="E16" s="11">
        <f t="shared" si="1"/>
        <v>30</v>
      </c>
      <c r="F16" s="11" t="s">
        <v>14</v>
      </c>
      <c r="G16" s="11">
        <f>16+12+36+30</f>
        <v>94</v>
      </c>
      <c r="H16" s="11"/>
      <c r="I16" s="11">
        <f>G16/(G3*0.1865)</f>
        <v>14.1977872597515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</v>
      </c>
      <c r="D17" s="29">
        <v>0.075</v>
      </c>
      <c r="E17" s="11">
        <f t="shared" si="1"/>
        <v>0.075</v>
      </c>
      <c r="F17" s="11" t="s">
        <v>14</v>
      </c>
      <c r="G17" s="11">
        <f>0.3+0.1+0.075</f>
        <v>0.475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</f>
        <v>4</v>
      </c>
      <c r="H18" s="28"/>
      <c r="I18" s="28">
        <f>G18/(G3*0.1865)</f>
        <v>0.604161159989427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1.5</v>
      </c>
      <c r="D19" s="29">
        <v>0</v>
      </c>
      <c r="E19" s="11">
        <f t="shared" si="1"/>
        <v>1.5</v>
      </c>
      <c r="F19" s="11" t="s">
        <v>14</v>
      </c>
      <c r="G19" s="11">
        <f>1.5+1.5</f>
        <v>3</v>
      </c>
      <c r="H19" s="28"/>
      <c r="I19" s="28">
        <f>G19/(G3*0.1865)</f>
        <v>0.45312086999207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29">
        <v>4</v>
      </c>
      <c r="D20" s="29">
        <v>5</v>
      </c>
      <c r="E20" s="11">
        <f t="shared" si="1"/>
        <v>9</v>
      </c>
      <c r="F20" s="11" t="s">
        <v>34</v>
      </c>
      <c r="G20" s="11">
        <f>5+1+9+9</f>
        <v>24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11" t="s">
        <v>36</v>
      </c>
      <c r="D21" s="11" t="s">
        <v>36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662</v>
      </c>
      <c r="D22" s="29">
        <v>648</v>
      </c>
      <c r="E22" s="11">
        <f>D22+C22</f>
        <v>1310</v>
      </c>
      <c r="F22" s="11" t="s">
        <v>25</v>
      </c>
      <c r="G22" s="11">
        <f>77+1309+1375+1310</f>
        <v>4071</v>
      </c>
      <c r="H22" s="48">
        <v>24</v>
      </c>
      <c r="I22" s="28">
        <f>E22/H22</f>
        <v>54.5833333333333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39</v>
      </c>
      <c r="C23" s="29">
        <v>836</v>
      </c>
      <c r="D23" s="29">
        <v>806</v>
      </c>
      <c r="E23" s="11">
        <f>D23+C23</f>
        <v>1642</v>
      </c>
      <c r="F23" s="11" t="s">
        <v>25</v>
      </c>
      <c r="G23" s="11">
        <f>230+1465+1777+1642</f>
        <v>5114</v>
      </c>
      <c r="H23" s="28"/>
      <c r="I23" s="28">
        <f>E23/H22</f>
        <v>68.4166666666667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27</v>
      </c>
      <c r="D24" s="29">
        <v>30.8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 t="s">
        <v>74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67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75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3.3</v>
      </c>
      <c r="D32" s="12">
        <v>3.3</v>
      </c>
      <c r="E32" s="11">
        <f t="shared" si="2"/>
        <v>6.6</v>
      </c>
      <c r="F32" s="11" t="s">
        <v>25</v>
      </c>
      <c r="G32" s="11">
        <f>7.75+5.98+6.54+6.6</f>
        <v>26.87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3</v>
      </c>
      <c r="D33" s="12">
        <v>3</v>
      </c>
      <c r="E33" s="11">
        <f t="shared" si="2"/>
        <v>6</v>
      </c>
      <c r="F33" s="11" t="s">
        <v>25</v>
      </c>
      <c r="G33" s="11">
        <f>5+6+6+6</f>
        <v>23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41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1">
        <f>7.8165</f>
        <v>7.8165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25</v>
      </c>
      <c r="G37" s="11">
        <f>236+44+19</f>
        <v>299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235</v>
      </c>
      <c r="D38" s="12">
        <v>245</v>
      </c>
      <c r="E38" s="11">
        <f t="shared" si="2"/>
        <v>480</v>
      </c>
      <c r="F38" s="11" t="s">
        <v>25</v>
      </c>
      <c r="G38" s="11">
        <f>742+655+537+480</f>
        <v>2414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si="3"/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750*0.34</f>
        <v>255</v>
      </c>
      <c r="J40" s="27"/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86.86*1.56</f>
        <v>135.5016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1</v>
      </c>
      <c r="D42" s="29">
        <v>0</v>
      </c>
      <c r="E42" s="11">
        <f>D42+C42</f>
        <v>1</v>
      </c>
      <c r="F42" s="11" t="s">
        <v>34</v>
      </c>
      <c r="G42" s="11">
        <f>3+3+1+1</f>
        <v>8</v>
      </c>
      <c r="H42" s="28"/>
      <c r="I42" s="11">
        <v>19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7" workbookViewId="0">
      <pane xSplit="2" topLeftCell="C1" activePane="topRight" state="frozen"/>
      <selection/>
      <selection pane="topRight" activeCell="C25" sqref="C25:L2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76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4</v>
      </c>
      <c r="D3" s="10">
        <v>6.5</v>
      </c>
      <c r="E3" s="11">
        <f t="shared" ref="E3:E8" si="0">C3+D3</f>
        <v>10.5</v>
      </c>
      <c r="F3" s="11" t="s">
        <v>14</v>
      </c>
      <c r="G3" s="11">
        <f>3+6.5+13+13+10.5</f>
        <v>46</v>
      </c>
      <c r="H3" s="11">
        <v>231</v>
      </c>
      <c r="I3" s="11">
        <f>H3-G3</f>
        <v>185</v>
      </c>
      <c r="J3" s="11"/>
      <c r="K3" s="11"/>
      <c r="L3" s="11"/>
      <c r="M3" s="12">
        <f>I3/23</f>
        <v>8.04347826086956</v>
      </c>
    </row>
    <row r="4" s="1" customFormat="1" ht="56" customHeight="1" spans="1:13">
      <c r="A4" s="13">
        <v>2</v>
      </c>
      <c r="B4" s="9" t="s">
        <v>15</v>
      </c>
      <c r="C4" s="12">
        <v>12</v>
      </c>
      <c r="D4" s="12"/>
      <c r="E4" s="11">
        <f t="shared" si="0"/>
        <v>12</v>
      </c>
      <c r="F4" s="11" t="s">
        <v>14</v>
      </c>
      <c r="G4" s="11">
        <f>2+6+6+14+12</f>
        <v>40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113</v>
      </c>
      <c r="D5" s="12">
        <v>79</v>
      </c>
      <c r="E5" s="11">
        <f t="shared" si="0"/>
        <v>192</v>
      </c>
      <c r="F5" s="11" t="s">
        <v>14</v>
      </c>
      <c r="G5" s="11">
        <f>194+212+192</f>
        <v>598</v>
      </c>
      <c r="H5" s="14">
        <v>3715</v>
      </c>
      <c r="I5" s="14">
        <f>H5-G5-G7-G6</f>
        <v>2966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0</v>
      </c>
      <c r="D7" s="12">
        <v>0</v>
      </c>
      <c r="E7" s="11">
        <f t="shared" si="0"/>
        <v>0</v>
      </c>
      <c r="F7" s="11" t="s">
        <v>14</v>
      </c>
      <c r="G7" s="11">
        <f>0+151</f>
        <v>151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0</v>
      </c>
      <c r="D8" s="12">
        <v>1</v>
      </c>
      <c r="E8" s="11">
        <f t="shared" si="0"/>
        <v>1</v>
      </c>
      <c r="F8" s="11" t="s">
        <v>14</v>
      </c>
      <c r="G8" s="11">
        <f>0+7+2+1+1</f>
        <v>11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32.95</v>
      </c>
      <c r="D9" s="19"/>
      <c r="E9" s="14">
        <f>30.61+31.24+32.95</f>
        <v>94.8</v>
      </c>
      <c r="F9" s="14" t="s">
        <v>14</v>
      </c>
      <c r="G9" s="14">
        <f>0.251002+0.253044+0.28337</f>
        <v>0.787416</v>
      </c>
      <c r="H9" s="14">
        <v>4.26</v>
      </c>
      <c r="I9" s="14">
        <f>H9-G9</f>
        <v>3.472584</v>
      </c>
      <c r="J9" s="20" t="s">
        <v>21</v>
      </c>
      <c r="K9" s="21">
        <v>0.86</v>
      </c>
      <c r="L9" s="14">
        <f>C9*K9/100</f>
        <v>0.28337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5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5.4</v>
      </c>
      <c r="D11" s="11">
        <v>0</v>
      </c>
      <c r="E11" s="11">
        <f>C11+D11</f>
        <v>5.4</v>
      </c>
      <c r="F11" s="11" t="s">
        <v>14</v>
      </c>
      <c r="G11" s="11">
        <f>2.916+2.106+3.9285+4.941+5.4</f>
        <v>19.2915</v>
      </c>
      <c r="H11" s="11"/>
      <c r="I11" s="11">
        <f>G11/(G3*0.1865)</f>
        <v>2.24868865835179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14.72</v>
      </c>
      <c r="D12" s="11">
        <v>0</v>
      </c>
      <c r="E12" s="11">
        <f t="shared" ref="E12:E20" si="1">D12+C12</f>
        <v>14.72</v>
      </c>
      <c r="F12" s="11" t="s">
        <v>14</v>
      </c>
      <c r="G12" s="11">
        <f>16.0816+6.2008+10.9112+15.1432+14.72</f>
        <v>63.0568</v>
      </c>
      <c r="H12" s="11"/>
      <c r="I12" s="11">
        <f>G12/(G3*0.1865)</f>
        <v>7.35013404825737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98</v>
      </c>
      <c r="D13" s="12">
        <v>275</v>
      </c>
      <c r="E13" s="11">
        <f t="shared" si="1"/>
        <v>373</v>
      </c>
      <c r="F13" s="11" t="s">
        <v>25</v>
      </c>
      <c r="G13" s="11">
        <f>145+157+466+386+373</f>
        <v>1527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466.9</v>
      </c>
      <c r="D14" s="12">
        <v>512.72</v>
      </c>
      <c r="E14" s="11">
        <f t="shared" si="1"/>
        <v>979.62</v>
      </c>
      <c r="F14" s="11" t="s">
        <v>25</v>
      </c>
      <c r="G14" s="11">
        <f>483.5+783.2+510.74+939.78+979.62</f>
        <v>3696.84</v>
      </c>
      <c r="H14" s="11"/>
      <c r="I14" s="11"/>
      <c r="J14" s="11">
        <f>(C14*K14+L14*D14)/1000</f>
        <v>2.6790316</v>
      </c>
      <c r="K14" s="11">
        <v>2.74</v>
      </c>
      <c r="L14" s="11">
        <v>2.73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1.310285+2.0899372+1.404535+2.4071166+2.6790316</f>
        <v>9.8909054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12</v>
      </c>
      <c r="D16" s="12">
        <v>12</v>
      </c>
      <c r="E16" s="11">
        <f t="shared" si="1"/>
        <v>24</v>
      </c>
      <c r="F16" s="11" t="s">
        <v>14</v>
      </c>
      <c r="G16" s="11">
        <f>16+12+36+30+24</f>
        <v>118</v>
      </c>
      <c r="H16" s="11"/>
      <c r="I16" s="11">
        <f>G16/(G3*0.1865)</f>
        <v>13.7545168434549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0.275</v>
      </c>
      <c r="D17" s="29">
        <v>0</v>
      </c>
      <c r="E17" s="11">
        <f t="shared" si="1"/>
        <v>0.275</v>
      </c>
      <c r="F17" s="11" t="s">
        <v>14</v>
      </c>
      <c r="G17" s="11">
        <f>0.3+0.1+0.075+0.275</f>
        <v>0.75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</f>
        <v>4</v>
      </c>
      <c r="H18" s="28"/>
      <c r="I18" s="28">
        <f>G18/(G3*0.1865)</f>
        <v>0.46625480825271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1.5+1.5</f>
        <v>3</v>
      </c>
      <c r="H19" s="28"/>
      <c r="I19" s="28">
        <f>G19/(G3*0.1865)</f>
        <v>0.349691106189533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29">
        <v>3</v>
      </c>
      <c r="D20" s="29">
        <v>2</v>
      </c>
      <c r="E20" s="11">
        <f t="shared" si="1"/>
        <v>5</v>
      </c>
      <c r="F20" s="11" t="s">
        <v>34</v>
      </c>
      <c r="G20" s="11">
        <f>5+1+9+9+5</f>
        <v>29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11">
        <v>0</v>
      </c>
      <c r="D21" s="11">
        <v>0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631</v>
      </c>
      <c r="D22" s="29">
        <v>624</v>
      </c>
      <c r="E22" s="11">
        <f>D22+C22</f>
        <v>1255</v>
      </c>
      <c r="F22" s="11" t="s">
        <v>25</v>
      </c>
      <c r="G22" s="11">
        <f>77+1309+1375+1310+1255</f>
        <v>5326</v>
      </c>
      <c r="H22" s="30">
        <v>22.5</v>
      </c>
      <c r="I22" s="28">
        <f>E22/H22</f>
        <v>55.7777777777778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39</v>
      </c>
      <c r="C23" s="29">
        <v>796</v>
      </c>
      <c r="D23" s="29">
        <v>819</v>
      </c>
      <c r="E23" s="11">
        <f>D23+C23</f>
        <v>1615</v>
      </c>
      <c r="F23" s="11" t="s">
        <v>25</v>
      </c>
      <c r="G23" s="11">
        <f>230+1465+1777+1642+1615</f>
        <v>6729</v>
      </c>
      <c r="H23" s="28"/>
      <c r="I23" s="28">
        <f>E23/H22</f>
        <v>71.7777777777778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32</v>
      </c>
      <c r="D24" s="29">
        <v>32.5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 t="s">
        <v>77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78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79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3.24</v>
      </c>
      <c r="D32" s="12">
        <v>3.28</v>
      </c>
      <c r="E32" s="11">
        <f t="shared" si="2"/>
        <v>6.52</v>
      </c>
      <c r="F32" s="11" t="s">
        <v>25</v>
      </c>
      <c r="G32" s="11">
        <f>7.75+5.98+6.54+6.6+6.52</f>
        <v>33.39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3</v>
      </c>
      <c r="D33" s="12">
        <v>4</v>
      </c>
      <c r="E33" s="11">
        <f t="shared" si="2"/>
        <v>7</v>
      </c>
      <c r="F33" s="11" t="s">
        <v>25</v>
      </c>
      <c r="G33" s="11">
        <f>5+6+6+6+7</f>
        <v>30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41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1">
        <f>7.8165+0</f>
        <v>7.8165</v>
      </c>
      <c r="H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18</v>
      </c>
      <c r="D37" s="12">
        <v>0</v>
      </c>
      <c r="E37" s="11">
        <f t="shared" si="2"/>
        <v>18</v>
      </c>
      <c r="F37" s="11" t="s">
        <v>25</v>
      </c>
      <c r="G37" s="11">
        <f>236+44+19+18</f>
        <v>317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330</v>
      </c>
      <c r="D38" s="12">
        <v>420</v>
      </c>
      <c r="E38" s="11">
        <f t="shared" si="2"/>
        <v>750</v>
      </c>
      <c r="F38" s="11" t="s">
        <v>25</v>
      </c>
      <c r="G38" s="11">
        <f>742+655+537+480+750</f>
        <v>3164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si="3"/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750*0.34</f>
        <v>255</v>
      </c>
      <c r="J40" s="27"/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86.86*1.48</f>
        <v>128.5528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3</v>
      </c>
      <c r="D42" s="29">
        <v>2</v>
      </c>
      <c r="E42" s="11">
        <f>D42+C42</f>
        <v>5</v>
      </c>
      <c r="F42" s="11" t="s">
        <v>34</v>
      </c>
      <c r="G42" s="11">
        <f>3+3+1+1+5</f>
        <v>13</v>
      </c>
      <c r="H42" s="28"/>
      <c r="I42" s="11">
        <v>24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ignoredErrors>
    <ignoredError sqref="G35" 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6" workbookViewId="0">
      <pane xSplit="2" topLeftCell="C1" activePane="topRight" state="frozen"/>
      <selection/>
      <selection pane="topRight" activeCell="H23" sqref="H23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80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6</v>
      </c>
      <c r="D3" s="10">
        <v>3.5</v>
      </c>
      <c r="E3" s="11">
        <f t="shared" ref="E3:E8" si="0">C3+D3</f>
        <v>9.5</v>
      </c>
      <c r="F3" s="11" t="s">
        <v>14</v>
      </c>
      <c r="G3" s="11">
        <f>3+6.5+13+13+10.5+9.5</f>
        <v>55.5</v>
      </c>
      <c r="H3" s="11">
        <v>231</v>
      </c>
      <c r="I3" s="11">
        <f>H3-G3</f>
        <v>175.5</v>
      </c>
      <c r="J3" s="11"/>
      <c r="K3" s="11"/>
      <c r="L3" s="11"/>
      <c r="M3" s="12">
        <f>I3/22</f>
        <v>7.97727272727273</v>
      </c>
    </row>
    <row r="4" s="1" customFormat="1" ht="56" customHeight="1" spans="1:13">
      <c r="A4" s="13">
        <v>2</v>
      </c>
      <c r="B4" s="9" t="s">
        <v>15</v>
      </c>
      <c r="C4" s="12">
        <v>12</v>
      </c>
      <c r="D4" s="12"/>
      <c r="E4" s="11">
        <f t="shared" si="0"/>
        <v>12</v>
      </c>
      <c r="F4" s="11" t="s">
        <v>14</v>
      </c>
      <c r="G4" s="11">
        <f>2+6+6+14+12+12</f>
        <v>52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0</v>
      </c>
      <c r="D5" s="12">
        <v>80</v>
      </c>
      <c r="E5" s="11">
        <f t="shared" si="0"/>
        <v>80</v>
      </c>
      <c r="F5" s="11" t="s">
        <v>14</v>
      </c>
      <c r="G5" s="11">
        <f>194+212+192+80</f>
        <v>678</v>
      </c>
      <c r="H5" s="14">
        <v>3715</v>
      </c>
      <c r="I5" s="14">
        <f>H5-G5-G7-G6</f>
        <v>2885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0</v>
      </c>
      <c r="D7" s="12">
        <v>1</v>
      </c>
      <c r="E7" s="11">
        <f t="shared" si="0"/>
        <v>1</v>
      </c>
      <c r="F7" s="11" t="s">
        <v>14</v>
      </c>
      <c r="G7" s="11">
        <f>0+151+1</f>
        <v>152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0+7+2+1+1</f>
        <v>11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63.63</v>
      </c>
      <c r="D9" s="19"/>
      <c r="E9" s="14">
        <f>30.61+31.24+32.95+63.63</f>
        <v>158.43</v>
      </c>
      <c r="F9" s="14" t="s">
        <v>14</v>
      </c>
      <c r="G9" s="14">
        <f>0.251002+0.253044+0.28337+0.559944</f>
        <v>1.34736</v>
      </c>
      <c r="H9" s="14">
        <v>4.26</v>
      </c>
      <c r="I9" s="14">
        <f>H9-G9</f>
        <v>2.91264</v>
      </c>
      <c r="J9" s="20" t="s">
        <v>21</v>
      </c>
      <c r="K9" s="21">
        <v>0.88</v>
      </c>
      <c r="L9" s="14">
        <f>C9*K9/100</f>
        <v>0.559944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2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5.5215</v>
      </c>
      <c r="D11" s="11">
        <v>0</v>
      </c>
      <c r="E11" s="11">
        <f>C11+D11</f>
        <v>5.5215</v>
      </c>
      <c r="F11" s="11" t="s">
        <v>14</v>
      </c>
      <c r="G11" s="11">
        <f>2.916+2.106+3.9285+4.941+5.4+5.5215</f>
        <v>24.813</v>
      </c>
      <c r="H11" s="11"/>
      <c r="I11" s="11">
        <f>G11/(G3*0.1865)</f>
        <v>2.39721759292805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14.4072</v>
      </c>
      <c r="D12" s="11">
        <v>0</v>
      </c>
      <c r="E12" s="11">
        <f t="shared" ref="E12:E20" si="1">D12+C12</f>
        <v>14.4072</v>
      </c>
      <c r="F12" s="11" t="s">
        <v>14</v>
      </c>
      <c r="G12" s="11">
        <f>16.0816+6.2008+10.9112+15.1432+14.72+14.4072</f>
        <v>77.464</v>
      </c>
      <c r="H12" s="11"/>
      <c r="I12" s="11">
        <f>G12/(G3*0.1865)</f>
        <v>7.4839021326957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192</v>
      </c>
      <c r="D13" s="12">
        <v>12</v>
      </c>
      <c r="E13" s="11">
        <f t="shared" si="1"/>
        <v>204</v>
      </c>
      <c r="F13" s="11" t="s">
        <v>25</v>
      </c>
      <c r="G13" s="11">
        <f>145+157+466+386+373+204</f>
        <v>1731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503.98</v>
      </c>
      <c r="D14" s="12">
        <v>110.3</v>
      </c>
      <c r="E14" s="11">
        <f t="shared" si="1"/>
        <v>614.28</v>
      </c>
      <c r="F14" s="11" t="s">
        <v>25</v>
      </c>
      <c r="G14" s="11">
        <f>483.5+783.2+510.74+939.78+979.62+614.28</f>
        <v>4311.12</v>
      </c>
      <c r="H14" s="11"/>
      <c r="I14" s="11"/>
      <c r="J14" s="11">
        <f>(C14*K14+L14*D14)/1000</f>
        <v>1.6754062</v>
      </c>
      <c r="K14" s="11">
        <v>2.74</v>
      </c>
      <c r="L14" s="11">
        <v>2.67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1.310285+2.0899372+1.404535+2.4071166+2.6790316+1.6754062</f>
        <v>11.5663116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15</v>
      </c>
      <c r="D16" s="12">
        <v>6</v>
      </c>
      <c r="E16" s="11">
        <f t="shared" si="1"/>
        <v>21</v>
      </c>
      <c r="F16" s="11" t="s">
        <v>14</v>
      </c>
      <c r="G16" s="11">
        <f>16+12+36+30+24+21</f>
        <v>139</v>
      </c>
      <c r="H16" s="11"/>
      <c r="I16" s="11">
        <f>G16/(G3*0.1865)</f>
        <v>13.4289785764317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0.075</v>
      </c>
      <c r="D17" s="29">
        <v>0</v>
      </c>
      <c r="E17" s="11">
        <f t="shared" si="1"/>
        <v>0.075</v>
      </c>
      <c r="F17" s="11" t="s">
        <v>14</v>
      </c>
      <c r="G17" s="11">
        <f>0.3+0.1+0.075+0.275+0.075</f>
        <v>0.825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</f>
        <v>6</v>
      </c>
      <c r="H18" s="28"/>
      <c r="I18" s="28">
        <f>G18/(G3*0.1865)</f>
        <v>0.579668139989856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1.5</v>
      </c>
      <c r="D19" s="29">
        <v>0</v>
      </c>
      <c r="E19" s="11">
        <f t="shared" si="1"/>
        <v>1.5</v>
      </c>
      <c r="F19" s="11" t="s">
        <v>14</v>
      </c>
      <c r="G19" s="11">
        <f>1.5+1.5+1.5</f>
        <v>4.5</v>
      </c>
      <c r="H19" s="28"/>
      <c r="I19" s="28">
        <f>G19/(G3*0.1865)</f>
        <v>0.434751104992392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29">
        <v>4</v>
      </c>
      <c r="D20" s="29">
        <v>0</v>
      </c>
      <c r="E20" s="11">
        <f t="shared" si="1"/>
        <v>4</v>
      </c>
      <c r="F20" s="11" t="s">
        <v>34</v>
      </c>
      <c r="G20" s="11">
        <f>5+1+9+9+5+4</f>
        <v>33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11" t="s">
        <v>36</v>
      </c>
      <c r="D21" s="11" t="s">
        <v>36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0</v>
      </c>
      <c r="D22" s="29">
        <v>648</v>
      </c>
      <c r="E22" s="11">
        <f>D22+C22</f>
        <v>648</v>
      </c>
      <c r="F22" s="11" t="s">
        <v>25</v>
      </c>
      <c r="G22" s="11">
        <f>77+1309+1375+1310+1255+648</f>
        <v>5974</v>
      </c>
      <c r="H22" s="30">
        <v>11</v>
      </c>
      <c r="I22" s="28">
        <f>E22/H22</f>
        <v>58.9090909090909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39</v>
      </c>
      <c r="C23" s="29">
        <v>137</v>
      </c>
      <c r="D23" s="29">
        <v>680</v>
      </c>
      <c r="E23" s="11">
        <f>D23+C23</f>
        <v>817</v>
      </c>
      <c r="F23" s="11" t="s">
        <v>25</v>
      </c>
      <c r="G23" s="11">
        <f>230+1465+1777+1642+1615+817</f>
        <v>7546</v>
      </c>
      <c r="H23" s="28"/>
      <c r="I23" s="28">
        <f>E23/H22</f>
        <v>74.2727272727273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0</v>
      </c>
      <c r="D24" s="29">
        <v>32.8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 t="s">
        <v>81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67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82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3.35</v>
      </c>
      <c r="D32" s="12">
        <v>4.28</v>
      </c>
      <c r="E32" s="11">
        <f t="shared" si="2"/>
        <v>7.63</v>
      </c>
      <c r="F32" s="11" t="s">
        <v>25</v>
      </c>
      <c r="G32" s="11">
        <f>7.75+5.98+6.54+6.6+6.52+7.63</f>
        <v>41.02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3</v>
      </c>
      <c r="D33" s="12">
        <v>3</v>
      </c>
      <c r="E33" s="11">
        <f t="shared" si="2"/>
        <v>6</v>
      </c>
      <c r="F33" s="11" t="s">
        <v>25</v>
      </c>
      <c r="G33" s="11">
        <f>5+6+6+6+7+6</f>
        <v>36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41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12.906</v>
      </c>
      <c r="D35" s="11">
        <v>0</v>
      </c>
      <c r="E35" s="11">
        <f t="shared" si="2"/>
        <v>12.906</v>
      </c>
      <c r="F35" s="11" t="s">
        <v>14</v>
      </c>
      <c r="G35" s="11">
        <f>7.8165+0+12.906</f>
        <v>20.7225</v>
      </c>
      <c r="H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6</v>
      </c>
      <c r="D37" s="12">
        <v>0</v>
      </c>
      <c r="E37" s="11">
        <f t="shared" si="2"/>
        <v>6</v>
      </c>
      <c r="F37" s="11" t="s">
        <v>25</v>
      </c>
      <c r="G37" s="11">
        <f>236+44+19+18+6</f>
        <v>323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345</v>
      </c>
      <c r="D38" s="12">
        <v>309</v>
      </c>
      <c r="E38" s="11">
        <f t="shared" si="2"/>
        <v>654</v>
      </c>
      <c r="F38" s="11" t="s">
        <v>25</v>
      </c>
      <c r="G38" s="11">
        <f>742+655+537+480+750+654</f>
        <v>3818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si="3"/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750*0.12</f>
        <v>90</v>
      </c>
      <c r="J40" s="27"/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86.86*1.39</f>
        <v>120.7354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1</v>
      </c>
      <c r="D42" s="29">
        <v>0</v>
      </c>
      <c r="E42" s="11">
        <f>D42+C42</f>
        <v>1</v>
      </c>
      <c r="F42" s="11" t="s">
        <v>34</v>
      </c>
      <c r="G42" s="11">
        <f>3+3+1+1+5+1</f>
        <v>14</v>
      </c>
      <c r="H42" s="28"/>
      <c r="I42" s="11">
        <v>25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3"/>
  <sheetViews>
    <sheetView zoomScale="85" zoomScaleNormal="85" topLeftCell="A11" workbookViewId="0">
      <pane xSplit="2" topLeftCell="C1" activePane="topRight" state="frozen"/>
      <selection/>
      <selection pane="topRight" activeCell="C25" sqref="C25:L2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7" width="10.375" style="2"/>
    <col min="18" max="16384" width="9" style="2"/>
  </cols>
  <sheetData>
    <row r="1" s="1" customFormat="1" ht="42" customHeight="1" spans="1:16">
      <c r="A1" s="4" t="s">
        <v>83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6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6">
      <c r="A3" s="8">
        <v>1</v>
      </c>
      <c r="B3" s="9" t="s">
        <v>13</v>
      </c>
      <c r="C3" s="10">
        <v>2</v>
      </c>
      <c r="D3" s="10">
        <v>5.5</v>
      </c>
      <c r="E3" s="11">
        <f t="shared" ref="E3:E8" si="0">C3+D3</f>
        <v>7.5</v>
      </c>
      <c r="F3" s="11" t="s">
        <v>14</v>
      </c>
      <c r="G3" s="11">
        <f>3+6.5+13+13+10.5+9.5+7.5</f>
        <v>63</v>
      </c>
      <c r="H3" s="11">
        <v>231</v>
      </c>
      <c r="I3" s="11">
        <f>H3-G3</f>
        <v>168</v>
      </c>
      <c r="J3" s="11"/>
      <c r="K3" s="11"/>
      <c r="L3" s="11"/>
      <c r="M3" s="12">
        <f>I3/21</f>
        <v>8</v>
      </c>
    </row>
    <row r="4" s="1" customFormat="1" ht="56" customHeight="1" spans="1:16">
      <c r="A4" s="13">
        <v>2</v>
      </c>
      <c r="B4" s="9" t="s">
        <v>15</v>
      </c>
      <c r="C4" s="12">
        <v>6</v>
      </c>
      <c r="D4" s="12"/>
      <c r="E4" s="11">
        <f t="shared" si="0"/>
        <v>6</v>
      </c>
      <c r="F4" s="11" t="s">
        <v>14</v>
      </c>
      <c r="G4" s="11">
        <f>2+6+6+14+12+12+6</f>
        <v>58</v>
      </c>
      <c r="H4" s="14"/>
      <c r="I4" s="14"/>
      <c r="J4" s="11"/>
      <c r="K4" s="11"/>
      <c r="L4" s="11"/>
      <c r="M4" s="11"/>
    </row>
    <row r="5" s="1" customFormat="1" ht="56" customHeight="1" spans="1:16">
      <c r="A5" s="13">
        <v>3</v>
      </c>
      <c r="B5" s="9" t="s">
        <v>16</v>
      </c>
      <c r="C5" s="12">
        <v>56</v>
      </c>
      <c r="D5" s="12">
        <v>11</v>
      </c>
      <c r="E5" s="11">
        <f t="shared" si="0"/>
        <v>67</v>
      </c>
      <c r="F5" s="11" t="s">
        <v>14</v>
      </c>
      <c r="G5" s="11">
        <f>194+212+192+80+67</f>
        <v>745</v>
      </c>
      <c r="H5" s="14">
        <v>3715</v>
      </c>
      <c r="I5" s="14">
        <f>H5-G5-G7-G6</f>
        <v>2818</v>
      </c>
      <c r="J5" s="11"/>
      <c r="K5" s="11"/>
      <c r="L5" s="11"/>
      <c r="M5" s="11"/>
    </row>
    <row r="6" s="1" customFormat="1" ht="45" customHeight="1" spans="1:16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6">
      <c r="A7" s="15"/>
      <c r="B7" s="9" t="s">
        <v>18</v>
      </c>
      <c r="C7" s="12">
        <v>0</v>
      </c>
      <c r="D7" s="12">
        <v>0</v>
      </c>
      <c r="E7" s="11">
        <f t="shared" si="0"/>
        <v>0</v>
      </c>
      <c r="F7" s="11" t="s">
        <v>14</v>
      </c>
      <c r="G7" s="11">
        <f>0+151+1</f>
        <v>152</v>
      </c>
      <c r="H7" s="16"/>
      <c r="I7" s="16"/>
      <c r="J7" s="11"/>
      <c r="K7" s="11"/>
      <c r="L7" s="11"/>
      <c r="M7" s="11"/>
    </row>
    <row r="8" s="1" customFormat="1" ht="52" customHeight="1" spans="1:16">
      <c r="A8" s="15"/>
      <c r="B8" s="9" t="s">
        <v>19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0+7+2+1+1</f>
        <v>11</v>
      </c>
      <c r="H8" s="17"/>
      <c r="I8" s="17"/>
      <c r="J8" s="11"/>
      <c r="K8" s="11"/>
      <c r="L8" s="11"/>
      <c r="M8" s="11"/>
    </row>
    <row r="9" s="1" customFormat="1" ht="22" customHeight="1" spans="1:16">
      <c r="A9" s="13">
        <v>4</v>
      </c>
      <c r="B9" s="18" t="s">
        <v>20</v>
      </c>
      <c r="C9" s="19">
        <v>62.6</v>
      </c>
      <c r="D9" s="19"/>
      <c r="E9" s="14">
        <f>30.61+31.24+32.95+63.63+62.6</f>
        <v>221.03</v>
      </c>
      <c r="F9" s="14" t="s">
        <v>14</v>
      </c>
      <c r="G9" s="14">
        <f>0.251002+0.253044+0.28337+0.559944+0.52584</f>
        <v>1.8732</v>
      </c>
      <c r="H9" s="14">
        <v>4.26</v>
      </c>
      <c r="I9" s="14">
        <f>H9-G9</f>
        <v>2.3868</v>
      </c>
      <c r="J9" s="20" t="s">
        <v>21</v>
      </c>
      <c r="K9" s="21">
        <v>0.84</v>
      </c>
      <c r="L9" s="14">
        <f>C9*K9/100</f>
        <v>0.52584</v>
      </c>
      <c r="M9" s="21"/>
    </row>
    <row r="10" s="1" customFormat="1" ht="35" customHeight="1" spans="1:16">
      <c r="A10" s="22"/>
      <c r="B10" s="23"/>
      <c r="C10" s="24"/>
      <c r="D10" s="24"/>
      <c r="E10" s="17"/>
      <c r="F10" s="17"/>
      <c r="G10" s="17"/>
      <c r="H10" s="17"/>
      <c r="I10" s="17"/>
      <c r="J10" s="11">
        <v>3</v>
      </c>
      <c r="K10" s="25"/>
      <c r="L10" s="17"/>
      <c r="M10" s="25"/>
    </row>
    <row r="11" s="1" customFormat="1" ht="25" customHeight="1" spans="1:16">
      <c r="A11" s="8">
        <v>5</v>
      </c>
      <c r="B11" s="9" t="s">
        <v>22</v>
      </c>
      <c r="C11" s="11">
        <v>3.78</v>
      </c>
      <c r="D11" s="11">
        <v>0</v>
      </c>
      <c r="E11" s="11">
        <f>C11+D11</f>
        <v>3.78</v>
      </c>
      <c r="F11" s="11" t="s">
        <v>14</v>
      </c>
      <c r="G11" s="11">
        <f>2.916+2.106+3.9285+4.941+5.4+5.5215+3.78</f>
        <v>28.593</v>
      </c>
      <c r="H11" s="11"/>
      <c r="I11" s="11">
        <f>G11/(G3*0.1865)</f>
        <v>2.43355036384527</v>
      </c>
      <c r="J11" s="11"/>
      <c r="K11" s="11"/>
      <c r="L11" s="11"/>
      <c r="M11" s="26"/>
    </row>
    <row r="12" s="1" customFormat="1" ht="25" customHeight="1" spans="1:16">
      <c r="A12" s="8">
        <v>6</v>
      </c>
      <c r="B12" s="9" t="s">
        <v>23</v>
      </c>
      <c r="C12" s="11">
        <v>5.4832</v>
      </c>
      <c r="D12" s="11">
        <v>0</v>
      </c>
      <c r="E12" s="11">
        <f t="shared" ref="E12:E20" si="1">D12+C12</f>
        <v>5.4832</v>
      </c>
      <c r="F12" s="11" t="s">
        <v>14</v>
      </c>
      <c r="G12" s="11">
        <f>16.0816+6.2008+10.9112+15.1432+14.72+14.4072+5.4832</f>
        <v>82.9472</v>
      </c>
      <c r="H12" s="11"/>
      <c r="I12" s="11">
        <f>G12/(G3*0.1865)</f>
        <v>7.05963658028001</v>
      </c>
      <c r="J12" s="11"/>
      <c r="K12" s="11"/>
      <c r="L12" s="11"/>
      <c r="M12" s="26"/>
    </row>
    <row r="13" s="1" customFormat="1" ht="30" customHeight="1" spans="1:16">
      <c r="A13" s="8">
        <v>7</v>
      </c>
      <c r="B13" s="9" t="s">
        <v>24</v>
      </c>
      <c r="C13" s="12">
        <v>181</v>
      </c>
      <c r="D13" s="12">
        <v>100</v>
      </c>
      <c r="E13" s="11">
        <f t="shared" si="1"/>
        <v>281</v>
      </c>
      <c r="F13" s="11" t="s">
        <v>25</v>
      </c>
      <c r="G13" s="11">
        <f>145+157+466+386+373+204+281</f>
        <v>2012</v>
      </c>
      <c r="H13" s="11"/>
      <c r="I13" s="11"/>
      <c r="J13" s="27"/>
      <c r="K13" s="11"/>
      <c r="L13" s="11"/>
      <c r="M13" s="11"/>
      <c r="O13" s="49" t="s">
        <v>84</v>
      </c>
      <c r="P13" s="49" t="s">
        <v>85</v>
      </c>
    </row>
    <row r="14" s="1" customFormat="1" ht="25" customHeight="1" spans="1:16">
      <c r="A14" s="8">
        <v>8</v>
      </c>
      <c r="B14" s="9" t="s">
        <v>26</v>
      </c>
      <c r="C14" s="12">
        <v>492.84</v>
      </c>
      <c r="D14" s="12">
        <v>396.16</v>
      </c>
      <c r="E14" s="11">
        <f t="shared" si="1"/>
        <v>889</v>
      </c>
      <c r="F14" s="11" t="s">
        <v>25</v>
      </c>
      <c r="G14" s="11">
        <f>483.5+783.2+510.74+939.78+979.62+614.28+889</f>
        <v>5200.12</v>
      </c>
      <c r="H14" s="11"/>
      <c r="I14" s="11"/>
      <c r="J14" s="11">
        <f>(C14*K14+L14*D14)/1000</f>
        <v>3.2865396</v>
      </c>
      <c r="K14" s="11">
        <v>4.45</v>
      </c>
      <c r="L14" s="11">
        <v>2.76</v>
      </c>
      <c r="M14" s="11"/>
      <c r="O14" s="49">
        <f>(K14-P14)*C14/1000</f>
        <v>0.86247</v>
      </c>
      <c r="P14" s="49">
        <v>2.7</v>
      </c>
    </row>
    <row r="15" s="1" customFormat="1" ht="25" customHeight="1" spans="1:16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1.310285+2.0899372+1.404535+2.4071166+2.6790316+1.6754062+3.2865396</f>
        <v>14.8528512</v>
      </c>
      <c r="L15" s="11"/>
      <c r="M15" s="11"/>
    </row>
    <row r="16" s="1" customFormat="1" ht="25" customHeight="1" spans="1:16">
      <c r="A16" s="8">
        <v>10</v>
      </c>
      <c r="B16" s="9" t="s">
        <v>29</v>
      </c>
      <c r="C16" s="12">
        <v>9</v>
      </c>
      <c r="D16" s="12">
        <v>12</v>
      </c>
      <c r="E16" s="11">
        <f t="shared" si="1"/>
        <v>21</v>
      </c>
      <c r="F16" s="11" t="s">
        <v>14</v>
      </c>
      <c r="G16" s="11">
        <f>16+12+36+30+24+21+21</f>
        <v>160</v>
      </c>
      <c r="H16" s="11"/>
      <c r="I16" s="11">
        <f>G16/(G3*0.1865)</f>
        <v>13.617600748968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0.175</v>
      </c>
      <c r="D17" s="29">
        <v>0</v>
      </c>
      <c r="E17" s="11">
        <f t="shared" si="1"/>
        <v>0.175</v>
      </c>
      <c r="F17" s="11" t="s">
        <v>14</v>
      </c>
      <c r="G17" s="11">
        <f>0.3+0.1+0.075+0.275+0.075+0.175</f>
        <v>1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2+2+2</f>
        <v>6</v>
      </c>
      <c r="H18" s="28"/>
      <c r="I18" s="28">
        <f>G18/(G3*0.1865)</f>
        <v>0.510660028086302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1.5+1.5+1.5</f>
        <v>4.5</v>
      </c>
      <c r="H19" s="28"/>
      <c r="I19" s="28">
        <f>G19/(G3*0.1865)</f>
        <v>0.382995021064726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29">
        <v>1</v>
      </c>
      <c r="D20" s="29">
        <v>5</v>
      </c>
      <c r="E20" s="11">
        <f t="shared" si="1"/>
        <v>6</v>
      </c>
      <c r="F20" s="11" t="s">
        <v>34</v>
      </c>
      <c r="G20" s="11">
        <f>5+1+9+9+5+4+6</f>
        <v>39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11">
        <v>2</v>
      </c>
      <c r="D21" s="11">
        <v>2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571</v>
      </c>
      <c r="D22" s="29">
        <v>267</v>
      </c>
      <c r="E22" s="11">
        <f>D22+C22</f>
        <v>838</v>
      </c>
      <c r="F22" s="11" t="s">
        <v>25</v>
      </c>
      <c r="G22" s="11">
        <f>77+1309+1375+1310+1255+648+838</f>
        <v>6812</v>
      </c>
      <c r="H22" s="30">
        <v>15.5</v>
      </c>
      <c r="I22" s="28">
        <f>E22/H22</f>
        <v>54.0645161290323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39</v>
      </c>
      <c r="C23" s="29">
        <v>687</v>
      </c>
      <c r="D23" s="29">
        <v>210</v>
      </c>
      <c r="E23" s="11">
        <f>D23+C23</f>
        <v>897</v>
      </c>
      <c r="F23" s="11" t="s">
        <v>25</v>
      </c>
      <c r="G23" s="11">
        <f>230+1465+1777+1642+1615+817+897</f>
        <v>8443</v>
      </c>
      <c r="H23" s="28"/>
      <c r="I23" s="28">
        <f>E23/H22</f>
        <v>57.8709677419355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28.6</v>
      </c>
      <c r="D24" s="29">
        <v>28.7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67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86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3.28</v>
      </c>
      <c r="D32" s="12">
        <v>3.23</v>
      </c>
      <c r="E32" s="11">
        <f t="shared" si="2"/>
        <v>6.51</v>
      </c>
      <c r="F32" s="11" t="s">
        <v>25</v>
      </c>
      <c r="G32" s="11">
        <f>7.75+5.98+6.54+6.6+6.52+7.63+6.51</f>
        <v>47.53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4</v>
      </c>
      <c r="D33" s="12">
        <v>3</v>
      </c>
      <c r="E33" s="11">
        <f t="shared" si="2"/>
        <v>7</v>
      </c>
      <c r="F33" s="11" t="s">
        <v>25</v>
      </c>
      <c r="G33" s="11">
        <f>5+6+6+6+7+6+7</f>
        <v>43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41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1">
        <f>7.8165+0+12.906</f>
        <v>20.7225</v>
      </c>
      <c r="H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1</v>
      </c>
      <c r="D37" s="12">
        <v>3</v>
      </c>
      <c r="E37" s="11">
        <f t="shared" si="2"/>
        <v>4</v>
      </c>
      <c r="F37" s="11" t="s">
        <v>25</v>
      </c>
      <c r="G37" s="11">
        <f>236+44+19+18+6+4</f>
        <v>327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291</v>
      </c>
      <c r="D38" s="12">
        <v>293</v>
      </c>
      <c r="E38" s="11">
        <f t="shared" si="2"/>
        <v>584</v>
      </c>
      <c r="F38" s="11" t="s">
        <v>25</v>
      </c>
      <c r="G38" s="11">
        <f>742+655+537+480+750+654+584</f>
        <v>4402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si="3"/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750*0</f>
        <v>0</v>
      </c>
      <c r="J40" s="27"/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86.86*1.33</f>
        <v>115.5238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2</v>
      </c>
      <c r="D42" s="29">
        <v>0</v>
      </c>
      <c r="E42" s="11">
        <f>D42+C42</f>
        <v>2</v>
      </c>
      <c r="F42" s="11" t="s">
        <v>34</v>
      </c>
      <c r="G42" s="11">
        <f>3+3+1+1+5+1+2</f>
        <v>16</v>
      </c>
      <c r="H42" s="28"/>
      <c r="I42" s="11">
        <v>27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topLeftCell="A4" workbookViewId="0">
      <pane xSplit="2" topLeftCell="C1" activePane="topRight" state="frozen"/>
      <selection/>
      <selection pane="topRight" activeCell="M3" sqref="M3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7" width="10.375" style="2"/>
    <col min="18" max="16384" width="9" style="2"/>
  </cols>
  <sheetData>
    <row r="1" s="1" customFormat="1" ht="42" customHeight="1" spans="1:13">
      <c r="A1" s="4" t="s">
        <v>87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0</v>
      </c>
      <c r="D3" s="10">
        <v>5.5</v>
      </c>
      <c r="E3" s="11">
        <f t="shared" ref="E3:E8" si="0">C3+D3</f>
        <v>5.5</v>
      </c>
      <c r="F3" s="11" t="s">
        <v>14</v>
      </c>
      <c r="G3" s="11">
        <f>3+6.5+13+13+10.5+9.5+7.5+5.5</f>
        <v>68.5</v>
      </c>
      <c r="H3" s="11">
        <v>231</v>
      </c>
      <c r="I3" s="11">
        <f>H3-G3</f>
        <v>162.5</v>
      </c>
      <c r="J3" s="11"/>
      <c r="K3" s="11"/>
      <c r="L3" s="11"/>
      <c r="M3" s="12">
        <f>I3/20</f>
        <v>8.125</v>
      </c>
    </row>
    <row r="4" s="1" customFormat="1" ht="56" customHeight="1" spans="1:13">
      <c r="A4" s="13">
        <v>2</v>
      </c>
      <c r="B4" s="9" t="s">
        <v>15</v>
      </c>
      <c r="C4" s="12">
        <v>8</v>
      </c>
      <c r="D4" s="12"/>
      <c r="E4" s="11">
        <f t="shared" si="0"/>
        <v>8</v>
      </c>
      <c r="F4" s="11" t="s">
        <v>14</v>
      </c>
      <c r="G4" s="11">
        <f>2+6+6+14+12+12+6+8</f>
        <v>66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104</v>
      </c>
      <c r="D5" s="12">
        <v>43</v>
      </c>
      <c r="E5" s="11">
        <f t="shared" si="0"/>
        <v>147</v>
      </c>
      <c r="F5" s="11" t="s">
        <v>14</v>
      </c>
      <c r="G5" s="11">
        <f>194+212+192+80+67+147</f>
        <v>892</v>
      </c>
      <c r="H5" s="14">
        <v>3715</v>
      </c>
      <c r="I5" s="14">
        <f>H5-G5-G7-G6</f>
        <v>2671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0</v>
      </c>
      <c r="D7" s="12">
        <v>0</v>
      </c>
      <c r="E7" s="11">
        <f t="shared" si="0"/>
        <v>0</v>
      </c>
      <c r="F7" s="11" t="s">
        <v>14</v>
      </c>
      <c r="G7" s="11">
        <f>0+151+1</f>
        <v>152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0+7+2+1+1</f>
        <v>11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62.75</v>
      </c>
      <c r="D9" s="19"/>
      <c r="E9" s="14">
        <f>30.61+31.24+32.95+63.63+62.6+62.75</f>
        <v>283.78</v>
      </c>
      <c r="F9" s="14" t="s">
        <v>14</v>
      </c>
      <c r="G9" s="14">
        <f>0.251002+0.253044+0.28337+0.559944+0.52584+0.53965</f>
        <v>2.41285</v>
      </c>
      <c r="H9" s="14">
        <v>4.26</v>
      </c>
      <c r="I9" s="14">
        <f>H9-G9</f>
        <v>1.84715</v>
      </c>
      <c r="J9" s="20" t="s">
        <v>21</v>
      </c>
      <c r="K9" s="21">
        <v>0.86</v>
      </c>
      <c r="L9" s="14">
        <f>C9*K9/100</f>
        <v>0.53965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2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5.616</v>
      </c>
      <c r="D11" s="11">
        <v>0</v>
      </c>
      <c r="E11" s="11">
        <f>C11+D11</f>
        <v>5.616</v>
      </c>
      <c r="F11" s="11" t="s">
        <v>14</v>
      </c>
      <c r="G11" s="11">
        <f>2.916+2.106+3.9285+4.941+5.4+5.5215+3.78+5.616</f>
        <v>34.209</v>
      </c>
      <c r="H11" s="11"/>
      <c r="I11" s="11">
        <f>G11/(G3*0.1865)</f>
        <v>2.67775581691161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9.5312</v>
      </c>
      <c r="D12" s="11">
        <v>0</v>
      </c>
      <c r="E12" s="11">
        <f t="shared" ref="E12:E20" si="1">D12+C12</f>
        <v>9.5312</v>
      </c>
      <c r="F12" s="11" t="s">
        <v>14</v>
      </c>
      <c r="G12" s="11">
        <f>16.0816+6.2008+10.9112+15.1432+14.72+14.4072+5.4832+9.5312</f>
        <v>92.4784</v>
      </c>
      <c r="H12" s="11"/>
      <c r="I12" s="11">
        <f>G12/(G3*0.1865)</f>
        <v>7.2388720377292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91</v>
      </c>
      <c r="D13" s="12">
        <v>222</v>
      </c>
      <c r="E13" s="11">
        <f t="shared" si="1"/>
        <v>313</v>
      </c>
      <c r="F13" s="11" t="s">
        <v>25</v>
      </c>
      <c r="G13" s="11">
        <f>145+157+466+386+373+204+281+313</f>
        <v>2325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588.14</v>
      </c>
      <c r="D14" s="12">
        <v>506.66</v>
      </c>
      <c r="E14" s="11">
        <f t="shared" si="1"/>
        <v>1094.8</v>
      </c>
      <c r="F14" s="11" t="s">
        <v>25</v>
      </c>
      <c r="G14" s="11">
        <f>483.5+783.2+510.74+939.78+979.62+614.28+889+1094.8</f>
        <v>6294.92</v>
      </c>
      <c r="H14" s="11"/>
      <c r="I14" s="11"/>
      <c r="J14" s="11">
        <f>(C14*K14+L14*D14)/1000</f>
        <v>3.1698534</v>
      </c>
      <c r="K14" s="11">
        <v>2.9</v>
      </c>
      <c r="L14" s="11">
        <v>2.89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1.310285+2.0899372+1.404535+2.4071166+2.6790316+1.6754062+3.2865396+3.1698534</f>
        <v>18.0227046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0</v>
      </c>
      <c r="D16" s="12">
        <v>16</v>
      </c>
      <c r="E16" s="11">
        <f t="shared" si="1"/>
        <v>16</v>
      </c>
      <c r="F16" s="11" t="s">
        <v>14</v>
      </c>
      <c r="G16" s="11">
        <f>16+12+36+30+24+21+21+16</f>
        <v>176</v>
      </c>
      <c r="H16" s="11"/>
      <c r="I16" s="11">
        <f>G16/(G3*0.1865)</f>
        <v>13.7766384219487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0.15</v>
      </c>
      <c r="D17" s="29">
        <v>0</v>
      </c>
      <c r="E17" s="11">
        <f t="shared" si="1"/>
        <v>0.15</v>
      </c>
      <c r="F17" s="11" t="s">
        <v>14</v>
      </c>
      <c r="G17" s="11">
        <f>0.3+0.1+0.075+0.275+0.075+0.175+0.15</f>
        <v>1.15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</f>
        <v>8</v>
      </c>
      <c r="H18" s="28"/>
      <c r="I18" s="28">
        <f>G18/(G3*0.1865)</f>
        <v>0.626210837361304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1.5</v>
      </c>
      <c r="D19" s="29">
        <v>0</v>
      </c>
      <c r="E19" s="11">
        <f t="shared" si="1"/>
        <v>1.5</v>
      </c>
      <c r="F19" s="11" t="s">
        <v>14</v>
      </c>
      <c r="G19" s="11">
        <f>1.5+1.5+1.5+1.5</f>
        <v>6</v>
      </c>
      <c r="H19" s="28"/>
      <c r="I19" s="28">
        <f>G19/(G3*0.1865)</f>
        <v>0.469658128020978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29">
        <v>6</v>
      </c>
      <c r="D20" s="29">
        <v>0</v>
      </c>
      <c r="E20" s="11">
        <f t="shared" si="1"/>
        <v>6</v>
      </c>
      <c r="F20" s="11" t="s">
        <v>34</v>
      </c>
      <c r="G20" s="11">
        <f>5+1+9+9+5+4+6+6</f>
        <v>45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11" t="s">
        <v>36</v>
      </c>
      <c r="D21" s="11" t="s">
        <v>36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625</v>
      </c>
      <c r="D22" s="29">
        <v>416</v>
      </c>
      <c r="E22" s="11">
        <f>D22+C22</f>
        <v>1041</v>
      </c>
      <c r="F22" s="11" t="s">
        <v>25</v>
      </c>
      <c r="G22" s="11">
        <f>77+1309+1375+1310+1255+648+838+1041</f>
        <v>7853</v>
      </c>
      <c r="H22" s="30">
        <v>19.5</v>
      </c>
      <c r="I22" s="28">
        <f>E22/H22</f>
        <v>53.3846153846154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39</v>
      </c>
      <c r="C23" s="29">
        <v>790</v>
      </c>
      <c r="D23" s="29">
        <v>579</v>
      </c>
      <c r="E23" s="11">
        <f>D23+C23</f>
        <v>1369</v>
      </c>
      <c r="F23" s="11" t="s">
        <v>25</v>
      </c>
      <c r="G23" s="11">
        <f>230+1465+1777+1642+1615+817+897+1369</f>
        <v>9812</v>
      </c>
      <c r="H23" s="28"/>
      <c r="I23" s="28">
        <f>E23/H22</f>
        <v>70.2051282051282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28.95</v>
      </c>
      <c r="D24" s="29">
        <v>26.78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 t="s">
        <v>88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 t="s">
        <v>89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90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91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0</v>
      </c>
      <c r="D32" s="12">
        <v>0</v>
      </c>
      <c r="E32" s="11">
        <f t="shared" si="2"/>
        <v>0</v>
      </c>
      <c r="F32" s="11" t="s">
        <v>25</v>
      </c>
      <c r="G32" s="11">
        <f>7.75+5.98+6.54+6.6+6.52+7.63+6.51</f>
        <v>47.53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11</v>
      </c>
      <c r="D33" s="12">
        <v>4</v>
      </c>
      <c r="E33" s="11">
        <f t="shared" si="2"/>
        <v>15</v>
      </c>
      <c r="F33" s="11" t="s">
        <v>25</v>
      </c>
      <c r="G33" s="11">
        <f>5+6+6+6+7+6+7+15</f>
        <v>58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41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1">
        <f>7.8165+0+12.906</f>
        <v>20.7225</v>
      </c>
      <c r="H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25</v>
      </c>
      <c r="G37" s="11">
        <f>236+44+19+18+6+4</f>
        <v>327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210</v>
      </c>
      <c r="D38" s="12">
        <v>218</v>
      </c>
      <c r="E38" s="11">
        <f t="shared" si="2"/>
        <v>428</v>
      </c>
      <c r="F38" s="11" t="s">
        <v>25</v>
      </c>
      <c r="G38" s="11">
        <f>742+655+537+480+750+654+584+428</f>
        <v>4830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si="3"/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750*0</f>
        <v>0</v>
      </c>
      <c r="J40" s="27"/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86.86*1.12</f>
        <v>97.2832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0</v>
      </c>
      <c r="D42" s="29">
        <v>0</v>
      </c>
      <c r="E42" s="11">
        <f>D42+C42</f>
        <v>0</v>
      </c>
      <c r="F42" s="11" t="s">
        <v>34</v>
      </c>
      <c r="G42" s="11">
        <f>3+3+1+1+5+1+2</f>
        <v>16</v>
      </c>
      <c r="H42" s="28"/>
      <c r="I42" s="11">
        <v>27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topLeftCell="A5" workbookViewId="0">
      <selection activeCell="G9" sqref="G9:G10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7" width="10.375" style="2"/>
    <col min="18" max="16384" width="9" style="2"/>
  </cols>
  <sheetData>
    <row r="1" s="1" customFormat="1" ht="42" customHeight="1" spans="1:13">
      <c r="A1" s="4" t="s">
        <v>92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7</v>
      </c>
      <c r="D3" s="10">
        <v>2.5</v>
      </c>
      <c r="E3" s="11">
        <f t="shared" ref="E3:E8" si="0">C3+D3</f>
        <v>9.5</v>
      </c>
      <c r="F3" s="11" t="s">
        <v>14</v>
      </c>
      <c r="G3" s="11">
        <f>3+6.5+13+13+10.5+9.5+7.5+5.5+9.5</f>
        <v>78</v>
      </c>
      <c r="H3" s="11">
        <v>231</v>
      </c>
      <c r="I3" s="11">
        <f>H3-G3</f>
        <v>153</v>
      </c>
      <c r="J3" s="11"/>
      <c r="K3" s="11"/>
      <c r="L3" s="11"/>
      <c r="M3" s="12">
        <f>I3/19</f>
        <v>8.05263157894737</v>
      </c>
    </row>
    <row r="4" s="1" customFormat="1" ht="56" customHeight="1" spans="1:13">
      <c r="A4" s="13">
        <v>2</v>
      </c>
      <c r="B4" s="9" t="s">
        <v>15</v>
      </c>
      <c r="C4" s="12">
        <v>6</v>
      </c>
      <c r="D4" s="12"/>
      <c r="E4" s="11">
        <f t="shared" si="0"/>
        <v>6</v>
      </c>
      <c r="F4" s="11" t="s">
        <v>14</v>
      </c>
      <c r="G4" s="11">
        <f>2+6+6+14+12+12+6+8+6</f>
        <v>72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34</v>
      </c>
      <c r="D5" s="12">
        <v>94</v>
      </c>
      <c r="E5" s="11">
        <f t="shared" si="0"/>
        <v>128</v>
      </c>
      <c r="F5" s="11" t="s">
        <v>14</v>
      </c>
      <c r="G5" s="11">
        <f>194+212+192+80+67+147+128</f>
        <v>1020</v>
      </c>
      <c r="H5" s="14">
        <v>3715</v>
      </c>
      <c r="I5" s="14">
        <f>H5-G5-G7-G6</f>
        <v>2531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12</v>
      </c>
      <c r="D7" s="12">
        <v>0</v>
      </c>
      <c r="E7" s="11">
        <f t="shared" si="0"/>
        <v>12</v>
      </c>
      <c r="F7" s="11" t="s">
        <v>14</v>
      </c>
      <c r="G7" s="11">
        <f>0+151+1+12</f>
        <v>164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0+7+2+1+1</f>
        <v>11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61.88</v>
      </c>
      <c r="D9" s="19"/>
      <c r="E9" s="14">
        <f>30.61+31.24+32.95+63.63+62.6+62.75+61.88</f>
        <v>345.66</v>
      </c>
      <c r="F9" s="14" t="s">
        <v>14</v>
      </c>
      <c r="G9" s="14">
        <f>0.251002+0.253044+0.28337+0.559944+0.52584+0.53965+0.482664</f>
        <v>2.895514</v>
      </c>
      <c r="H9" s="14">
        <v>4.26</v>
      </c>
      <c r="I9" s="14">
        <f>H9-G9</f>
        <v>1.364486</v>
      </c>
      <c r="J9" s="20" t="s">
        <v>21</v>
      </c>
      <c r="K9" s="21">
        <v>0.78</v>
      </c>
      <c r="L9" s="14">
        <f>C9*K9/100</f>
        <v>0.482664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8.6535</v>
      </c>
      <c r="D11" s="11">
        <v>1.6335</v>
      </c>
      <c r="E11" s="11">
        <f>C11+D11</f>
        <v>10.287</v>
      </c>
      <c r="F11" s="11" t="s">
        <v>14</v>
      </c>
      <c r="G11" s="11">
        <f>2.916+2.106+3.9285+4.941+5.4+5.5215+3.78+5.616+10.287</f>
        <v>44.496</v>
      </c>
      <c r="H11" s="11"/>
      <c r="I11" s="11">
        <f>G11/(G3*0.1865)</f>
        <v>3.0587750051557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10.8008</v>
      </c>
      <c r="D12" s="11">
        <v>0</v>
      </c>
      <c r="E12" s="11">
        <f t="shared" ref="E12:E20" si="1">D12+C12</f>
        <v>10.8008</v>
      </c>
      <c r="F12" s="11" t="s">
        <v>14</v>
      </c>
      <c r="G12" s="11">
        <f>16.0816+6.2008+10.9112+15.1432+14.72+14.4072+5.4832+9.5312+10.8008</f>
        <v>103.2792</v>
      </c>
      <c r="H12" s="11"/>
      <c r="I12" s="11">
        <f>G12/(G3*0.1865)</f>
        <v>7.0996906578676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97</v>
      </c>
      <c r="D13" s="12">
        <v>176</v>
      </c>
      <c r="E13" s="11">
        <f t="shared" si="1"/>
        <v>273</v>
      </c>
      <c r="F13" s="11" t="s">
        <v>25</v>
      </c>
      <c r="G13" s="11">
        <f>145+157+466+386+373+204+281+313+273</f>
        <v>2598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526.04</v>
      </c>
      <c r="D14" s="12">
        <v>517.93</v>
      </c>
      <c r="E14" s="11">
        <f t="shared" si="1"/>
        <v>1043.97</v>
      </c>
      <c r="F14" s="11" t="s">
        <v>25</v>
      </c>
      <c r="G14" s="11">
        <f>483.5+783.2+510.74+939.78+979.62+614.28+889+1094.8+1043.97</f>
        <v>7338.89</v>
      </c>
      <c r="H14" s="11"/>
      <c r="I14" s="11"/>
      <c r="J14" s="11">
        <f>(C14*K14+L14*D14)/1000</f>
        <v>2.7357691</v>
      </c>
      <c r="K14" s="11">
        <v>2.69</v>
      </c>
      <c r="L14" s="11">
        <v>2.55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1.310285+2.0899372+1.404535+2.4071166+2.6790316+1.6754062+3.2865396+3.1698534+2.7357691</f>
        <v>20.7584737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12</v>
      </c>
      <c r="D16" s="12">
        <v>13</v>
      </c>
      <c r="E16" s="11">
        <f t="shared" si="1"/>
        <v>25</v>
      </c>
      <c r="F16" s="11" t="s">
        <v>14</v>
      </c>
      <c r="G16" s="11">
        <f>16+12+36+30+24+21+21+16+25</f>
        <v>201</v>
      </c>
      <c r="H16" s="11"/>
      <c r="I16" s="11">
        <f>G16/(G3*0.1865)</f>
        <v>13.8172819137967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0.3+0.1+0.075+0.275+0.075+0.175+0.15</f>
        <v>1.15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2+2+2+2</f>
        <v>8</v>
      </c>
      <c r="H18" s="28"/>
      <c r="I18" s="28">
        <f>G18/(G3*0.1865)</f>
        <v>0.549941568708325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1.5+1.5+1.5+1.5</f>
        <v>6</v>
      </c>
      <c r="H19" s="28"/>
      <c r="I19" s="28">
        <f>G19/(G3*0.1865)</f>
        <v>0.412456176531244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29">
        <v>5</v>
      </c>
      <c r="D20" s="29">
        <v>2</v>
      </c>
      <c r="E20" s="11">
        <f t="shared" si="1"/>
        <v>7</v>
      </c>
      <c r="F20" s="11" t="s">
        <v>34</v>
      </c>
      <c r="G20" s="11">
        <f>5+1+9+9+5+4+6+6+7</f>
        <v>52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11" t="s">
        <v>36</v>
      </c>
      <c r="D21" s="11" t="s">
        <v>36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477</v>
      </c>
      <c r="D22" s="29">
        <v>605</v>
      </c>
      <c r="E22" s="11">
        <f>D22+C22</f>
        <v>1082</v>
      </c>
      <c r="F22" s="11" t="s">
        <v>25</v>
      </c>
      <c r="G22" s="11">
        <f>77+1309+1375+1310+1255+648+838+1041+1082</f>
        <v>8935</v>
      </c>
      <c r="H22" s="30">
        <v>21.5</v>
      </c>
      <c r="I22" s="28">
        <f>E22/H22</f>
        <v>50.3255813953488</v>
      </c>
      <c r="J22" s="20" t="s">
        <v>93</v>
      </c>
      <c r="K22" s="11">
        <v>162</v>
      </c>
      <c r="L22" s="11">
        <f>G22/K22</f>
        <v>55.1543209876543</v>
      </c>
      <c r="M22" s="11"/>
    </row>
    <row r="23" s="1" customFormat="1" ht="29" customHeight="1" spans="1:13">
      <c r="A23" s="8">
        <v>17</v>
      </c>
      <c r="B23" s="9" t="s">
        <v>39</v>
      </c>
      <c r="C23" s="29">
        <v>497</v>
      </c>
      <c r="D23" s="29">
        <v>753</v>
      </c>
      <c r="E23" s="11">
        <f>D23+C23</f>
        <v>1250</v>
      </c>
      <c r="F23" s="11" t="s">
        <v>25</v>
      </c>
      <c r="G23" s="11">
        <f>230+1465+1777+1642+1615+817+897+1369+1250</f>
        <v>11062</v>
      </c>
      <c r="H23" s="28"/>
      <c r="I23" s="28">
        <f>E23/H22</f>
        <v>58.1395348837209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27</v>
      </c>
      <c r="D24" s="29">
        <v>25.62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 t="s">
        <v>88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94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95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3.35</v>
      </c>
      <c r="D32" s="12">
        <v>3.28</v>
      </c>
      <c r="E32" s="11">
        <f t="shared" si="2"/>
        <v>6.63</v>
      </c>
      <c r="F32" s="11" t="s">
        <v>25</v>
      </c>
      <c r="G32" s="11">
        <f>7.75+5.98+6.54+6.6+6.52+7.63+6.51+6.63</f>
        <v>54.16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4</v>
      </c>
      <c r="D33" s="12">
        <v>4</v>
      </c>
      <c r="E33" s="11">
        <f t="shared" si="2"/>
        <v>8</v>
      </c>
      <c r="F33" s="11" t="s">
        <v>25</v>
      </c>
      <c r="G33" s="11">
        <f>5+6+6+6+7+6+7+15+8</f>
        <v>66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41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1">
        <f>7.8165+0+12.906</f>
        <v>20.7225</v>
      </c>
      <c r="H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25</v>
      </c>
      <c r="G37" s="11">
        <f>236+44+19+18+6+4</f>
        <v>327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235</v>
      </c>
      <c r="D38" s="12">
        <v>253</v>
      </c>
      <c r="E38" s="11">
        <f t="shared" si="2"/>
        <v>488</v>
      </c>
      <c r="F38" s="11" t="s">
        <v>25</v>
      </c>
      <c r="G38" s="11">
        <f>742+655+537+480+750+654+584+428+488</f>
        <v>5318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si="3"/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750*0</f>
        <v>0</v>
      </c>
      <c r="J40" s="27"/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86.86*1.12</f>
        <v>97.2832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2</v>
      </c>
      <c r="D42" s="29">
        <v>0</v>
      </c>
      <c r="E42" s="11">
        <f>D42+C42</f>
        <v>2</v>
      </c>
      <c r="F42" s="11" t="s">
        <v>34</v>
      </c>
      <c r="G42" s="11">
        <f>3+3+1+1+5+1+2+2</f>
        <v>18</v>
      </c>
      <c r="H42" s="28"/>
      <c r="I42" s="11">
        <v>19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workbookViewId="0">
      <selection activeCell="G9" sqref="G9:G10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7" width="10.375" style="2"/>
    <col min="18" max="16384" width="9" style="2"/>
  </cols>
  <sheetData>
    <row r="1" s="1" customFormat="1" ht="42" customHeight="1" spans="1:13">
      <c r="A1" s="4" t="s">
        <v>96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7</v>
      </c>
      <c r="D3" s="10">
        <v>7</v>
      </c>
      <c r="E3" s="11">
        <f t="shared" ref="E3:E8" si="0">C3+D3</f>
        <v>14</v>
      </c>
      <c r="F3" s="11" t="s">
        <v>14</v>
      </c>
      <c r="G3" s="11">
        <f>3+6.5+13+13+10.5+9.5+7.5+5.5+9.5+14</f>
        <v>92</v>
      </c>
      <c r="H3" s="11">
        <v>231</v>
      </c>
      <c r="I3" s="11">
        <f>H3-G3</f>
        <v>139</v>
      </c>
      <c r="J3" s="11"/>
      <c r="K3" s="11"/>
      <c r="L3" s="11"/>
      <c r="M3" s="12">
        <f>I3/18</f>
        <v>7.72222222222222</v>
      </c>
    </row>
    <row r="4" s="1" customFormat="1" ht="56" customHeight="1" spans="1:13">
      <c r="A4" s="13">
        <v>2</v>
      </c>
      <c r="B4" s="9" t="s">
        <v>15</v>
      </c>
      <c r="C4" s="12">
        <v>10</v>
      </c>
      <c r="D4" s="12"/>
      <c r="E4" s="11">
        <f t="shared" si="0"/>
        <v>10</v>
      </c>
      <c r="F4" s="11" t="s">
        <v>14</v>
      </c>
      <c r="G4" s="11">
        <f>2+6+6+14+12+12+6+8+6+10</f>
        <v>82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85</v>
      </c>
      <c r="D5" s="12">
        <v>98</v>
      </c>
      <c r="E5" s="11">
        <f t="shared" si="0"/>
        <v>183</v>
      </c>
      <c r="F5" s="11" t="s">
        <v>14</v>
      </c>
      <c r="G5" s="11">
        <f>194+212+192+80+67+147+128+183</f>
        <v>1203</v>
      </c>
      <c r="H5" s="14">
        <v>3715</v>
      </c>
      <c r="I5" s="14">
        <f>H5-G5-G7-G6</f>
        <v>2347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1</v>
      </c>
      <c r="D7" s="12">
        <v>0</v>
      </c>
      <c r="E7" s="11">
        <f t="shared" si="0"/>
        <v>1</v>
      </c>
      <c r="F7" s="11" t="s">
        <v>14</v>
      </c>
      <c r="G7" s="11">
        <f>0+151+1+12+1</f>
        <v>165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3</v>
      </c>
      <c r="D8" s="12">
        <v>0</v>
      </c>
      <c r="E8" s="11">
        <f t="shared" si="0"/>
        <v>3</v>
      </c>
      <c r="F8" s="11" t="s">
        <v>14</v>
      </c>
      <c r="G8" s="11">
        <f>0+7+2+1+1+3</f>
        <v>14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62.41</v>
      </c>
      <c r="D9" s="19"/>
      <c r="E9" s="14">
        <f>30.61+31.24+32.95+63.63+62.6+62.75+61.88+62.41</f>
        <v>408.07</v>
      </c>
      <c r="F9" s="14" t="s">
        <v>14</v>
      </c>
      <c r="G9" s="14">
        <f>0.251002+0.253044+0.28337+0.559944+0.52584+0.53965+0.482664+0.518003</f>
        <v>3.413517</v>
      </c>
      <c r="H9" s="14">
        <v>4.26</v>
      </c>
      <c r="I9" s="14">
        <f>H9-G9</f>
        <v>0.846482999999999</v>
      </c>
      <c r="J9" s="20" t="s">
        <v>21</v>
      </c>
      <c r="K9" s="21">
        <v>0.83</v>
      </c>
      <c r="L9" s="14">
        <f>C9*K9/100</f>
        <v>0.518003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3.672</v>
      </c>
      <c r="D11" s="11">
        <v>1.8225</v>
      </c>
      <c r="E11" s="11">
        <f>C11+D11</f>
        <v>5.4945</v>
      </c>
      <c r="F11" s="11" t="s">
        <v>14</v>
      </c>
      <c r="G11" s="11">
        <f>2.916+2.106+3.9285+4.941+5.4+5.5215+3.78+5.616+10.287+5.4945</f>
        <v>49.9905</v>
      </c>
      <c r="H11" s="11"/>
      <c r="I11" s="11">
        <f>G11/(G3*0.1865)</f>
        <v>2.91353887399464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11.04</v>
      </c>
      <c r="D12" s="11">
        <v>0</v>
      </c>
      <c r="E12" s="11">
        <f t="shared" ref="E12:E20" si="1">D12+C12</f>
        <v>11.04</v>
      </c>
      <c r="F12" s="11" t="s">
        <v>14</v>
      </c>
      <c r="G12" s="11">
        <f>16.0816+6.2008+10.9112+15.1432+14.72+14.4072+5.4832+9.5312+10.8008+11.04</f>
        <v>114.3192</v>
      </c>
      <c r="H12" s="11"/>
      <c r="I12" s="11">
        <f>G12/(G3*0.1865)</f>
        <v>6.6627345844504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212</v>
      </c>
      <c r="D13" s="12">
        <v>212</v>
      </c>
      <c r="E13" s="11">
        <f t="shared" si="1"/>
        <v>424</v>
      </c>
      <c r="F13" s="11" t="s">
        <v>25</v>
      </c>
      <c r="G13" s="11">
        <f>145+157+466+386+373+204+281+313+273+424</f>
        <v>3022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523.7</v>
      </c>
      <c r="D14" s="12">
        <v>553.33</v>
      </c>
      <c r="E14" s="11">
        <f t="shared" si="1"/>
        <v>1077.03</v>
      </c>
      <c r="F14" s="11" t="s">
        <v>25</v>
      </c>
      <c r="G14" s="11">
        <f>483.5+783.2+510.74+939.78+979.62+614.28+889+1094.8+1043.97+1077.03</f>
        <v>8415.92</v>
      </c>
      <c r="H14" s="11"/>
      <c r="I14" s="11"/>
      <c r="J14" s="11">
        <f>(C14*K14+L14*D14)/1000</f>
        <v>2.874285</v>
      </c>
      <c r="K14" s="11">
        <v>2.53</v>
      </c>
      <c r="L14" s="11">
        <v>2.8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1.310285+2.0899372+1.404535+2.4071166+2.6790316+1.6754062+3.2865396+3.1698534+2.7357691+2.874285</f>
        <v>23.6327587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15</v>
      </c>
      <c r="D16" s="12">
        <v>15</v>
      </c>
      <c r="E16" s="11">
        <f t="shared" si="1"/>
        <v>30</v>
      </c>
      <c r="F16" s="11" t="s">
        <v>14</v>
      </c>
      <c r="G16" s="11">
        <f>16+12+36+30+24+21+21+16+25+30</f>
        <v>231</v>
      </c>
      <c r="H16" s="11"/>
      <c r="I16" s="11">
        <f>G16/(G3*0.1865)</f>
        <v>13.463107588297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0.3+0.1+0.075+0.275+0.075+0.175+0.15</f>
        <v>1.15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2+2+2+2+2</f>
        <v>10</v>
      </c>
      <c r="H18" s="28"/>
      <c r="I18" s="28">
        <f>G18/(G3*0.1865)</f>
        <v>0.582818510315888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1.5</v>
      </c>
      <c r="D19" s="29">
        <v>0</v>
      </c>
      <c r="E19" s="11">
        <f t="shared" si="1"/>
        <v>1.5</v>
      </c>
      <c r="F19" s="11" t="s">
        <v>14</v>
      </c>
      <c r="G19" s="11">
        <f>1.5+1.5+1.5+1.5+1.5</f>
        <v>7.5</v>
      </c>
      <c r="H19" s="28"/>
      <c r="I19" s="28">
        <f>G19/(G3*0.1865)</f>
        <v>0.437113882736916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29">
        <v>2</v>
      </c>
      <c r="D20" s="29">
        <v>3</v>
      </c>
      <c r="E20" s="11">
        <f t="shared" si="1"/>
        <v>5</v>
      </c>
      <c r="F20" s="11" t="s">
        <v>34</v>
      </c>
      <c r="G20" s="11">
        <f>5+1+9+9+5+4+6+6+7+5</f>
        <v>57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11">
        <v>0</v>
      </c>
      <c r="D21" s="11">
        <v>0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705</v>
      </c>
      <c r="D22" s="29">
        <v>674</v>
      </c>
      <c r="E22" s="11">
        <f>D22+C22</f>
        <v>1379</v>
      </c>
      <c r="F22" s="11" t="s">
        <v>25</v>
      </c>
      <c r="G22" s="11">
        <f>77+1309+1375+1310+1255+648+838+1041+1082+1379</f>
        <v>10314</v>
      </c>
      <c r="H22" s="48">
        <v>24</v>
      </c>
      <c r="I22" s="28">
        <f>E22/H22</f>
        <v>57.4583333333333</v>
      </c>
      <c r="J22" s="20" t="s">
        <v>93</v>
      </c>
      <c r="K22" s="11">
        <f>163+24</f>
        <v>187</v>
      </c>
      <c r="L22" s="11">
        <f>G22/K22</f>
        <v>55.1550802139037</v>
      </c>
      <c r="M22" s="11"/>
    </row>
    <row r="23" s="1" customFormat="1" ht="29" customHeight="1" spans="1:13">
      <c r="A23" s="8">
        <v>17</v>
      </c>
      <c r="B23" s="9" t="s">
        <v>39</v>
      </c>
      <c r="C23" s="29">
        <v>856</v>
      </c>
      <c r="D23" s="29">
        <v>868</v>
      </c>
      <c r="E23" s="11">
        <f>D23+C23</f>
        <v>1724</v>
      </c>
      <c r="F23" s="11" t="s">
        <v>25</v>
      </c>
      <c r="G23" s="11">
        <f>230+1465+1777+1642+1615+817+897+1369+1250+1724</f>
        <v>12786</v>
      </c>
      <c r="H23" s="28"/>
      <c r="I23" s="28">
        <f>E23/H22</f>
        <v>71.8333333333333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22.6</v>
      </c>
      <c r="D24" s="29">
        <v>23.4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 t="s">
        <v>97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94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98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3.29</v>
      </c>
      <c r="D32" s="12">
        <v>3.27</v>
      </c>
      <c r="E32" s="11">
        <f t="shared" si="2"/>
        <v>6.56</v>
      </c>
      <c r="F32" s="11" t="s">
        <v>25</v>
      </c>
      <c r="G32" s="11">
        <f>7.75+5.98+6.54+6.6+6.52+7.63+6.51+6.63+6.56</f>
        <v>60.72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4</v>
      </c>
      <c r="D33" s="12">
        <v>4</v>
      </c>
      <c r="E33" s="11">
        <f t="shared" si="2"/>
        <v>8</v>
      </c>
      <c r="F33" s="11" t="s">
        <v>25</v>
      </c>
      <c r="G33" s="11">
        <f>5+6+6+6+7+6+7+15+8+8</f>
        <v>74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41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4.725</v>
      </c>
      <c r="D35" s="11">
        <v>0</v>
      </c>
      <c r="E35" s="11">
        <f t="shared" si="2"/>
        <v>4.725</v>
      </c>
      <c r="F35" s="11" t="s">
        <v>14</v>
      </c>
      <c r="G35" s="11">
        <f>7.8165+0+12.906+4.725</f>
        <v>25.4475</v>
      </c>
      <c r="H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25</v>
      </c>
      <c r="G37" s="11">
        <f>236+44+19+18+6+4</f>
        <v>327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243</v>
      </c>
      <c r="D38" s="12">
        <v>215</v>
      </c>
      <c r="E38" s="11">
        <f t="shared" si="2"/>
        <v>458</v>
      </c>
      <c r="F38" s="11" t="s">
        <v>25</v>
      </c>
      <c r="G38" s="11">
        <f>742+655+537+480+750+654+584+428+488+458</f>
        <v>5776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si="3"/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750*0.08</f>
        <v>60</v>
      </c>
      <c r="J40" s="27"/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86.86*1.19</f>
        <v>103.3634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2</v>
      </c>
      <c r="D42" s="29">
        <v>0</v>
      </c>
      <c r="E42" s="11">
        <f>D42+C42</f>
        <v>2</v>
      </c>
      <c r="F42" s="11" t="s">
        <v>34</v>
      </c>
      <c r="G42" s="11">
        <f>3+3+1+1+5+1+2+2+2</f>
        <v>20</v>
      </c>
      <c r="H42" s="28"/>
      <c r="I42" s="11">
        <v>21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workbookViewId="0">
      <pane xSplit="2" topLeftCell="C1" activePane="topRight" state="frozen"/>
      <selection/>
      <selection pane="topRight" activeCell="G7" sqref="G7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7" width="10.375" style="2"/>
    <col min="18" max="16384" width="9" style="2"/>
  </cols>
  <sheetData>
    <row r="1" s="1" customFormat="1" ht="42" customHeight="1" spans="1:13">
      <c r="A1" s="4" t="s">
        <v>99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7.5</v>
      </c>
      <c r="D3" s="10">
        <v>7</v>
      </c>
      <c r="E3" s="11">
        <f t="shared" ref="E3:E8" si="0">C3+D3</f>
        <v>14.5</v>
      </c>
      <c r="F3" s="11" t="s">
        <v>14</v>
      </c>
      <c r="G3" s="11">
        <f>3+6.5+13+13+10.5+9.5+7.5+5.5+9.5+14+14.5</f>
        <v>106.5</v>
      </c>
      <c r="H3" s="11">
        <v>231</v>
      </c>
      <c r="I3" s="11">
        <f>H3-G3</f>
        <v>124.5</v>
      </c>
      <c r="J3" s="11"/>
      <c r="K3" s="11"/>
      <c r="L3" s="11"/>
      <c r="M3" s="12">
        <f>I3/17</f>
        <v>7.32352941176471</v>
      </c>
    </row>
    <row r="4" s="1" customFormat="1" ht="56" customHeight="1" spans="1:13">
      <c r="A4" s="13">
        <v>2</v>
      </c>
      <c r="B4" s="9" t="s">
        <v>15</v>
      </c>
      <c r="C4" s="12">
        <v>12</v>
      </c>
      <c r="D4" s="12"/>
      <c r="E4" s="11">
        <f t="shared" si="0"/>
        <v>12</v>
      </c>
      <c r="F4" s="11" t="s">
        <v>14</v>
      </c>
      <c r="G4" s="11">
        <f>2+6+6+14+12+12+6+8+6+10+12</f>
        <v>94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71</v>
      </c>
      <c r="D5" s="12">
        <v>0</v>
      </c>
      <c r="E5" s="11">
        <f t="shared" si="0"/>
        <v>71</v>
      </c>
      <c r="F5" s="11" t="s">
        <v>14</v>
      </c>
      <c r="G5" s="11">
        <f>194+212+192+80+67+147+128+183+71</f>
        <v>1274</v>
      </c>
      <c r="H5" s="14">
        <v>3715</v>
      </c>
      <c r="I5" s="14">
        <f>H5-G5-G7-G6</f>
        <v>2201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3</v>
      </c>
      <c r="D7" s="12">
        <v>72</v>
      </c>
      <c r="E7" s="11">
        <f t="shared" si="0"/>
        <v>75</v>
      </c>
      <c r="F7" s="11" t="s">
        <v>14</v>
      </c>
      <c r="G7" s="11">
        <f>0+151+1+12+1+75</f>
        <v>240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0+7+2+1+1+3</f>
        <v>14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0</v>
      </c>
      <c r="D9" s="19"/>
      <c r="E9" s="14">
        <f>30.61+31.24+32.95+63.63+62.6+62.75+61.88+62.41</f>
        <v>408.07</v>
      </c>
      <c r="F9" s="14" t="s">
        <v>14</v>
      </c>
      <c r="G9" s="14">
        <f>0.251002+0.253044+0.28337+0.559944+0.52584+0.53965+0.482664+0.518003</f>
        <v>3.413517</v>
      </c>
      <c r="H9" s="14">
        <v>4.26</v>
      </c>
      <c r="I9" s="14">
        <f>H9-G9</f>
        <v>0.846482999999999</v>
      </c>
      <c r="J9" s="20" t="s">
        <v>21</v>
      </c>
      <c r="K9" s="21">
        <v>0</v>
      </c>
      <c r="L9" s="14"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5.751</v>
      </c>
      <c r="D11" s="11">
        <v>0</v>
      </c>
      <c r="E11" s="11">
        <f>C11+D11</f>
        <v>5.751</v>
      </c>
      <c r="F11" s="11" t="s">
        <v>14</v>
      </c>
      <c r="G11" s="11">
        <f>2.916+2.106+3.9285+4.941+5.4+5.5215+3.78+5.616+10.287+5.4945+5.751</f>
        <v>55.7415</v>
      </c>
      <c r="H11" s="11"/>
      <c r="I11" s="11">
        <f>G11/(G3*0.1865)</f>
        <v>2.80640410829589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12.8064</v>
      </c>
      <c r="D12" s="11">
        <v>0</v>
      </c>
      <c r="E12" s="11">
        <f t="shared" ref="E12:E20" si="1">D12+C12</f>
        <v>12.8064</v>
      </c>
      <c r="F12" s="11" t="s">
        <v>14</v>
      </c>
      <c r="G12" s="11">
        <f>16.0816+6.2008+10.9112+15.1432+14.72+14.4072+5.4832+9.5312+10.8008+11.04+12.8064</f>
        <v>127.1256</v>
      </c>
      <c r="H12" s="11"/>
      <c r="I12" s="11">
        <f>G12/(G3*0.1865)</f>
        <v>6.40036249669599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216</v>
      </c>
      <c r="D13" s="12">
        <v>128</v>
      </c>
      <c r="E13" s="11">
        <f t="shared" si="1"/>
        <v>344</v>
      </c>
      <c r="F13" s="11" t="s">
        <v>25</v>
      </c>
      <c r="G13" s="11">
        <f>145+157+466+386+373+204+281+313+273+424+344</f>
        <v>3366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516</v>
      </c>
      <c r="D14" s="12">
        <v>515.4</v>
      </c>
      <c r="E14" s="11">
        <f t="shared" si="1"/>
        <v>1031.4</v>
      </c>
      <c r="F14" s="11" t="s">
        <v>25</v>
      </c>
      <c r="G14" s="11">
        <f>483.5+783.2+510.74+939.78+979.62+614.28+889+1094.8+1043.97+1077.03+1031.4</f>
        <v>9447.32</v>
      </c>
      <c r="H14" s="11"/>
      <c r="I14" s="11"/>
      <c r="J14" s="11">
        <f>(C14*K14+L14*D14)/1000</f>
        <v>2.887902</v>
      </c>
      <c r="K14" s="11">
        <v>2.77</v>
      </c>
      <c r="L14" s="11">
        <v>2.83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1.310285+2.0899372+1.404535+2.4071166+2.6790316+1.6754062+3.2865396+3.1698534+2.7357691+2.874285+2.887902</f>
        <v>26.5206607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19</v>
      </c>
      <c r="D16" s="12">
        <v>9</v>
      </c>
      <c r="E16" s="11">
        <f t="shared" si="1"/>
        <v>28</v>
      </c>
      <c r="F16" s="11" t="s">
        <v>14</v>
      </c>
      <c r="G16" s="11">
        <f>16+12+36+30+24+21+21+16+25+30+28</f>
        <v>259</v>
      </c>
      <c r="H16" s="11"/>
      <c r="I16" s="11">
        <f>G16/(G3*0.1865)</f>
        <v>13.0398117031051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0.3+0.1+0.075+0.275+0.075+0.175+0.15</f>
        <v>1.15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2+2+2+2+2</f>
        <v>10</v>
      </c>
      <c r="H18" s="28"/>
      <c r="I18" s="28">
        <f>G18/(G3*0.1865)</f>
        <v>0.503467633324523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1.5+1.5+1.5+1.5+1.5</f>
        <v>7.5</v>
      </c>
      <c r="H19" s="28"/>
      <c r="I19" s="28">
        <f>G19/(G3*0.1865)</f>
        <v>0.377600724993392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29">
        <v>2</v>
      </c>
      <c r="D20" s="29">
        <v>4</v>
      </c>
      <c r="E20" s="11">
        <f t="shared" si="1"/>
        <v>6</v>
      </c>
      <c r="F20" s="11" t="s">
        <v>34</v>
      </c>
      <c r="G20" s="11">
        <f>5+1+9+9+5+4+6+6+7+5+6</f>
        <v>63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11" t="s">
        <v>36</v>
      </c>
      <c r="D21" s="11">
        <v>0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493</v>
      </c>
      <c r="D22" s="29">
        <v>521</v>
      </c>
      <c r="E22" s="11">
        <f>D22+C22</f>
        <v>1014</v>
      </c>
      <c r="F22" s="11" t="s">
        <v>25</v>
      </c>
      <c r="G22" s="11">
        <f>77+1309+1375+1310+1255+648+838+1041+1082+1379+1014</f>
        <v>11328</v>
      </c>
      <c r="H22" s="30">
        <v>17.5</v>
      </c>
      <c r="I22" s="28">
        <f>E22/H22</f>
        <v>57.9428571428571</v>
      </c>
      <c r="J22" s="20" t="s">
        <v>93</v>
      </c>
      <c r="K22" s="11">
        <f>163+24+17.5</f>
        <v>204.5</v>
      </c>
      <c r="L22" s="11">
        <f>G22/K22</f>
        <v>55.3936430317848</v>
      </c>
      <c r="M22" s="11"/>
    </row>
    <row r="23" s="1" customFormat="1" ht="29" customHeight="1" spans="1:13">
      <c r="A23" s="8">
        <v>17</v>
      </c>
      <c r="B23" s="9" t="s">
        <v>39</v>
      </c>
      <c r="C23" s="29">
        <v>679</v>
      </c>
      <c r="D23" s="29">
        <v>581</v>
      </c>
      <c r="E23" s="11">
        <f>D23+C23</f>
        <v>1260</v>
      </c>
      <c r="F23" s="11" t="s">
        <v>25</v>
      </c>
      <c r="G23" s="11">
        <f>230+1465+1777+1642+1615+817+897+1369+1250+1724+1260</f>
        <v>14046</v>
      </c>
      <c r="H23" s="28"/>
      <c r="I23" s="28">
        <f>E23/H22</f>
        <v>72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26</v>
      </c>
      <c r="D24" s="29">
        <v>23.6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 t="s">
        <v>100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101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102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6.32</v>
      </c>
      <c r="D32" s="12">
        <v>6.26</v>
      </c>
      <c r="E32" s="11">
        <f t="shared" si="2"/>
        <v>12.58</v>
      </c>
      <c r="F32" s="11" t="s">
        <v>25</v>
      </c>
      <c r="G32" s="11">
        <f>7.75+5.98+6.54+6.6+6.52+7.63+6.51+6.63+6.56+12.58</f>
        <v>73.3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4</v>
      </c>
      <c r="D33" s="12">
        <v>3</v>
      </c>
      <c r="E33" s="11">
        <f t="shared" si="2"/>
        <v>7</v>
      </c>
      <c r="F33" s="11" t="s">
        <v>25</v>
      </c>
      <c r="G33" s="11">
        <f>5+6+6+6+7+6+7+15+8+8+7</f>
        <v>81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41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1">
        <f>7.8165+0+12.906+4.725</f>
        <v>25.4475</v>
      </c>
      <c r="H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25</v>
      </c>
      <c r="G37" s="11">
        <f>236+44+19+18+6+4</f>
        <v>327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267</v>
      </c>
      <c r="D38" s="12">
        <v>286</v>
      </c>
      <c r="E38" s="11">
        <f t="shared" si="2"/>
        <v>553</v>
      </c>
      <c r="F38" s="11" t="s">
        <v>25</v>
      </c>
      <c r="G38" s="11">
        <f>742+655+537+480+750+654+584+428+488+458+553</f>
        <v>6329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si="3"/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750*0.03</f>
        <v>22.5</v>
      </c>
      <c r="J40" s="27"/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86.86*1.15</f>
        <v>99.889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3</v>
      </c>
      <c r="D42" s="29">
        <v>0</v>
      </c>
      <c r="E42" s="11">
        <f>D42+C42</f>
        <v>3</v>
      </c>
      <c r="F42" s="11" t="s">
        <v>34</v>
      </c>
      <c r="G42" s="11">
        <f>3+3+1+1+5+1+2+2+2+3</f>
        <v>23</v>
      </c>
      <c r="H42" s="28"/>
      <c r="I42" s="11">
        <v>14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workbookViewId="0">
      <pane xSplit="2" topLeftCell="C1" activePane="topRight" state="frozen"/>
      <selection/>
      <selection pane="topRight" activeCell="G17" sqref="G17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7" width="10.375" style="2"/>
    <col min="18" max="16384" width="9" style="2"/>
  </cols>
  <sheetData>
    <row r="1" s="1" customFormat="1" ht="42" customHeight="1" spans="1:13">
      <c r="A1" s="4" t="s">
        <v>103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2.5</v>
      </c>
      <c r="D3" s="10">
        <v>6.5</v>
      </c>
      <c r="E3" s="11">
        <f t="shared" ref="E3:E8" si="0">C3+D3</f>
        <v>9</v>
      </c>
      <c r="F3" s="11" t="s">
        <v>14</v>
      </c>
      <c r="G3" s="11">
        <f>3+6.5+13+13+10.5+9.5+7.5+5.5+9.5+14+14.5+9</f>
        <v>115.5</v>
      </c>
      <c r="H3" s="11">
        <v>231</v>
      </c>
      <c r="I3" s="11">
        <f>H3-G3</f>
        <v>115.5</v>
      </c>
      <c r="J3" s="11"/>
      <c r="K3" s="11"/>
      <c r="L3" s="11"/>
      <c r="M3" s="12">
        <f>I3/16</f>
        <v>7.21875</v>
      </c>
    </row>
    <row r="4" s="1" customFormat="1" ht="56" customHeight="1" spans="1:13">
      <c r="A4" s="13">
        <v>2</v>
      </c>
      <c r="B4" s="9" t="s">
        <v>15</v>
      </c>
      <c r="C4" s="12">
        <v>16</v>
      </c>
      <c r="D4" s="12"/>
      <c r="E4" s="11">
        <f t="shared" si="0"/>
        <v>16</v>
      </c>
      <c r="F4" s="11" t="s">
        <v>14</v>
      </c>
      <c r="G4" s="11">
        <f>2+6+6+14+12+12+6+8+6+10+12+16</f>
        <v>110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0</v>
      </c>
      <c r="D5" s="12">
        <v>75</v>
      </c>
      <c r="E5" s="11">
        <f t="shared" si="0"/>
        <v>75</v>
      </c>
      <c r="F5" s="11" t="s">
        <v>14</v>
      </c>
      <c r="G5" s="11">
        <f>194+212+192+80+67+147+128+183+71+75</f>
        <v>1349</v>
      </c>
      <c r="H5" s="14">
        <v>3715</v>
      </c>
      <c r="I5" s="14">
        <f>H5-G5-G7-G6</f>
        <v>2124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0</v>
      </c>
      <c r="D7" s="12">
        <v>2</v>
      </c>
      <c r="E7" s="11">
        <f t="shared" si="0"/>
        <v>2</v>
      </c>
      <c r="F7" s="11" t="s">
        <v>14</v>
      </c>
      <c r="G7" s="11">
        <f>0+151+1+12+1+75+2</f>
        <v>242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0+7+2+1+1+3</f>
        <v>14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0</v>
      </c>
      <c r="D9" s="19"/>
      <c r="E9" s="14">
        <f>30.61+31.24+32.95+63.63+62.6+62.75+61.88+62.41</f>
        <v>408.07</v>
      </c>
      <c r="F9" s="14" t="s">
        <v>14</v>
      </c>
      <c r="G9" s="14">
        <f>0.251002+0.253044+0.28337+0.559944+0.52584+0.53965+0.482664+0.518003</f>
        <v>3.413517</v>
      </c>
      <c r="H9" s="14">
        <v>4.26</v>
      </c>
      <c r="I9" s="14">
        <f>H9-G9</f>
        <v>0.846482999999999</v>
      </c>
      <c r="J9" s="20" t="s">
        <v>21</v>
      </c>
      <c r="K9" s="21">
        <v>0</v>
      </c>
      <c r="L9" s="14"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5.0895</v>
      </c>
      <c r="D11" s="11">
        <v>3.294</v>
      </c>
      <c r="E11" s="11">
        <f>C11+D11</f>
        <v>8.3835</v>
      </c>
      <c r="F11" s="11" t="s">
        <v>14</v>
      </c>
      <c r="G11" s="11">
        <f>2.916+2.106+3.9285+4.941+5.4+5.5215+3.78+5.616+10.287+5.4945+5.751+8.3835</f>
        <v>64.125</v>
      </c>
      <c r="H11" s="11"/>
      <c r="I11" s="11">
        <f>G11/(G3*0.1865)</f>
        <v>2.97691584554855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15.0328</v>
      </c>
      <c r="D12" s="11">
        <v>0</v>
      </c>
      <c r="E12" s="11">
        <f t="shared" ref="E12:E20" si="1">D12+C12</f>
        <v>15.0328</v>
      </c>
      <c r="F12" s="11" t="s">
        <v>14</v>
      </c>
      <c r="G12" s="11">
        <f>16.0816+6.2008+10.9112+15.1432+14.72+14.4072+5.4832+9.5312+10.8008+11.04+12.8064+15.0328</f>
        <v>142.1584</v>
      </c>
      <c r="H12" s="11"/>
      <c r="I12" s="11">
        <f>G12/(G3*0.1865)</f>
        <v>6.59951023060943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139</v>
      </c>
      <c r="D13" s="12">
        <v>110</v>
      </c>
      <c r="E13" s="11">
        <f t="shared" si="1"/>
        <v>249</v>
      </c>
      <c r="F13" s="11" t="s">
        <v>25</v>
      </c>
      <c r="G13" s="11">
        <f>145+157+466+386+373+204+281+313+273+424+344+249</f>
        <v>3615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381.02</v>
      </c>
      <c r="D14" s="12">
        <v>453.34</v>
      </c>
      <c r="E14" s="11">
        <f t="shared" si="1"/>
        <v>834.36</v>
      </c>
      <c r="F14" s="11" t="s">
        <v>25</v>
      </c>
      <c r="G14" s="11">
        <f>483.5+783.2+510.74+939.78+979.62+614.28+889+1094.8+1043.97+1077.03+1031.4+834.36</f>
        <v>10281.68</v>
      </c>
      <c r="H14" s="11"/>
      <c r="I14" s="11"/>
      <c r="J14" s="11">
        <f>(C14*K14+L14*D14)/1000</f>
        <v>2.4751564</v>
      </c>
      <c r="K14" s="11">
        <v>3.01</v>
      </c>
      <c r="L14" s="11">
        <v>2.93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1.310285+2.0899372+1.404535+2.4071166+2.6790316+1.6754062+3.2865396+3.1698534+2.7357691+2.874285+2.887902+2.4751564</f>
        <v>28.9958171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12</v>
      </c>
      <c r="D16" s="12">
        <v>9</v>
      </c>
      <c r="E16" s="11">
        <f t="shared" si="1"/>
        <v>21</v>
      </c>
      <c r="F16" s="11" t="s">
        <v>14</v>
      </c>
      <c r="G16" s="11">
        <f>16+12+36+30+24+21+21+16+25+30+28+21</f>
        <v>280</v>
      </c>
      <c r="H16" s="11"/>
      <c r="I16" s="11">
        <f>G16/(G3*0.1865)</f>
        <v>12.9986188967422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0.3+0.1+0.075+0.275+0.075+0.175+0.15</f>
        <v>1.15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2+2+2+2+2+2</f>
        <v>12</v>
      </c>
      <c r="H18" s="28"/>
      <c r="I18" s="28">
        <f>G18/(G3*0.1865)</f>
        <v>0.557083667003238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1.5</v>
      </c>
      <c r="D19" s="29">
        <v>0</v>
      </c>
      <c r="E19" s="11">
        <f t="shared" si="1"/>
        <v>1.5</v>
      </c>
      <c r="F19" s="11" t="s">
        <v>14</v>
      </c>
      <c r="G19" s="11">
        <f>1.5+1.5+1.5+1.5+1.5+1.5</f>
        <v>9</v>
      </c>
      <c r="H19" s="28"/>
      <c r="I19" s="28">
        <f>G19/(G3*0.1865)</f>
        <v>0.417812750252429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29">
        <v>5</v>
      </c>
      <c r="D20" s="29">
        <v>0</v>
      </c>
      <c r="E20" s="11">
        <f t="shared" si="1"/>
        <v>5</v>
      </c>
      <c r="F20" s="11" t="s">
        <v>34</v>
      </c>
      <c r="G20" s="11">
        <f>5+1+9+9+5+4+6+6+7+5+6+5</f>
        <v>68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11" t="s">
        <v>36</v>
      </c>
      <c r="D21" s="11" t="s">
        <v>36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33</v>
      </c>
      <c r="D22" s="29">
        <v>673</v>
      </c>
      <c r="E22" s="11">
        <f>D22+C22</f>
        <v>706</v>
      </c>
      <c r="F22" s="11" t="s">
        <v>25</v>
      </c>
      <c r="G22" s="11">
        <f>77+1309+1375+1310+1255+648+838+1041+1082+1379+1014+706</f>
        <v>12034</v>
      </c>
      <c r="H22" s="30">
        <v>11</v>
      </c>
      <c r="I22" s="28">
        <f>E22/H22</f>
        <v>64.1818181818182</v>
      </c>
      <c r="J22" s="20" t="s">
        <v>93</v>
      </c>
      <c r="K22" s="11">
        <f>163+24+17.5+11</f>
        <v>215.5</v>
      </c>
      <c r="L22" s="11">
        <f>G22/K22</f>
        <v>55.8422273781903</v>
      </c>
      <c r="M22" s="11"/>
    </row>
    <row r="23" s="1" customFormat="1" ht="29" customHeight="1" spans="1:13">
      <c r="A23" s="8">
        <v>17</v>
      </c>
      <c r="B23" s="9" t="s">
        <v>39</v>
      </c>
      <c r="C23" s="29">
        <v>190</v>
      </c>
      <c r="D23" s="29">
        <v>606</v>
      </c>
      <c r="E23" s="11">
        <f>D23+C23</f>
        <v>796</v>
      </c>
      <c r="F23" s="11" t="s">
        <v>25</v>
      </c>
      <c r="G23" s="11">
        <f>230+1465+1777+1642+1615+817+897+1369+1250+1724+1260+796</f>
        <v>14842</v>
      </c>
      <c r="H23" s="28"/>
      <c r="I23" s="28">
        <f>E23/H22</f>
        <v>72.3636363636364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0</v>
      </c>
      <c r="D24" s="29">
        <v>0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104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105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6.28</v>
      </c>
      <c r="D32" s="12">
        <v>6.32</v>
      </c>
      <c r="E32" s="11">
        <f t="shared" si="2"/>
        <v>12.6</v>
      </c>
      <c r="F32" s="11" t="s">
        <v>25</v>
      </c>
      <c r="G32" s="11">
        <f>7.75+5.98+6.54+6.6+6.52+7.63+6.51+6.63+6.56+12.58+12.6</f>
        <v>85.9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5</v>
      </c>
      <c r="D33" s="12">
        <v>4</v>
      </c>
      <c r="E33" s="11">
        <f t="shared" si="2"/>
        <v>9</v>
      </c>
      <c r="F33" s="11" t="s">
        <v>25</v>
      </c>
      <c r="G33" s="11">
        <f>5+6+6+6+7+6+7+15+8+8+7+9</f>
        <v>90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41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7.965</v>
      </c>
      <c r="D35" s="11">
        <v>0</v>
      </c>
      <c r="E35" s="11">
        <f t="shared" si="2"/>
        <v>7.965</v>
      </c>
      <c r="F35" s="11" t="s">
        <v>14</v>
      </c>
      <c r="G35" s="11">
        <f>7.8165+0+12.906+4.725+7.965</f>
        <v>33.4125</v>
      </c>
      <c r="H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25</v>
      </c>
      <c r="G37" s="11">
        <f>236+44+19+18+6+4</f>
        <v>327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245</v>
      </c>
      <c r="D38" s="12">
        <v>265</v>
      </c>
      <c r="E38" s="11">
        <f t="shared" si="2"/>
        <v>510</v>
      </c>
      <c r="F38" s="11" t="s">
        <v>25</v>
      </c>
      <c r="G38" s="11">
        <f>742+655+537+480+750+654+584+428+488+458+553+510</f>
        <v>6839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si="3"/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750*0.04</f>
        <v>30</v>
      </c>
      <c r="J40" s="27"/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86.86*1.14</f>
        <v>99.0204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2</v>
      </c>
      <c r="D42" s="29">
        <v>0</v>
      </c>
      <c r="E42" s="11">
        <f>D42+C42</f>
        <v>2</v>
      </c>
      <c r="F42" s="11" t="s">
        <v>34</v>
      </c>
      <c r="G42" s="11">
        <f>3+3+1+1+5+1+2+2+2+3+2</f>
        <v>25</v>
      </c>
      <c r="H42" s="28"/>
      <c r="I42" s="11">
        <v>16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workbookViewId="0">
      <pane xSplit="2" topLeftCell="D1" activePane="topRight" state="frozen"/>
      <selection/>
      <selection pane="topRight" activeCell="R8" sqref="R8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7" width="10.375" style="2"/>
    <col min="18" max="16384" width="9" style="2"/>
  </cols>
  <sheetData>
    <row r="1" s="1" customFormat="1" ht="42" customHeight="1" spans="1:13">
      <c r="A1" s="4" t="s">
        <v>106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2.5</v>
      </c>
      <c r="D3" s="10">
        <v>7</v>
      </c>
      <c r="E3" s="11">
        <f t="shared" ref="E3:E8" si="0">C3+D3</f>
        <v>9.5</v>
      </c>
      <c r="F3" s="11" t="s">
        <v>14</v>
      </c>
      <c r="G3" s="11">
        <f>3+6.5+13+13+10.5+9.5+7.5+5.5+9.5+14+14.5+9+9.5</f>
        <v>125</v>
      </c>
      <c r="H3" s="11">
        <v>231</v>
      </c>
      <c r="I3" s="11">
        <f>H3-G3</f>
        <v>106</v>
      </c>
      <c r="J3" s="11"/>
      <c r="K3" s="11"/>
      <c r="L3" s="11"/>
      <c r="M3" s="12">
        <f>I3/15</f>
        <v>7.06666666666667</v>
      </c>
    </row>
    <row r="4" s="1" customFormat="1" ht="56" customHeight="1" spans="1:13">
      <c r="A4" s="13">
        <v>2</v>
      </c>
      <c r="B4" s="9" t="s">
        <v>15</v>
      </c>
      <c r="C4" s="12">
        <v>8</v>
      </c>
      <c r="D4" s="12"/>
      <c r="E4" s="11">
        <f t="shared" si="0"/>
        <v>8</v>
      </c>
      <c r="F4" s="11" t="s">
        <v>14</v>
      </c>
      <c r="G4" s="11">
        <f>2+6+6+14+12+12+6+8+6+10+12+16+8</f>
        <v>118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97</v>
      </c>
      <c r="D5" s="12">
        <v>90</v>
      </c>
      <c r="E5" s="11">
        <f t="shared" si="0"/>
        <v>187</v>
      </c>
      <c r="F5" s="11" t="s">
        <v>14</v>
      </c>
      <c r="G5" s="11">
        <f>194+212+192+80+67+147+128+183+71+75+187</f>
        <v>1536</v>
      </c>
      <c r="H5" s="14">
        <v>3715</v>
      </c>
      <c r="I5" s="14">
        <f>H5-G5-G7-G6</f>
        <v>1936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0</v>
      </c>
      <c r="D7" s="12">
        <v>1</v>
      </c>
      <c r="E7" s="11">
        <f t="shared" si="0"/>
        <v>1</v>
      </c>
      <c r="F7" s="11" t="s">
        <v>14</v>
      </c>
      <c r="G7" s="11">
        <f>0+151+1+12+1+75+2+1</f>
        <v>243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0+7+2+1+1+3</f>
        <v>14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0</v>
      </c>
      <c r="D9" s="19"/>
      <c r="E9" s="14">
        <f>30.61+31.24+32.95+63.63+62.6+62.75+61.88+62.41</f>
        <v>408.07</v>
      </c>
      <c r="F9" s="14" t="s">
        <v>14</v>
      </c>
      <c r="G9" s="14">
        <f>0.251002+0.253044+0.28337+0.559944+0.52584+0.53965+0.482664+0.518003</f>
        <v>3.413517</v>
      </c>
      <c r="H9" s="14">
        <v>4.26</v>
      </c>
      <c r="I9" s="14">
        <f>H9-G9</f>
        <v>0.846482999999999</v>
      </c>
      <c r="J9" s="20" t="s">
        <v>21</v>
      </c>
      <c r="K9" s="21">
        <v>0</v>
      </c>
      <c r="L9" s="14"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3.7395</v>
      </c>
      <c r="D11" s="11">
        <v>0</v>
      </c>
      <c r="E11" s="11">
        <f>C11+D11</f>
        <v>3.7395</v>
      </c>
      <c r="F11" s="11" t="s">
        <v>14</v>
      </c>
      <c r="G11" s="11">
        <f>2.916+2.106+3.9285+4.941+5.4+5.5215+3.78+5.616+10.287+5.4945+5.751+8.3835+3.7395</f>
        <v>67.8645</v>
      </c>
      <c r="H11" s="11"/>
      <c r="I11" s="11">
        <f>G11/(G3*0.1865)</f>
        <v>2.91107774798928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7.4336</v>
      </c>
      <c r="D12" s="11">
        <v>0</v>
      </c>
      <c r="E12" s="11">
        <f t="shared" ref="E12:E20" si="1">D12+C12</f>
        <v>7.4336</v>
      </c>
      <c r="F12" s="11" t="s">
        <v>14</v>
      </c>
      <c r="G12" s="11">
        <f>16.0816+6.2008+10.9112+15.1432+14.72+14.4072+5.4832+9.5312+10.8008+11.04+12.8064+15.0328+7.4336</f>
        <v>149.592</v>
      </c>
      <c r="H12" s="11"/>
      <c r="I12" s="11">
        <f>G12/(G3*0.1865)</f>
        <v>6.41681501340483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185</v>
      </c>
      <c r="D13" s="12">
        <v>225</v>
      </c>
      <c r="E13" s="11">
        <f t="shared" si="1"/>
        <v>410</v>
      </c>
      <c r="F13" s="11" t="s">
        <v>25</v>
      </c>
      <c r="G13" s="11">
        <f>145+157+466+386+373+204+281+313+273+424+344+249+410</f>
        <v>4025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377.19</v>
      </c>
      <c r="D14" s="12">
        <v>344.61</v>
      </c>
      <c r="E14" s="11">
        <f t="shared" si="1"/>
        <v>721.8</v>
      </c>
      <c r="F14" s="11" t="s">
        <v>25</v>
      </c>
      <c r="G14" s="11">
        <f>483.5+783.2+510.74+939.78+979.62+614.28+889+1094.8+1043.97+1077.03+1031.4+834.36+721.8</f>
        <v>11003.48</v>
      </c>
      <c r="H14" s="11"/>
      <c r="I14" s="11"/>
      <c r="J14" s="11">
        <f>(C14*K14+L14*D14)/1000</f>
        <v>2.2589082</v>
      </c>
      <c r="K14" s="11">
        <v>3.12</v>
      </c>
      <c r="L14" s="11">
        <v>3.14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1.310285+2.0899372+1.404535+2.4071166+2.6790316+1.6754062+3.2865396+3.1698534+2.7357691+2.874285+2.887902+2.4751564+2.2589082</f>
        <v>31.2547253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13</v>
      </c>
      <c r="D16" s="12">
        <v>18</v>
      </c>
      <c r="E16" s="11">
        <f t="shared" si="1"/>
        <v>31</v>
      </c>
      <c r="F16" s="11" t="s">
        <v>14</v>
      </c>
      <c r="G16" s="11">
        <f>16+12+36+30+24+21+21+16+25+30+28+21+31</f>
        <v>311</v>
      </c>
      <c r="H16" s="11"/>
      <c r="I16" s="11">
        <f>G16/(G3*0.1865)</f>
        <v>13.3404825737265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0.3+0.1+0.075+0.275+0.075+0.175+0.15</f>
        <v>1.15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2+2+2+2+2+2</f>
        <v>12</v>
      </c>
      <c r="H18" s="28"/>
      <c r="I18" s="28">
        <f>G18/(G3*0.1865)</f>
        <v>0.514745308310992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1.5+1.5+1.5+1.5+1.5+1.5</f>
        <v>9</v>
      </c>
      <c r="H19" s="28"/>
      <c r="I19" s="28">
        <f>G19/(G3*0.1865)</f>
        <v>0.386058981233244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29">
        <v>3</v>
      </c>
      <c r="D20" s="29">
        <v>6</v>
      </c>
      <c r="E20" s="11">
        <f t="shared" si="1"/>
        <v>9</v>
      </c>
      <c r="F20" s="11" t="s">
        <v>34</v>
      </c>
      <c r="G20" s="11">
        <f>5+1+9+9+5+4+6+6+7+5+6+5+9</f>
        <v>77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11">
        <v>2</v>
      </c>
      <c r="D21" s="11">
        <v>0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700</v>
      </c>
      <c r="D22" s="29">
        <v>661</v>
      </c>
      <c r="E22" s="11">
        <f>D22+C22</f>
        <v>1361</v>
      </c>
      <c r="F22" s="11" t="s">
        <v>25</v>
      </c>
      <c r="G22" s="11">
        <f>77+1309+1375+1310+1255+648+838+1041+1082+1379+1014+706+1361</f>
        <v>13395</v>
      </c>
      <c r="H22" s="30">
        <v>24</v>
      </c>
      <c r="I22" s="28">
        <f>E22/H22</f>
        <v>56.7083333333333</v>
      </c>
      <c r="J22" s="20" t="s">
        <v>93</v>
      </c>
      <c r="K22" s="11">
        <f>163+24+17.5+11+24</f>
        <v>239.5</v>
      </c>
      <c r="L22" s="11">
        <f>G22/K22</f>
        <v>55.9290187891441</v>
      </c>
      <c r="M22" s="11"/>
    </row>
    <row r="23" s="1" customFormat="1" ht="29" customHeight="1" spans="1:13">
      <c r="A23" s="8">
        <v>17</v>
      </c>
      <c r="B23" s="9" t="s">
        <v>39</v>
      </c>
      <c r="C23" s="29">
        <v>806</v>
      </c>
      <c r="D23" s="29">
        <v>754</v>
      </c>
      <c r="E23" s="11">
        <f>D23+C23</f>
        <v>1560</v>
      </c>
      <c r="F23" s="11" t="s">
        <v>25</v>
      </c>
      <c r="G23" s="11">
        <f>230+1465+1777+1642+1615+817+897+1369+1250+1724+1260+796+1560</f>
        <v>16402</v>
      </c>
      <c r="H23" s="28"/>
      <c r="I23" s="28">
        <f>E23/H22</f>
        <v>65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25.22</v>
      </c>
      <c r="D24" s="29">
        <v>25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104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107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6.27</v>
      </c>
      <c r="D32" s="12">
        <v>6.34</v>
      </c>
      <c r="E32" s="11">
        <f t="shared" si="2"/>
        <v>12.61</v>
      </c>
      <c r="F32" s="11" t="s">
        <v>25</v>
      </c>
      <c r="G32" s="11">
        <f>7.75+5.98+6.54+6.6+6.52+7.63+6.51+6.63+6.56+12.58+12.6+12.61</f>
        <v>98.51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9</v>
      </c>
      <c r="D33" s="12">
        <v>4</v>
      </c>
      <c r="E33" s="11">
        <f t="shared" si="2"/>
        <v>13</v>
      </c>
      <c r="F33" s="11" t="s">
        <v>25</v>
      </c>
      <c r="G33" s="11">
        <f>5+6+6+6+7+6+7+15+8+8+7+9+13</f>
        <v>103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41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1">
        <f>7.8165+0+12.906+4.725+7.965</f>
        <v>33.4125</v>
      </c>
      <c r="H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25</v>
      </c>
      <c r="G37" s="11">
        <f>236+44+19+18+6+4</f>
        <v>327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267</v>
      </c>
      <c r="D38" s="12">
        <v>268</v>
      </c>
      <c r="E38" s="11">
        <f t="shared" si="2"/>
        <v>535</v>
      </c>
      <c r="F38" s="11" t="s">
        <v>25</v>
      </c>
      <c r="G38" s="11">
        <f>742+655+537+480+750+654+584+428+488+458+553+510+535</f>
        <v>7374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si="3"/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750*0</f>
        <v>0</v>
      </c>
      <c r="J40" s="27"/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86.86*1.14</f>
        <v>99.0204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2</v>
      </c>
      <c r="D42" s="29">
        <v>0</v>
      </c>
      <c r="E42" s="11">
        <f>D42+C42</f>
        <v>2</v>
      </c>
      <c r="F42" s="11" t="s">
        <v>34</v>
      </c>
      <c r="G42" s="11">
        <f>3+3+1+1+5+1+2+2+2+3+2+2</f>
        <v>27</v>
      </c>
      <c r="H42" s="28"/>
      <c r="I42" s="11">
        <v>18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7" workbookViewId="0">
      <pane xSplit="2" topLeftCell="C1" activePane="topRight" state="frozen"/>
      <selection/>
      <selection pane="topRight" activeCell="M3" sqref="M3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7" width="10.375" style="2"/>
    <col min="18" max="16384" width="9" style="2"/>
  </cols>
  <sheetData>
    <row r="1" s="1" customFormat="1" ht="42" customHeight="1" spans="1:13">
      <c r="A1" s="4" t="s">
        <v>108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6.5</v>
      </c>
      <c r="D3" s="10">
        <v>7.5</v>
      </c>
      <c r="E3" s="11">
        <f t="shared" ref="E3:E8" si="0">C3+D3</f>
        <v>14</v>
      </c>
      <c r="F3" s="11" t="s">
        <v>14</v>
      </c>
      <c r="G3" s="11">
        <f>3+6.5+13+13+10.5+9.5+7.5+5.5+9.5+14+14.5+9+9.5+14</f>
        <v>139</v>
      </c>
      <c r="H3" s="11">
        <v>231</v>
      </c>
      <c r="I3" s="11">
        <f>H3-G3</f>
        <v>92</v>
      </c>
      <c r="J3" s="11"/>
      <c r="K3" s="11"/>
      <c r="L3" s="11"/>
      <c r="M3" s="12">
        <f>I3/14</f>
        <v>6.57142857142857</v>
      </c>
    </row>
    <row r="4" s="1" customFormat="1" ht="56" customHeight="1" spans="1:13">
      <c r="A4" s="13">
        <v>2</v>
      </c>
      <c r="B4" s="9" t="s">
        <v>15</v>
      </c>
      <c r="C4" s="12">
        <v>10</v>
      </c>
      <c r="D4" s="12"/>
      <c r="E4" s="11">
        <f t="shared" si="0"/>
        <v>10</v>
      </c>
      <c r="F4" s="11" t="s">
        <v>14</v>
      </c>
      <c r="G4" s="11">
        <f>2+6+6+14+12+12+6+8+6+10+12+16+8+10</f>
        <v>128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79</v>
      </c>
      <c r="D5" s="12">
        <v>103</v>
      </c>
      <c r="E5" s="11">
        <f t="shared" si="0"/>
        <v>182</v>
      </c>
      <c r="F5" s="11" t="s">
        <v>14</v>
      </c>
      <c r="G5" s="11">
        <f>194+212+192+80+67+147+128+183+71+75+187+182</f>
        <v>1718</v>
      </c>
      <c r="H5" s="14">
        <v>3715</v>
      </c>
      <c r="I5" s="14">
        <f>H5-G5-G7-G6</f>
        <v>1751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0</v>
      </c>
      <c r="D7" s="12">
        <v>3</v>
      </c>
      <c r="E7" s="11">
        <f t="shared" si="0"/>
        <v>3</v>
      </c>
      <c r="F7" s="11" t="s">
        <v>14</v>
      </c>
      <c r="G7" s="11">
        <f>0+151+1+12+1+75+2+1+3</f>
        <v>246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0+7+2+1+1+3</f>
        <v>14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0</v>
      </c>
      <c r="D9" s="19"/>
      <c r="E9" s="14">
        <f>30.61+31.24+32.95+63.63+62.6+62.75+61.88+62.41</f>
        <v>408.07</v>
      </c>
      <c r="F9" s="14" t="s">
        <v>14</v>
      </c>
      <c r="G9" s="14">
        <f>0.251002+0.253044+0.28337+0.559944+0.52584+0.53965+0.482664+0.518003</f>
        <v>3.413517</v>
      </c>
      <c r="H9" s="14">
        <v>4.26</v>
      </c>
      <c r="I9" s="14">
        <f>H9-G9</f>
        <v>0.846482999999999</v>
      </c>
      <c r="J9" s="20" t="s">
        <v>21</v>
      </c>
      <c r="K9" s="21">
        <v>0</v>
      </c>
      <c r="L9" s="14"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1.9305</v>
      </c>
      <c r="D11" s="11">
        <v>3.0645</v>
      </c>
      <c r="E11" s="11">
        <f>C11+D11</f>
        <v>4.995</v>
      </c>
      <c r="F11" s="11" t="s">
        <v>14</v>
      </c>
      <c r="G11" s="11">
        <f>2.916+2.106+3.9285+4.941+5.4+5.5215+3.78+5.616+10.287+5.4945+5.751+8.3835+3.7395+4.995</f>
        <v>72.8595</v>
      </c>
      <c r="H11" s="11"/>
      <c r="I11" s="11">
        <f>G11/(G3*0.1865)</f>
        <v>2.81055798792601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9.1816</v>
      </c>
      <c r="D12" s="11">
        <v>0</v>
      </c>
      <c r="E12" s="11">
        <f t="shared" ref="E12:E20" si="1">D12+C12</f>
        <v>9.1816</v>
      </c>
      <c r="F12" s="11" t="s">
        <v>14</v>
      </c>
      <c r="G12" s="11">
        <f>16.0816+6.2008+10.9112+15.1432+14.72+14.4072+5.4832+9.5312+10.8008+11.04+12.8064+15.0328+7.4336+9.1816</f>
        <v>158.7736</v>
      </c>
      <c r="H12" s="11"/>
      <c r="I12" s="11">
        <f>G12/(G3*0.1865)</f>
        <v>6.12469766813895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191</v>
      </c>
      <c r="D13" s="12">
        <v>236</v>
      </c>
      <c r="E13" s="11">
        <f t="shared" si="1"/>
        <v>427</v>
      </c>
      <c r="F13" s="11" t="s">
        <v>25</v>
      </c>
      <c r="G13" s="11">
        <f>145+157+466+386+373+204+281+313+273+424+344+249+410+427</f>
        <v>4452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347.05</v>
      </c>
      <c r="D14" s="12">
        <v>601.03</v>
      </c>
      <c r="E14" s="11">
        <f t="shared" si="1"/>
        <v>948.08</v>
      </c>
      <c r="F14" s="11" t="s">
        <v>25</v>
      </c>
      <c r="G14" s="11">
        <f>483.5+783.2+510.74+939.78+979.62+614.28+889+1094.8+1043.97+1077.03+1031.4+834.36+721.8+948.08</f>
        <v>11951.56</v>
      </c>
      <c r="H14" s="11"/>
      <c r="I14" s="11"/>
      <c r="J14" s="11">
        <f>(C14*K14+L14*D14)/1000</f>
        <v>2.897402</v>
      </c>
      <c r="K14" s="11">
        <v>2.98</v>
      </c>
      <c r="L14" s="11">
        <v>3.1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1.310285+2.0899372+1.404535+2.4071166+2.6790316+1.6754062+3.2865396+3.1698534+2.7357691+2.874285+2.887902+2.4751564+2.2589082+2.897402</f>
        <v>34.1521273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15</v>
      </c>
      <c r="D16" s="12">
        <v>15</v>
      </c>
      <c r="E16" s="11">
        <f t="shared" si="1"/>
        <v>30</v>
      </c>
      <c r="F16" s="11" t="s">
        <v>14</v>
      </c>
      <c r="G16" s="11">
        <f>16+12+36+30+24+21+21+16+25+30+28+21+31+30</f>
        <v>341</v>
      </c>
      <c r="H16" s="11"/>
      <c r="I16" s="11">
        <f>G16/(G3*0.1865)</f>
        <v>13.1540879896619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0.3+0.1+0.075+0.275+0.075+0.175+0.15</f>
        <v>1.15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2+2+2+2+2+2+2</f>
        <v>14</v>
      </c>
      <c r="H18" s="28"/>
      <c r="I18" s="28">
        <f>G18/(G3*0.1865)</f>
        <v>0.540050533299902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1.5</v>
      </c>
      <c r="D19" s="29">
        <v>0</v>
      </c>
      <c r="E19" s="11">
        <f t="shared" si="1"/>
        <v>1.5</v>
      </c>
      <c r="F19" s="11" t="s">
        <v>14</v>
      </c>
      <c r="G19" s="11">
        <f>1.5+1.5+1.5+1.5+1.5+1.5+1.5</f>
        <v>10.5</v>
      </c>
      <c r="H19" s="28"/>
      <c r="I19" s="28">
        <f>G19/(G3*0.1865)</f>
        <v>0.405037899974926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29">
        <v>5</v>
      </c>
      <c r="D20" s="29">
        <v>5</v>
      </c>
      <c r="E20" s="11">
        <f t="shared" si="1"/>
        <v>10</v>
      </c>
      <c r="F20" s="11" t="s">
        <v>34</v>
      </c>
      <c r="G20" s="11">
        <f>5+1+9+9+5+4+6+6+7+5+6+5+9+10</f>
        <v>87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11">
        <v>0</v>
      </c>
      <c r="D21" s="11">
        <v>0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640</v>
      </c>
      <c r="D22" s="29">
        <v>655</v>
      </c>
      <c r="E22" s="11">
        <f>D22+C22</f>
        <v>1295</v>
      </c>
      <c r="F22" s="11" t="s">
        <v>25</v>
      </c>
      <c r="G22" s="11">
        <f>77+1309+1375+1310+1255+648+838+1041+1082+1379+1014+706+1361+1295</f>
        <v>14690</v>
      </c>
      <c r="H22" s="30">
        <v>24</v>
      </c>
      <c r="I22" s="28">
        <f>E22/H22</f>
        <v>53.9583333333333</v>
      </c>
      <c r="J22" s="20" t="s">
        <v>93</v>
      </c>
      <c r="K22" s="11">
        <f>163+24+17.5+11+24+24</f>
        <v>263.5</v>
      </c>
      <c r="L22" s="11">
        <f>G22/K22</f>
        <v>55.7495256166983</v>
      </c>
      <c r="M22" s="11"/>
    </row>
    <row r="23" s="1" customFormat="1" ht="29" customHeight="1" spans="1:13">
      <c r="A23" s="8">
        <v>17</v>
      </c>
      <c r="B23" s="9" t="s">
        <v>39</v>
      </c>
      <c r="C23" s="29">
        <v>728</v>
      </c>
      <c r="D23" s="29">
        <v>744</v>
      </c>
      <c r="E23" s="11">
        <f>D23+C23</f>
        <v>1472</v>
      </c>
      <c r="F23" s="11" t="s">
        <v>25</v>
      </c>
      <c r="G23" s="11">
        <f>230+1465+1777+1642+1615+817+897+1369+1250+1724+1260+796+1560+1472</f>
        <v>17874</v>
      </c>
      <c r="H23" s="28"/>
      <c r="I23" s="28">
        <f>E23/H22</f>
        <v>61.3333333333333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24.5</v>
      </c>
      <c r="D24" s="29">
        <v>26.4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104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109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6.26</v>
      </c>
      <c r="D32" s="12">
        <v>6.23</v>
      </c>
      <c r="E32" s="11">
        <f t="shared" si="2"/>
        <v>12.49</v>
      </c>
      <c r="F32" s="11" t="s">
        <v>25</v>
      </c>
      <c r="G32" s="11">
        <f>7.75+5.98+6.54+6.6+6.52+7.63+6.51+6.63+6.56+12.58+12.6+12.61+12.49</f>
        <v>111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4</v>
      </c>
      <c r="D33" s="12">
        <v>3</v>
      </c>
      <c r="E33" s="11">
        <f t="shared" si="2"/>
        <v>7</v>
      </c>
      <c r="F33" s="11" t="s">
        <v>25</v>
      </c>
      <c r="G33" s="11">
        <f>5+6+6+6+7+6+7+15+8+8+7+9+13+7</f>
        <v>110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41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9.6795</v>
      </c>
      <c r="D35" s="11">
        <v>0</v>
      </c>
      <c r="E35" s="11">
        <f t="shared" si="2"/>
        <v>9.6795</v>
      </c>
      <c r="F35" s="11" t="s">
        <v>14</v>
      </c>
      <c r="G35" s="11">
        <f>7.8165+0+12.906+4.725+7.965+9.6795</f>
        <v>43.092</v>
      </c>
      <c r="H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25</v>
      </c>
      <c r="G37" s="11">
        <f>236+44+19+18+6+4</f>
        <v>327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260</v>
      </c>
      <c r="D38" s="12">
        <v>261</v>
      </c>
      <c r="E38" s="11">
        <f t="shared" si="2"/>
        <v>521</v>
      </c>
      <c r="F38" s="11" t="s">
        <v>25</v>
      </c>
      <c r="G38" s="11">
        <f>742+655+537+480+750+654+584+428+488+458+553+510+535+521</f>
        <v>7895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si="3"/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750*0</f>
        <v>0</v>
      </c>
      <c r="J40" s="27"/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86.86*1.12</f>
        <v>97.2832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3</v>
      </c>
      <c r="D42" s="29">
        <v>0</v>
      </c>
      <c r="E42" s="11">
        <f>D42+C42</f>
        <v>3</v>
      </c>
      <c r="F42" s="11" t="s">
        <v>34</v>
      </c>
      <c r="G42" s="11">
        <f>3+3+1+1+5+1+2+2+2+3+2+2+3</f>
        <v>30</v>
      </c>
      <c r="H42" s="28"/>
      <c r="I42" s="11">
        <v>21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7" workbookViewId="0">
      <pane xSplit="2" topLeftCell="C1" activePane="topRight" state="frozen"/>
      <selection/>
      <selection pane="topRight" activeCell="G12" sqref="G12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7" width="10.375" style="2"/>
    <col min="18" max="16384" width="9" style="2"/>
  </cols>
  <sheetData>
    <row r="1" s="1" customFormat="1" ht="42" customHeight="1" spans="1:13">
      <c r="A1" s="4" t="s">
        <v>110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6.5</v>
      </c>
      <c r="D3" s="10">
        <v>7.5</v>
      </c>
      <c r="E3" s="11">
        <f t="shared" ref="E3:E8" si="0">C3+D3</f>
        <v>14</v>
      </c>
      <c r="F3" s="11" t="s">
        <v>14</v>
      </c>
      <c r="G3" s="11">
        <f>3+6.5+13+13+10.5+9.5+7.5+5.5+9.5+14+14.5+9+9.5+14+14</f>
        <v>153</v>
      </c>
      <c r="H3" s="11">
        <v>231</v>
      </c>
      <c r="I3" s="11">
        <f>H3-G3</f>
        <v>78</v>
      </c>
      <c r="J3" s="11"/>
      <c r="K3" s="11"/>
      <c r="L3" s="11"/>
      <c r="M3" s="12">
        <f>I3/13</f>
        <v>6</v>
      </c>
    </row>
    <row r="4" s="1" customFormat="1" ht="56" customHeight="1" spans="1:13">
      <c r="A4" s="13">
        <v>2</v>
      </c>
      <c r="B4" s="9" t="s">
        <v>15</v>
      </c>
      <c r="C4" s="12">
        <v>16</v>
      </c>
      <c r="D4" s="12"/>
      <c r="E4" s="11">
        <f t="shared" si="0"/>
        <v>16</v>
      </c>
      <c r="F4" s="11" t="s">
        <v>14</v>
      </c>
      <c r="G4" s="11">
        <f>2+6+6+14+12+12+6+8+6+10+12+16+8+10+16</f>
        <v>144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102</v>
      </c>
      <c r="D5" s="12">
        <v>102</v>
      </c>
      <c r="E5" s="11">
        <f t="shared" si="0"/>
        <v>204</v>
      </c>
      <c r="F5" s="11" t="s">
        <v>14</v>
      </c>
      <c r="G5" s="11">
        <f>194+212+192+80+67+147+128+183+71+75+187+182+204</f>
        <v>1922</v>
      </c>
      <c r="H5" s="14">
        <v>3715</v>
      </c>
      <c r="I5" s="14">
        <f>H5-G5-G7-G6</f>
        <v>1547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0</v>
      </c>
      <c r="D7" s="12">
        <v>0</v>
      </c>
      <c r="E7" s="11">
        <f t="shared" si="0"/>
        <v>0</v>
      </c>
      <c r="F7" s="11" t="s">
        <v>14</v>
      </c>
      <c r="G7" s="11">
        <f>0+151+1+12+1+75+2+1+3</f>
        <v>246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2</v>
      </c>
      <c r="D8" s="12">
        <v>0</v>
      </c>
      <c r="E8" s="11">
        <f t="shared" si="0"/>
        <v>2</v>
      </c>
      <c r="F8" s="11" t="s">
        <v>14</v>
      </c>
      <c r="G8" s="11">
        <f>0+7+2+1+1+3+2</f>
        <v>16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0</v>
      </c>
      <c r="D9" s="19"/>
      <c r="E9" s="14">
        <f>30.61+31.24+32.95+63.63+62.6+62.75+61.88+62.41</f>
        <v>408.07</v>
      </c>
      <c r="F9" s="14" t="s">
        <v>14</v>
      </c>
      <c r="G9" s="14">
        <f>0.251002+0.253044+0.28337+0.559944+0.52584+0.53965+0.482664+0.518003</f>
        <v>3.413517</v>
      </c>
      <c r="H9" s="14">
        <v>4.26</v>
      </c>
      <c r="I9" s="14">
        <f>H9-G9</f>
        <v>0.846482999999999</v>
      </c>
      <c r="J9" s="20" t="s">
        <v>21</v>
      </c>
      <c r="K9" s="21">
        <v>0</v>
      </c>
      <c r="L9" s="14"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7.4655</v>
      </c>
      <c r="D11" s="11">
        <v>0</v>
      </c>
      <c r="E11" s="11">
        <f>C11+D11</f>
        <v>7.4655</v>
      </c>
      <c r="F11" s="11" t="s">
        <v>14</v>
      </c>
      <c r="G11" s="11">
        <f>2.916+2.106+3.9285+4.941+5.4+5.5215+3.78+5.616+10.287+5.4945+5.751+8.3835+3.7395+4.995+7.4655</f>
        <v>80.325</v>
      </c>
      <c r="H11" s="11"/>
      <c r="I11" s="11">
        <f>G11/(G3*0.1865)</f>
        <v>2.81501340482574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14.996</v>
      </c>
      <c r="D12" s="11">
        <v>0</v>
      </c>
      <c r="E12" s="11">
        <f t="shared" ref="E12:E20" si="1">D12+C12</f>
        <v>14.996</v>
      </c>
      <c r="F12" s="11" t="s">
        <v>14</v>
      </c>
      <c r="G12" s="11">
        <f>16.0816+6.2008+10.9112+15.1432+14.72+14.4072+5.4832+9.5312+10.8008+11.04+12.8064+15.0328+7.4336+9.1816+14.996</f>
        <v>173.7696</v>
      </c>
      <c r="H12" s="11"/>
      <c r="I12" s="11">
        <f>G12/(G3*0.1865)</f>
        <v>6.08980707564527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214</v>
      </c>
      <c r="D13" s="12">
        <v>177</v>
      </c>
      <c r="E13" s="11">
        <f t="shared" si="1"/>
        <v>391</v>
      </c>
      <c r="F13" s="11" t="s">
        <v>25</v>
      </c>
      <c r="G13" s="11">
        <f>145+157+466+386+373+204+281+313+273+424+344+249+410+427+391</f>
        <v>4843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509.78</v>
      </c>
      <c r="D14" s="12">
        <v>572.9</v>
      </c>
      <c r="E14" s="11">
        <f t="shared" si="1"/>
        <v>1082.68</v>
      </c>
      <c r="F14" s="11" t="s">
        <v>25</v>
      </c>
      <c r="G14" s="11">
        <f>483.5+783.2+510.74+939.78+979.62+614.28+889+1094.8+1043.97+1077.03+1031.4+834.36+721.8+948.08+1082.68</f>
        <v>13034.24</v>
      </c>
      <c r="H14" s="11"/>
      <c r="I14" s="11"/>
      <c r="J14" s="11">
        <f>(C14*K14+L14*D14)/1000</f>
        <v>3.3175156</v>
      </c>
      <c r="K14" s="11">
        <v>3.17</v>
      </c>
      <c r="L14" s="11">
        <v>2.97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1.310285+2.0899372+1.404535+2.4071166+2.6790316+1.6754062+3.2865396+3.1698534+2.7357691+2.874285+2.887902+2.4751564+2.2589082+2.897402+3.3175156</f>
        <v>37.4696429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18</v>
      </c>
      <c r="D16" s="12">
        <v>17</v>
      </c>
      <c r="E16" s="11">
        <f t="shared" si="1"/>
        <v>35</v>
      </c>
      <c r="F16" s="11" t="s">
        <v>14</v>
      </c>
      <c r="G16" s="11">
        <f>16+12+36+30+24+21+21+16+25+30+28+21+31+30+35</f>
        <v>376</v>
      </c>
      <c r="H16" s="11"/>
      <c r="I16" s="11">
        <f>G16/(G3*0.1865)</f>
        <v>13.177031312972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0.3+0.1+0.075+0.275+0.075+0.175+0.15</f>
        <v>1.15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2+2+2+2+2+2+2+2</f>
        <v>16</v>
      </c>
      <c r="H18" s="28"/>
      <c r="I18" s="28">
        <f>G18/(G3*0.1865)</f>
        <v>0.560724736722213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1.5</v>
      </c>
      <c r="D19" s="29">
        <v>0</v>
      </c>
      <c r="E19" s="11">
        <f t="shared" si="1"/>
        <v>1.5</v>
      </c>
      <c r="F19" s="11" t="s">
        <v>14</v>
      </c>
      <c r="G19" s="11">
        <f>1.5+1.5+1.5+1.5+1.5+1.5+1.5+1.5</f>
        <v>12</v>
      </c>
      <c r="H19" s="28"/>
      <c r="I19" s="28">
        <f>G19/(G3*0.1865)</f>
        <v>0.42054355254166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29">
        <v>2</v>
      </c>
      <c r="D20" s="29">
        <v>6</v>
      </c>
      <c r="E20" s="11">
        <f t="shared" si="1"/>
        <v>8</v>
      </c>
      <c r="F20" s="11" t="s">
        <v>34</v>
      </c>
      <c r="G20" s="11">
        <f>5+1+9+9+5+4+6+6+7+5+6+5+9+10+8</f>
        <v>95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11">
        <v>0</v>
      </c>
      <c r="D21" s="11">
        <v>0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680</v>
      </c>
      <c r="D22" s="29">
        <v>678</v>
      </c>
      <c r="E22" s="11">
        <f>D22+C22</f>
        <v>1358</v>
      </c>
      <c r="F22" s="11" t="s">
        <v>25</v>
      </c>
      <c r="G22" s="11">
        <f>77+1309+1375+1310+1255+648+838+1041+1082+1379+1014+706+1361+1295+1358</f>
        <v>16048</v>
      </c>
      <c r="H22" s="30">
        <v>24</v>
      </c>
      <c r="I22" s="28">
        <f>E22/H22</f>
        <v>56.5833333333333</v>
      </c>
      <c r="J22" s="20" t="s">
        <v>93</v>
      </c>
      <c r="K22" s="11">
        <f>163+24+17.5+11+24+24+24</f>
        <v>287.5</v>
      </c>
      <c r="L22" s="11">
        <f>G22/K22</f>
        <v>55.8191304347826</v>
      </c>
      <c r="M22" s="11"/>
    </row>
    <row r="23" s="1" customFormat="1" ht="29" customHeight="1" spans="1:13">
      <c r="A23" s="8">
        <v>17</v>
      </c>
      <c r="B23" s="9" t="s">
        <v>39</v>
      </c>
      <c r="C23" s="29">
        <v>820</v>
      </c>
      <c r="D23" s="29">
        <v>864</v>
      </c>
      <c r="E23" s="11">
        <f>D23+C23</f>
        <v>1684</v>
      </c>
      <c r="F23" s="11" t="s">
        <v>25</v>
      </c>
      <c r="G23" s="11">
        <f>230+1465+1777+1642+1615+817+897+1369+1250+1724+1260+796+1560+1472+1684</f>
        <v>19558</v>
      </c>
      <c r="H23" s="28"/>
      <c r="I23" s="28">
        <f>E23/H22</f>
        <v>70.1666666666667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0</v>
      </c>
      <c r="D24" s="29">
        <v>0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 t="s">
        <v>111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104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112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6.34</v>
      </c>
      <c r="D32" s="12">
        <v>4.16</v>
      </c>
      <c r="E32" s="11">
        <f t="shared" si="2"/>
        <v>10.5</v>
      </c>
      <c r="F32" s="11" t="s">
        <v>25</v>
      </c>
      <c r="G32" s="11">
        <f>7.75+5.98+6.54+6.6+6.52+7.63+6.51+6.63+6.56+12.58+12.6+12.61+12.49+10.5</f>
        <v>121.5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4</v>
      </c>
      <c r="D33" s="12">
        <v>4</v>
      </c>
      <c r="E33" s="11">
        <f t="shared" si="2"/>
        <v>8</v>
      </c>
      <c r="F33" s="11" t="s">
        <v>25</v>
      </c>
      <c r="G33" s="11">
        <f>5+6+6+6+7+6+7+15+8+8+7+9+13+7+8</f>
        <v>118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41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5.157</v>
      </c>
      <c r="D35" s="11">
        <v>1.6605</v>
      </c>
      <c r="E35" s="11">
        <f t="shared" si="2"/>
        <v>6.8175</v>
      </c>
      <c r="F35" s="11" t="s">
        <v>14</v>
      </c>
      <c r="G35" s="11">
        <f>7.8165+0+12.906+4.725+7.965+9.6795+6.8175</f>
        <v>49.9095</v>
      </c>
      <c r="H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6</v>
      </c>
      <c r="D37" s="12">
        <v>0</v>
      </c>
      <c r="E37" s="11">
        <f t="shared" si="2"/>
        <v>6</v>
      </c>
      <c r="F37" s="11" t="s">
        <v>25</v>
      </c>
      <c r="G37" s="11">
        <f>236+44+19+18+6+4+6</f>
        <v>333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255</v>
      </c>
      <c r="D38" s="12">
        <v>244</v>
      </c>
      <c r="E38" s="11">
        <f t="shared" si="2"/>
        <v>499</v>
      </c>
      <c r="F38" s="11" t="s">
        <v>25</v>
      </c>
      <c r="G38" s="11">
        <f>742+655+537+480+750+654+584+428+488+458+553+510+535+521+499</f>
        <v>8394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si="3"/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750*0</f>
        <v>0</v>
      </c>
      <c r="J40" s="27"/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86.86*1.12</f>
        <v>97.2832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2</v>
      </c>
      <c r="D42" s="29">
        <v>0</v>
      </c>
      <c r="E42" s="11">
        <f>D42+C42</f>
        <v>2</v>
      </c>
      <c r="F42" s="11" t="s">
        <v>34</v>
      </c>
      <c r="G42" s="11">
        <f>3+3+1+1+5+1+2+2+2+3+2+2+3+2</f>
        <v>32</v>
      </c>
      <c r="H42" s="28"/>
      <c r="I42" s="11">
        <v>21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7" workbookViewId="0">
      <pane xSplit="2" topLeftCell="C1" activePane="topRight" state="frozen"/>
      <selection/>
      <selection pane="topRight" activeCell="G12" sqref="G12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7" width="10.375" style="2"/>
    <col min="18" max="16384" width="9" style="2"/>
  </cols>
  <sheetData>
    <row r="1" s="1" customFormat="1" ht="42" customHeight="1" spans="1:13">
      <c r="A1" s="4" t="s">
        <v>113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7.5</v>
      </c>
      <c r="D3" s="10">
        <v>8</v>
      </c>
      <c r="E3" s="11">
        <f t="shared" ref="E3:E8" si="0">C3+D3</f>
        <v>15.5</v>
      </c>
      <c r="F3" s="11" t="s">
        <v>14</v>
      </c>
      <c r="G3" s="11">
        <f>3+6.5+13+13+10.5+9.5+7.5+5.5+9.5+14+14.5+9+9.5+14+14+15.5</f>
        <v>168.5</v>
      </c>
      <c r="H3" s="11">
        <v>231</v>
      </c>
      <c r="I3" s="11">
        <f>H3-G3</f>
        <v>62.5</v>
      </c>
      <c r="J3" s="11"/>
      <c r="K3" s="11"/>
      <c r="L3" s="11"/>
      <c r="M3" s="12">
        <f>I3/12</f>
        <v>5.20833333333333</v>
      </c>
    </row>
    <row r="4" s="1" customFormat="1" ht="56" customHeight="1" spans="1:13">
      <c r="A4" s="13">
        <v>2</v>
      </c>
      <c r="B4" s="9" t="s">
        <v>15</v>
      </c>
      <c r="C4" s="12">
        <v>12</v>
      </c>
      <c r="D4" s="12"/>
      <c r="E4" s="11">
        <f t="shared" si="0"/>
        <v>12</v>
      </c>
      <c r="F4" s="11" t="s">
        <v>14</v>
      </c>
      <c r="G4" s="11">
        <f>2+6+6+14+12+12+6+8+6+10+12+16+8+10+16+12</f>
        <v>156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86</v>
      </c>
      <c r="D5" s="12">
        <v>91</v>
      </c>
      <c r="E5" s="11">
        <f t="shared" si="0"/>
        <v>177</v>
      </c>
      <c r="F5" s="11" t="s">
        <v>14</v>
      </c>
      <c r="G5" s="11">
        <f>194+212+192+80+67+147+128+183+71+75+187+182+204+177</f>
        <v>2099</v>
      </c>
      <c r="H5" s="14">
        <v>3715</v>
      </c>
      <c r="I5" s="14">
        <f>H5-G5-G7-G6</f>
        <v>1370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0</v>
      </c>
      <c r="D7" s="12">
        <v>0</v>
      </c>
      <c r="E7" s="11">
        <f t="shared" si="0"/>
        <v>0</v>
      </c>
      <c r="F7" s="11" t="s">
        <v>14</v>
      </c>
      <c r="G7" s="11">
        <f>0+151+1+12+1+75+2+1+3</f>
        <v>246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0+7+2+1+1+3+2</f>
        <v>16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0</v>
      </c>
      <c r="D9" s="19"/>
      <c r="E9" s="14">
        <f>30.61+31.24+32.95+63.63+62.6+62.75+61.88+62.41</f>
        <v>408.07</v>
      </c>
      <c r="F9" s="14" t="s">
        <v>14</v>
      </c>
      <c r="G9" s="14">
        <f>0.251002+0.253044+0.28337+0.559944+0.52584+0.53965+0.482664+0.518003</f>
        <v>3.413517</v>
      </c>
      <c r="H9" s="14">
        <v>4.26</v>
      </c>
      <c r="I9" s="14">
        <f>H9-G9</f>
        <v>0.846482999999999</v>
      </c>
      <c r="J9" s="20" t="s">
        <v>21</v>
      </c>
      <c r="K9" s="21">
        <v>0</v>
      </c>
      <c r="L9" s="14"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5.616</v>
      </c>
      <c r="D11" s="11">
        <v>0</v>
      </c>
      <c r="E11" s="11">
        <f>C11+D11</f>
        <v>5.616</v>
      </c>
      <c r="F11" s="11" t="s">
        <v>14</v>
      </c>
      <c r="G11" s="11">
        <f>2.916+2.106+3.9285+4.941+5.4+5.5215+3.78+5.616+10.287+5.4945+5.751+8.3835+3.7395+4.995+7.4655+5.616</f>
        <v>85.941</v>
      </c>
      <c r="H11" s="11"/>
      <c r="I11" s="11">
        <f>G11/(G3*0.1865)</f>
        <v>2.73477537967081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17.0384</v>
      </c>
      <c r="D12" s="11">
        <v>0</v>
      </c>
      <c r="E12" s="11">
        <f t="shared" ref="E12:E20" si="1">D12+C12</f>
        <v>17.0384</v>
      </c>
      <c r="F12" s="11" t="s">
        <v>14</v>
      </c>
      <c r="G12" s="11">
        <f>16.0816+6.2008+10.9112+15.1432+14.72+14.4072+5.4832+9.5312+10.8008+11.04+12.8064+15.0328+7.4336+9.1816+14.996+17.0384</f>
        <v>190.808</v>
      </c>
      <c r="H12" s="11"/>
      <c r="I12" s="11">
        <f>G12/(G3*0.1865)</f>
        <v>6.07180531578906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221</v>
      </c>
      <c r="D13" s="12">
        <v>225</v>
      </c>
      <c r="E13" s="11">
        <f t="shared" si="1"/>
        <v>446</v>
      </c>
      <c r="F13" s="11" t="s">
        <v>25</v>
      </c>
      <c r="G13" s="11">
        <f>145+157+466+386+373+204+281+313+273+424+344+249+410+427+391+446</f>
        <v>5289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524.75</v>
      </c>
      <c r="D14" s="12">
        <v>566.31</v>
      </c>
      <c r="E14" s="11">
        <f t="shared" si="1"/>
        <v>1091.06</v>
      </c>
      <c r="F14" s="11" t="s">
        <v>25</v>
      </c>
      <c r="G14" s="11">
        <f>483.5+783.2+510.74+939.78+979.62+614.28+889+1094.8+1043.97+1077.03+1031.4+834.36+721.8+948.08+1082.68+1091.06</f>
        <v>14125.3</v>
      </c>
      <c r="H14" s="11"/>
      <c r="I14" s="11"/>
      <c r="J14" s="11">
        <f>(C14*K14+L14*D14)/1000</f>
        <v>3.1317578</v>
      </c>
      <c r="K14" s="11">
        <v>2.86</v>
      </c>
      <c r="L14" s="11">
        <v>2.88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1.310285+2.0899372+1.404535+2.4071166+2.6790316+1.6754062+3.2865396+3.1698534+2.7357691+2.874285+2.887902+2.4751564+2.2589082+2.897402+3.3175156+3.1317578</f>
        <v>40.6014007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18</v>
      </c>
      <c r="D16" s="12">
        <v>21</v>
      </c>
      <c r="E16" s="11">
        <f t="shared" si="1"/>
        <v>39</v>
      </c>
      <c r="F16" s="11" t="s">
        <v>14</v>
      </c>
      <c r="G16" s="11">
        <f>16+12+36+30+24+21+21+16+25+30+28+21+31+30+35+39</f>
        <v>415</v>
      </c>
      <c r="H16" s="11"/>
      <c r="I16" s="11">
        <f>G16/(G3*0.1865)</f>
        <v>13.2059410824098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0.3+0.1+0.075+0.275+0.075+0.175+0.15</f>
        <v>1.15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2+2+2+2+2+2+2+2</f>
        <v>16</v>
      </c>
      <c r="H18" s="28"/>
      <c r="I18" s="28">
        <f>G18/(G3*0.1865)</f>
        <v>0.509144716430259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1.5+1.5+1.5+1.5+1.5+1.5+1.5+1.5</f>
        <v>12</v>
      </c>
      <c r="H19" s="28"/>
      <c r="I19" s="28">
        <f>G19/(G3*0.1865)</f>
        <v>0.381858537322694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29">
        <v>6</v>
      </c>
      <c r="D20" s="29">
        <v>3</v>
      </c>
      <c r="E20" s="11">
        <f t="shared" si="1"/>
        <v>9</v>
      </c>
      <c r="F20" s="11" t="s">
        <v>34</v>
      </c>
      <c r="G20" s="11">
        <f>5+1+9+9+5+4+6+6+7+5+6+5+9+10+8+9</f>
        <v>104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11">
        <v>0</v>
      </c>
      <c r="D21" s="11">
        <v>0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669</v>
      </c>
      <c r="D22" s="29">
        <v>678</v>
      </c>
      <c r="E22" s="11">
        <f>D22+C22</f>
        <v>1347</v>
      </c>
      <c r="F22" s="11" t="s">
        <v>25</v>
      </c>
      <c r="G22" s="11">
        <f>77+1309+1375+1310+1255+648+838+1041+1082+1379+1014+706+1361+1295+1358+1347</f>
        <v>17395</v>
      </c>
      <c r="H22" s="30">
        <v>24</v>
      </c>
      <c r="I22" s="28">
        <f>E22/H22</f>
        <v>56.125</v>
      </c>
      <c r="J22" s="20" t="s">
        <v>93</v>
      </c>
      <c r="K22" s="11">
        <f>163+24+17.5+11+24+24+24+24</f>
        <v>311.5</v>
      </c>
      <c r="L22" s="11">
        <f>G22/K22</f>
        <v>55.8426966292135</v>
      </c>
      <c r="M22" s="11"/>
    </row>
    <row r="23" s="1" customFormat="1" ht="29" customHeight="1" spans="1:13">
      <c r="A23" s="8">
        <v>17</v>
      </c>
      <c r="B23" s="9" t="s">
        <v>39</v>
      </c>
      <c r="C23" s="29">
        <v>858</v>
      </c>
      <c r="D23" s="29">
        <v>866</v>
      </c>
      <c r="E23" s="11">
        <f>D23+C23</f>
        <v>1724</v>
      </c>
      <c r="F23" s="11" t="s">
        <v>25</v>
      </c>
      <c r="G23" s="11">
        <f>230+1465+1777+1642+1615+817+897+1369+1250+1724+1260+796+1560+1472+1684+1724</f>
        <v>21282</v>
      </c>
      <c r="H23" s="28"/>
      <c r="I23" s="28">
        <f>E23/H22</f>
        <v>71.8333333333333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0</v>
      </c>
      <c r="D24" s="29">
        <v>0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104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114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7.71</v>
      </c>
      <c r="D32" s="12">
        <v>6.25</v>
      </c>
      <c r="E32" s="11">
        <f t="shared" si="2"/>
        <v>13.96</v>
      </c>
      <c r="F32" s="11" t="s">
        <v>25</v>
      </c>
      <c r="G32" s="11">
        <f>7.75+5.98+6.54+6.6+6.52+7.63+6.51+6.63+6.56+12.58+12.6+12.61+12.49+10.5+13.96</f>
        <v>135.46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4</v>
      </c>
      <c r="D33" s="12">
        <v>3</v>
      </c>
      <c r="E33" s="11">
        <f t="shared" si="2"/>
        <v>7</v>
      </c>
      <c r="F33" s="11" t="s">
        <v>25</v>
      </c>
      <c r="G33" s="11">
        <f>5+6+6+6+7+6+7+15+8+8+7+9+13+7+8+7</f>
        <v>125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41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5.6025</v>
      </c>
      <c r="D35" s="11">
        <v>0</v>
      </c>
      <c r="E35" s="11">
        <f t="shared" si="2"/>
        <v>5.6025</v>
      </c>
      <c r="F35" s="11" t="s">
        <v>14</v>
      </c>
      <c r="G35" s="11">
        <f>7.8165+0+12.906+4.725+7.965+9.6795+6.8175+5.6025</f>
        <v>55.512</v>
      </c>
      <c r="H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25</v>
      </c>
      <c r="G37" s="11">
        <f>236+44+19+18+6+4+6</f>
        <v>333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265</v>
      </c>
      <c r="D38" s="12">
        <v>274</v>
      </c>
      <c r="E38" s="11">
        <f t="shared" si="2"/>
        <v>539</v>
      </c>
      <c r="F38" s="11" t="s">
        <v>25</v>
      </c>
      <c r="G38" s="11">
        <f>742+655+537+480+750+654+584+428+488+458+553+510+535+521+499+539</f>
        <v>8933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si="3"/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750*0</f>
        <v>0</v>
      </c>
      <c r="J40" s="27"/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86.86*1.12</f>
        <v>97.2832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2</v>
      </c>
      <c r="D42" s="29">
        <v>0</v>
      </c>
      <c r="E42" s="11">
        <f>D42+C42</f>
        <v>2</v>
      </c>
      <c r="F42" s="11" t="s">
        <v>34</v>
      </c>
      <c r="G42" s="11">
        <f>3+3+1+1+5+1+2+2+2+3+2+2+3+2+2</f>
        <v>34</v>
      </c>
      <c r="H42" s="28"/>
      <c r="I42" s="11">
        <v>21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6" workbookViewId="0">
      <pane xSplit="2" topLeftCell="C1" activePane="topRight" state="frozen"/>
      <selection/>
      <selection pane="topRight" activeCell="G12" sqref="G12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7" width="10.375" style="2"/>
    <col min="18" max="16384" width="9" style="2"/>
  </cols>
  <sheetData>
    <row r="1" s="1" customFormat="1" ht="42" customHeight="1" spans="1:13">
      <c r="A1" s="4" t="s">
        <v>115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7.5</v>
      </c>
      <c r="D3" s="10">
        <v>7.5</v>
      </c>
      <c r="E3" s="11">
        <f t="shared" ref="E3:E8" si="0">C3+D3</f>
        <v>15</v>
      </c>
      <c r="F3" s="11" t="s">
        <v>14</v>
      </c>
      <c r="G3" s="11">
        <f>3+6.5+13+13+10.5+9.5+7.5+5.5+9.5+14+14.5+9+9.5+14+14+15.5+15</f>
        <v>183.5</v>
      </c>
      <c r="H3" s="11">
        <v>231</v>
      </c>
      <c r="I3" s="11">
        <f>H3-G3</f>
        <v>47.5</v>
      </c>
      <c r="J3" s="11"/>
      <c r="K3" s="11"/>
      <c r="L3" s="11"/>
      <c r="M3" s="12">
        <f>I3/11</f>
        <v>4.31818181818182</v>
      </c>
    </row>
    <row r="4" s="1" customFormat="1" ht="56" customHeight="1" spans="1:13">
      <c r="A4" s="13">
        <v>2</v>
      </c>
      <c r="B4" s="9" t="s">
        <v>15</v>
      </c>
      <c r="C4" s="12">
        <v>18</v>
      </c>
      <c r="D4" s="12"/>
      <c r="E4" s="11">
        <f t="shared" si="0"/>
        <v>18</v>
      </c>
      <c r="F4" s="11" t="s">
        <v>14</v>
      </c>
      <c r="G4" s="11">
        <f>2+6+6+14+12+12+6+8+6+10+12+16+8+10+16+12+18</f>
        <v>174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97</v>
      </c>
      <c r="D5" s="12">
        <v>110</v>
      </c>
      <c r="E5" s="11">
        <f t="shared" si="0"/>
        <v>207</v>
      </c>
      <c r="F5" s="11" t="s">
        <v>14</v>
      </c>
      <c r="G5" s="11">
        <f>194+212+192+80+67+147+128+183+71+75+187+182+204+177+207</f>
        <v>2306</v>
      </c>
      <c r="H5" s="14">
        <v>3715</v>
      </c>
      <c r="I5" s="14">
        <f>H5-G5-G7-G6</f>
        <v>1162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0</v>
      </c>
      <c r="D7" s="12">
        <v>1</v>
      </c>
      <c r="E7" s="11">
        <f t="shared" si="0"/>
        <v>1</v>
      </c>
      <c r="F7" s="11" t="s">
        <v>14</v>
      </c>
      <c r="G7" s="11">
        <f>0+151+1+12+1+75+2+1+3+1</f>
        <v>247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0</v>
      </c>
      <c r="D8" s="12">
        <v>1</v>
      </c>
      <c r="E8" s="11">
        <f t="shared" si="0"/>
        <v>1</v>
      </c>
      <c r="F8" s="11" t="s">
        <v>14</v>
      </c>
      <c r="G8" s="11">
        <f>0+7+2+1+1+3+2+1</f>
        <v>17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0</v>
      </c>
      <c r="D9" s="19"/>
      <c r="E9" s="14">
        <f>30.61+31.24+32.95+63.63+62.6+62.75+61.88+62.41</f>
        <v>408.07</v>
      </c>
      <c r="F9" s="14" t="s">
        <v>14</v>
      </c>
      <c r="G9" s="14">
        <f>0.251002+0.253044+0.28337+0.559944+0.52584+0.53965+0.482664+0.518003</f>
        <v>3.413517</v>
      </c>
      <c r="H9" s="14">
        <v>4.26</v>
      </c>
      <c r="I9" s="14">
        <f>H9-G9</f>
        <v>0.846482999999999</v>
      </c>
      <c r="J9" s="20" t="s">
        <v>21</v>
      </c>
      <c r="K9" s="21">
        <v>0</v>
      </c>
      <c r="L9" s="14"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7.6005</v>
      </c>
      <c r="D11" s="11">
        <v>0</v>
      </c>
      <c r="E11" s="11">
        <f>C11+D11</f>
        <v>7.6005</v>
      </c>
      <c r="F11" s="11" t="s">
        <v>14</v>
      </c>
      <c r="G11" s="11">
        <f>2.916+2.106+3.9285+4.941+5.4+5.5215+3.78+5.616+10.287+5.4945+5.751+8.3835+3.7395+4.995+7.4655+5.616+7.6005</f>
        <v>93.5415</v>
      </c>
      <c r="H11" s="11"/>
      <c r="I11" s="11">
        <f>G11/(G3*0.1865)</f>
        <v>2.7333133661088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14.8488</v>
      </c>
      <c r="D12" s="11">
        <v>0</v>
      </c>
      <c r="E12" s="11">
        <f t="shared" ref="E12:E20" si="1">D12+C12</f>
        <v>14.8488</v>
      </c>
      <c r="F12" s="11" t="s">
        <v>14</v>
      </c>
      <c r="G12" s="11">
        <f>16.0816+6.2008+10.9112+15.1432+14.72+14.4072+5.4832+9.5312+10.8008+11.04+12.8064+15.0328+7.4336+9.1816+14.996+17.0384+14.8488</f>
        <v>205.6568</v>
      </c>
      <c r="H12" s="11"/>
      <c r="I12" s="11">
        <f>G12/(G3*0.1865)</f>
        <v>6.00935927124501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235</v>
      </c>
      <c r="D13" s="12">
        <v>220</v>
      </c>
      <c r="E13" s="11">
        <f t="shared" si="1"/>
        <v>455</v>
      </c>
      <c r="F13" s="11" t="s">
        <v>25</v>
      </c>
      <c r="G13" s="11">
        <f>145+157+466+386+373+204+281+313+273+424+344+249+410+427+391+446+455</f>
        <v>5744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556.03</v>
      </c>
      <c r="D14" s="12">
        <v>539.34</v>
      </c>
      <c r="E14" s="11">
        <f t="shared" si="1"/>
        <v>1095.37</v>
      </c>
      <c r="F14" s="11" t="s">
        <v>25</v>
      </c>
      <c r="G14" s="11">
        <f>483.5+783.2+510.74+939.78+979.62+614.28+889+1094.8+1043.97+1077.03+1031.4+834.36+721.8+948.08+1082.68+1091.06+1095.37</f>
        <v>15220.67</v>
      </c>
      <c r="H14" s="11"/>
      <c r="I14" s="11"/>
      <c r="J14" s="11">
        <f>(C14*K14+L14*D14)/1000</f>
        <v>3.0931685</v>
      </c>
      <c r="K14" s="11">
        <v>2.75</v>
      </c>
      <c r="L14" s="11">
        <v>2.9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1.310285+2.0899372+1.404535+2.4071166+2.6790316+1.6754062+3.2865396+3.1698534+2.7357691+2.874285+2.887902+2.4751564+2.2589082+2.897402+3.3175156+3.1317578+3.0931685</f>
        <v>43.6945692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15</v>
      </c>
      <c r="D16" s="12">
        <v>18</v>
      </c>
      <c r="E16" s="11">
        <f t="shared" si="1"/>
        <v>33</v>
      </c>
      <c r="F16" s="11" t="s">
        <v>14</v>
      </c>
      <c r="G16" s="11">
        <f>16+12+36+30+24+21+21+16+25+30+28+21+31+30+35+39+33</f>
        <v>448</v>
      </c>
      <c r="H16" s="11"/>
      <c r="I16" s="11">
        <f>G16/(G3*0.1865)</f>
        <v>13.0907072050025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0.3+0.1+0.075+0.275+0.075+0.175+0.15</f>
        <v>1.15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2+2+2+2+2+2+2+2+2</f>
        <v>18</v>
      </c>
      <c r="H18" s="28"/>
      <c r="I18" s="28">
        <f>G18/(G3*0.1865)</f>
        <v>0.525965914486708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1.5</v>
      </c>
      <c r="D19" s="29">
        <v>0</v>
      </c>
      <c r="E19" s="11">
        <f t="shared" si="1"/>
        <v>1.5</v>
      </c>
      <c r="F19" s="11" t="s">
        <v>14</v>
      </c>
      <c r="G19" s="11">
        <f>1.5+1.5+1.5+1.5+1.5+1.5+1.5+1.5+1.5</f>
        <v>13.5</v>
      </c>
      <c r="H19" s="28"/>
      <c r="I19" s="28">
        <f>G19/(G3*0.1865)</f>
        <v>0.394474435865031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29">
        <v>3</v>
      </c>
      <c r="D20" s="29">
        <v>2</v>
      </c>
      <c r="E20" s="11">
        <f t="shared" si="1"/>
        <v>5</v>
      </c>
      <c r="F20" s="11" t="s">
        <v>34</v>
      </c>
      <c r="G20" s="11">
        <f>5+1+9+9+5+4+6+6+7+5+6+5+9+10+8+9+5</f>
        <v>109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11">
        <v>0</v>
      </c>
      <c r="D21" s="11">
        <v>0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655</v>
      </c>
      <c r="D22" s="29">
        <v>657</v>
      </c>
      <c r="E22" s="11">
        <f>D22+C22</f>
        <v>1312</v>
      </c>
      <c r="F22" s="11" t="s">
        <v>25</v>
      </c>
      <c r="G22" s="11">
        <f>77+1309+1375+1310+1255+648+838+1041+1082+1379+1014+706+1361+1295+1358+1347+1312</f>
        <v>18707</v>
      </c>
      <c r="H22" s="30">
        <v>24</v>
      </c>
      <c r="I22" s="28">
        <f>E22/H22</f>
        <v>54.6666666666667</v>
      </c>
      <c r="J22" s="20" t="s">
        <v>93</v>
      </c>
      <c r="K22" s="11">
        <f>163+24+17.5+11+24+24+24+24+24</f>
        <v>335.5</v>
      </c>
      <c r="L22" s="11">
        <f>G22/K22</f>
        <v>55.7585692995529</v>
      </c>
      <c r="M22" s="11"/>
    </row>
    <row r="23" s="1" customFormat="1" ht="29" customHeight="1" spans="1:13">
      <c r="A23" s="8">
        <v>17</v>
      </c>
      <c r="B23" s="9" t="s">
        <v>39</v>
      </c>
      <c r="C23" s="29">
        <v>839</v>
      </c>
      <c r="D23" s="29">
        <v>838</v>
      </c>
      <c r="E23" s="11">
        <f>D23+C23</f>
        <v>1677</v>
      </c>
      <c r="F23" s="11" t="s">
        <v>25</v>
      </c>
      <c r="G23" s="11">
        <f>230+1465+1777+1642+1615+817+897+1369+1250+1724+1260+796+1560+1472+1684+1724+1677</f>
        <v>22959</v>
      </c>
      <c r="H23" s="28"/>
      <c r="I23" s="28">
        <f>E23/H22</f>
        <v>69.875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0</v>
      </c>
      <c r="D24" s="29">
        <v>0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 t="s">
        <v>116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104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117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6.33</v>
      </c>
      <c r="D32" s="12">
        <v>6.33</v>
      </c>
      <c r="E32" s="11">
        <f t="shared" si="2"/>
        <v>12.66</v>
      </c>
      <c r="F32" s="11" t="s">
        <v>25</v>
      </c>
      <c r="G32" s="11">
        <f>7.75+5.98+6.54+6.6+6.52+7.63+6.51+6.63+6.56+12.58+12.6+12.61+12.49+10.5+13.96+12.66</f>
        <v>148.12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4</v>
      </c>
      <c r="D33" s="12">
        <v>4</v>
      </c>
      <c r="E33" s="11">
        <f t="shared" si="2"/>
        <v>8</v>
      </c>
      <c r="F33" s="11" t="s">
        <v>25</v>
      </c>
      <c r="G33" s="11">
        <f>5+6+6+6+7+6+7+15+8+8+7+9+13+7+8+7+8</f>
        <v>133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41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16.6455</v>
      </c>
      <c r="D35" s="11">
        <v>0</v>
      </c>
      <c r="E35" s="11">
        <f t="shared" si="2"/>
        <v>16.6455</v>
      </c>
      <c r="F35" s="11" t="s">
        <v>14</v>
      </c>
      <c r="G35" s="11">
        <f>7.8165+0+12.906+4.725+7.965+9.6795+6.8175+5.6025+16.6455</f>
        <v>72.1575</v>
      </c>
      <c r="H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25</v>
      </c>
      <c r="G37" s="11">
        <f>236+44+19+18+6+4+6</f>
        <v>333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336</v>
      </c>
      <c r="D38" s="12">
        <v>297</v>
      </c>
      <c r="E38" s="11">
        <f t="shared" si="2"/>
        <v>633</v>
      </c>
      <c r="F38" s="11" t="s">
        <v>25</v>
      </c>
      <c r="G38" s="11">
        <f>742+655+537+480+750+654+584+428+488+458+553+510+535+521+499+539+633</f>
        <v>9566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si="3"/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750*0</f>
        <v>0</v>
      </c>
      <c r="J40" s="27"/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86.86*1.12</f>
        <v>97.2832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3</v>
      </c>
      <c r="D42" s="29">
        <v>0</v>
      </c>
      <c r="E42" s="11">
        <f>D42+C42</f>
        <v>3</v>
      </c>
      <c r="F42" s="11" t="s">
        <v>34</v>
      </c>
      <c r="G42" s="11">
        <f>3+3+1+1+5+1+2+2+2+3+2+2+3+2+2+3</f>
        <v>37</v>
      </c>
      <c r="H42" s="28"/>
      <c r="I42" s="11">
        <v>21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6" workbookViewId="0">
      <pane xSplit="2" topLeftCell="C1" activePane="topRight" state="frozen"/>
      <selection/>
      <selection pane="topRight" activeCell="G12" sqref="G12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7" width="10.375" style="2"/>
    <col min="18" max="16384" width="9" style="2"/>
  </cols>
  <sheetData>
    <row r="1" s="1" customFormat="1" ht="42" customHeight="1" spans="1:13">
      <c r="A1" s="4" t="s">
        <v>118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6.5</v>
      </c>
      <c r="D3" s="10">
        <v>8</v>
      </c>
      <c r="E3" s="11">
        <f t="shared" ref="E3:E8" si="0">C3+D3</f>
        <v>14.5</v>
      </c>
      <c r="F3" s="11" t="s">
        <v>14</v>
      </c>
      <c r="G3" s="11">
        <f>3+6.5+13+13+10.5+9.5+7.5+5.5+9.5+14+14.5+9+9.5+14+14+15.5+15+14.5</f>
        <v>198</v>
      </c>
      <c r="H3" s="11">
        <v>231</v>
      </c>
      <c r="I3" s="11">
        <f>H3-G3</f>
        <v>33</v>
      </c>
      <c r="J3" s="11"/>
      <c r="K3" s="11"/>
      <c r="L3" s="11"/>
      <c r="M3" s="12">
        <f>I3/10</f>
        <v>3.3</v>
      </c>
    </row>
    <row r="4" s="1" customFormat="1" ht="56" customHeight="1" spans="1:13">
      <c r="A4" s="13">
        <v>2</v>
      </c>
      <c r="B4" s="9" t="s">
        <v>15</v>
      </c>
      <c r="C4" s="12">
        <v>14</v>
      </c>
      <c r="D4" s="12"/>
      <c r="E4" s="11">
        <f t="shared" si="0"/>
        <v>14</v>
      </c>
      <c r="F4" s="11" t="s">
        <v>14</v>
      </c>
      <c r="G4" s="11">
        <f>2+6+6+14+12+12+6+8+6+10+12+16+8+10+16+12+18+14</f>
        <v>188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90</v>
      </c>
      <c r="D5" s="12">
        <v>99</v>
      </c>
      <c r="E5" s="11">
        <f t="shared" si="0"/>
        <v>189</v>
      </c>
      <c r="F5" s="11" t="s">
        <v>14</v>
      </c>
      <c r="G5" s="11">
        <f>194+212+192+80+67+147+128+183+71+75+187+182+204+177+207+189</f>
        <v>2495</v>
      </c>
      <c r="H5" s="14">
        <v>3715</v>
      </c>
      <c r="I5" s="14">
        <f>H5-G5-G7-G6</f>
        <v>972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0</v>
      </c>
      <c r="D7" s="12">
        <v>1</v>
      </c>
      <c r="E7" s="11">
        <f t="shared" si="0"/>
        <v>1</v>
      </c>
      <c r="F7" s="11" t="s">
        <v>14</v>
      </c>
      <c r="G7" s="11">
        <f>0+151+1+12+1+75+2+1+3+1+1</f>
        <v>248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0+7+2+1+1+3+2+1</f>
        <v>17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0</v>
      </c>
      <c r="D9" s="19"/>
      <c r="E9" s="14">
        <f>30.61+31.24+32.95+63.63+62.6+62.75+61.88+62.41</f>
        <v>408.07</v>
      </c>
      <c r="F9" s="14" t="s">
        <v>14</v>
      </c>
      <c r="G9" s="14">
        <f>0.251002+0.253044+0.28337+0.559944+0.52584+0.53965+0.482664+0.518003</f>
        <v>3.413517</v>
      </c>
      <c r="H9" s="14">
        <v>4.26</v>
      </c>
      <c r="I9" s="14">
        <f>H9-G9</f>
        <v>0.846482999999999</v>
      </c>
      <c r="J9" s="20" t="s">
        <v>21</v>
      </c>
      <c r="K9" s="21">
        <v>0</v>
      </c>
      <c r="L9" s="14"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6.9525</v>
      </c>
      <c r="D11" s="11">
        <v>2.754</v>
      </c>
      <c r="E11" s="11">
        <f>C11+D11</f>
        <v>9.7065</v>
      </c>
      <c r="F11" s="11" t="s">
        <v>14</v>
      </c>
      <c r="G11" s="11">
        <f>2.916+2.106+3.9285+4.941+5.4+5.5215+3.78+5.616+10.287+5.4945+5.751+8.3835+3.7395+4.995+7.4655+5.616+7.6005+9.7065</f>
        <v>103.248</v>
      </c>
      <c r="H11" s="11"/>
      <c r="I11" s="11">
        <f>G11/(G3*0.1865)</f>
        <v>2.79600292468925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17.2592</v>
      </c>
      <c r="D12" s="11">
        <v>0</v>
      </c>
      <c r="E12" s="11">
        <f t="shared" ref="E12:E20" si="1">D12+C12</f>
        <v>17.2592</v>
      </c>
      <c r="F12" s="11" t="s">
        <v>14</v>
      </c>
      <c r="G12" s="11">
        <f>16.0816+6.2008+10.9112+15.1432+14.72+14.4072+5.4832+9.5312+10.8008+11.04+12.8064+15.0328+7.4336+9.1816+14.996+17.0384+14.8488+17.2592</f>
        <v>222.916</v>
      </c>
      <c r="H12" s="11"/>
      <c r="I12" s="11">
        <f>G12/(G3*0.1865)</f>
        <v>6.03666693747123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171</v>
      </c>
      <c r="D13" s="12">
        <v>224</v>
      </c>
      <c r="E13" s="11">
        <f t="shared" si="1"/>
        <v>395</v>
      </c>
      <c r="F13" s="11" t="s">
        <v>25</v>
      </c>
      <c r="G13" s="11">
        <f>145+157+466+386+373+204+281+313+273+424+344+249+410+427+391+446+455+395</f>
        <v>6139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538.32</v>
      </c>
      <c r="D14" s="12">
        <v>505.3</v>
      </c>
      <c r="E14" s="11">
        <f t="shared" si="1"/>
        <v>1043.62</v>
      </c>
      <c r="F14" s="11" t="s">
        <v>25</v>
      </c>
      <c r="G14" s="11">
        <f>483.5+783.2+510.74+939.78+979.62+614.28+889+1094.8+1043.97+1077.03+1031.4+834.36+721.8+948.08+1082.68+1091.06+1095.37+1043.62</f>
        <v>16264.29</v>
      </c>
      <c r="H14" s="11"/>
      <c r="I14" s="11"/>
      <c r="J14" s="11">
        <f>(C14*K14+L14*D14)/1000</f>
        <v>3.1982</v>
      </c>
      <c r="K14" s="11">
        <v>3.05</v>
      </c>
      <c r="L14" s="11">
        <v>3.08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1.310285+2.0899372+1.404535+2.4071166+2.6790316+1.6754062+3.2865396+3.1698534+2.7357691+2.874285+2.887902+2.4751564+2.2589082+2.897402+3.3175156+3.1317578+3.0931685+3.1982</f>
        <v>46.8927692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15</v>
      </c>
      <c r="D16" s="12">
        <v>18</v>
      </c>
      <c r="E16" s="11">
        <f t="shared" si="1"/>
        <v>33</v>
      </c>
      <c r="F16" s="11" t="s">
        <v>14</v>
      </c>
      <c r="G16" s="11">
        <f>16+12+36+30+24+21+21+16+25+30+28+21+31+30+35+39+33+33</f>
        <v>481</v>
      </c>
      <c r="H16" s="11"/>
      <c r="I16" s="11">
        <f>G16/(G3*0.1865)</f>
        <v>13.0256993527771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0.175</v>
      </c>
      <c r="D17" s="29">
        <v>0</v>
      </c>
      <c r="E17" s="11">
        <f t="shared" si="1"/>
        <v>0.175</v>
      </c>
      <c r="F17" s="11" t="s">
        <v>14</v>
      </c>
      <c r="G17" s="11">
        <f>0.3+0.1+0.075+0.275+0.075+0.175+0.15+0.175</f>
        <v>1.325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2+2+2+2+2+2+2+2+2</f>
        <v>18</v>
      </c>
      <c r="H18" s="28"/>
      <c r="I18" s="28">
        <f>G18/(G3*0.1865)</f>
        <v>0.487448208627833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1.5+1.5+1.5+1.5+1.5+1.5+1.5+1.5+1.5</f>
        <v>13.5</v>
      </c>
      <c r="H19" s="28"/>
      <c r="I19" s="28">
        <f>G19/(G3*0.1865)</f>
        <v>0.365586156470875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29">
        <v>3</v>
      </c>
      <c r="D20" s="29">
        <v>7</v>
      </c>
      <c r="E20" s="11">
        <f t="shared" si="1"/>
        <v>10</v>
      </c>
      <c r="F20" s="11" t="s">
        <v>34</v>
      </c>
      <c r="G20" s="11">
        <f>5+1+9+9+5+4+6+6+7+5+6+5+9+10+8+9+5+10</f>
        <v>119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11">
        <v>0</v>
      </c>
      <c r="D21" s="11">
        <v>0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667</v>
      </c>
      <c r="D22" s="29">
        <v>663</v>
      </c>
      <c r="E22" s="11">
        <f>D22+C22</f>
        <v>1330</v>
      </c>
      <c r="F22" s="11" t="s">
        <v>25</v>
      </c>
      <c r="G22" s="11">
        <f>77+1309+1375+1310+1255+648+838+1041+1082+1379+1014+706+1361+1295+1358+1347+1312+1330</f>
        <v>20037</v>
      </c>
      <c r="H22" s="30">
        <v>24</v>
      </c>
      <c r="I22" s="28">
        <f>E22/H22</f>
        <v>55.4166666666667</v>
      </c>
      <c r="J22" s="20" t="s">
        <v>93</v>
      </c>
      <c r="K22" s="11">
        <f>163+24+17.5+11+24+24+24+24+24+24</f>
        <v>359.5</v>
      </c>
      <c r="L22" s="11">
        <f>G22/K22</f>
        <v>55.7357440890125</v>
      </c>
      <c r="M22" s="11"/>
    </row>
    <row r="23" s="1" customFormat="1" ht="29" customHeight="1" spans="1:13">
      <c r="A23" s="8">
        <v>17</v>
      </c>
      <c r="B23" s="9" t="s">
        <v>39</v>
      </c>
      <c r="C23" s="29">
        <v>762</v>
      </c>
      <c r="D23" s="29">
        <v>842</v>
      </c>
      <c r="E23" s="11">
        <f>D23+C23</f>
        <v>1604</v>
      </c>
      <c r="F23" s="11" t="s">
        <v>25</v>
      </c>
      <c r="G23" s="11">
        <f>230+1465+1777+1642+1615+817+897+1369+1250+1724+1260+796+1560+1472+1684+1724+1677+1604</f>
        <v>24563</v>
      </c>
      <c r="H23" s="28"/>
      <c r="I23" s="28">
        <f>E23/H22</f>
        <v>66.8333333333333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0</v>
      </c>
      <c r="D24" s="29">
        <v>0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 t="s">
        <v>119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104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120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6.34</v>
      </c>
      <c r="D32" s="12">
        <v>6.29</v>
      </c>
      <c r="E32" s="11">
        <f t="shared" si="2"/>
        <v>12.63</v>
      </c>
      <c r="F32" s="11" t="s">
        <v>25</v>
      </c>
      <c r="G32" s="11">
        <f>7.75+5.98+6.54+6.6+6.52+7.63+6.51+6.63+6.56+12.58+12.6+12.61+12.49+10.5+13.96+12.66+12.63</f>
        <v>160.75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4</v>
      </c>
      <c r="D33" s="12">
        <v>4</v>
      </c>
      <c r="E33" s="11">
        <f t="shared" si="2"/>
        <v>8</v>
      </c>
      <c r="F33" s="11" t="s">
        <v>25</v>
      </c>
      <c r="G33" s="11">
        <f>5+6+6+6+7+6+7+15+8+8+7+9+13+7+8+7+8+8</f>
        <v>141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41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1">
        <f>7.8165+0+12.906+4.725+7.965+9.6795+6.8175+5.6025+16.6455</f>
        <v>72.1575</v>
      </c>
      <c r="H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25</v>
      </c>
      <c r="G37" s="11">
        <f>236+44+19+18+6+4+6</f>
        <v>333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396</v>
      </c>
      <c r="D38" s="12">
        <v>332</v>
      </c>
      <c r="E38" s="11">
        <f t="shared" si="2"/>
        <v>728</v>
      </c>
      <c r="F38" s="11" t="s">
        <v>25</v>
      </c>
      <c r="G38" s="11">
        <f>742+655+537+480+750+654+584+428+488+458+553+510+535+521+499+539+633+728</f>
        <v>10294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si="3"/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750*0</f>
        <v>0</v>
      </c>
      <c r="J40" s="27"/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86.86*1.12</f>
        <v>97.2832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2</v>
      </c>
      <c r="D42" s="29">
        <v>0</v>
      </c>
      <c r="E42" s="11">
        <f>D42+C42</f>
        <v>2</v>
      </c>
      <c r="F42" s="11" t="s">
        <v>34</v>
      </c>
      <c r="G42" s="11">
        <f>3+3+1+1+5+1+2+2+2+3+2+2+3+2+2+3+2</f>
        <v>39</v>
      </c>
      <c r="H42" s="28"/>
      <c r="I42" s="11">
        <v>21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7" workbookViewId="0">
      <pane xSplit="2" topLeftCell="C1" activePane="topRight" state="frozen"/>
      <selection/>
      <selection pane="topRight" activeCell="G12" sqref="G12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7" width="10.375" style="2"/>
    <col min="18" max="16384" width="9" style="2"/>
  </cols>
  <sheetData>
    <row r="1" s="1" customFormat="1" ht="42" customHeight="1" spans="1:13">
      <c r="A1" s="4" t="s">
        <v>121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8</v>
      </c>
      <c r="D3" s="10">
        <v>7.5</v>
      </c>
      <c r="E3" s="11">
        <f t="shared" ref="E3:E8" si="0">C3+D3</f>
        <v>15.5</v>
      </c>
      <c r="F3" s="11" t="s">
        <v>14</v>
      </c>
      <c r="G3" s="11">
        <f>3+6.5+13+13+10.5+9.5+7.5+5.5+9.5+14+14.5+9+9.5+14+14+15.5+15+14.5+15.5</f>
        <v>213.5</v>
      </c>
      <c r="H3" s="11">
        <v>231</v>
      </c>
      <c r="I3" s="11">
        <f>H3-G3</f>
        <v>17.5</v>
      </c>
      <c r="J3" s="11"/>
      <c r="K3" s="11"/>
      <c r="L3" s="11"/>
      <c r="M3" s="12">
        <f>I3/9</f>
        <v>1.94444444444444</v>
      </c>
    </row>
    <row r="4" s="1" customFormat="1" ht="56" customHeight="1" spans="1:13">
      <c r="A4" s="13">
        <v>2</v>
      </c>
      <c r="B4" s="9" t="s">
        <v>15</v>
      </c>
      <c r="C4" s="12">
        <v>12</v>
      </c>
      <c r="D4" s="12"/>
      <c r="E4" s="11">
        <f t="shared" si="0"/>
        <v>12</v>
      </c>
      <c r="F4" s="11" t="s">
        <v>14</v>
      </c>
      <c r="G4" s="11">
        <f>2+6+6+14+12+12+6+8+6+10+12+16+8+10+16+12+18+14+12</f>
        <v>200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98</v>
      </c>
      <c r="D5" s="12">
        <v>102</v>
      </c>
      <c r="E5" s="11">
        <f t="shared" si="0"/>
        <v>200</v>
      </c>
      <c r="F5" s="11" t="s">
        <v>14</v>
      </c>
      <c r="G5" s="11">
        <f>194+212+192+80+67+147+128+183+71+75+187+182+204+177+207+189+200</f>
        <v>2695</v>
      </c>
      <c r="H5" s="14">
        <v>3715</v>
      </c>
      <c r="I5" s="14">
        <f>H5-G5-G7-G6</f>
        <v>771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0</v>
      </c>
      <c r="D7" s="12">
        <v>1</v>
      </c>
      <c r="E7" s="11">
        <f t="shared" si="0"/>
        <v>1</v>
      </c>
      <c r="F7" s="11" t="s">
        <v>14</v>
      </c>
      <c r="G7" s="11">
        <f>0+151+1+12+1+75+2+1+3+1+1+1</f>
        <v>249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0+7+2+1+1+3+2+1</f>
        <v>17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0</v>
      </c>
      <c r="D9" s="19"/>
      <c r="E9" s="14">
        <f>30.61+31.24+32.95+63.63+62.6+62.75+61.88+62.41</f>
        <v>408.07</v>
      </c>
      <c r="F9" s="14" t="s">
        <v>14</v>
      </c>
      <c r="G9" s="14">
        <f>0.251002+0.253044+0.28337+0.559944+0.52584+0.53965+0.482664+0.518003</f>
        <v>3.413517</v>
      </c>
      <c r="H9" s="14">
        <v>4.26</v>
      </c>
      <c r="I9" s="14">
        <f>H9-G9</f>
        <v>0.846482999999999</v>
      </c>
      <c r="J9" s="20" t="s">
        <v>21</v>
      </c>
      <c r="K9" s="21">
        <v>0</v>
      </c>
      <c r="L9" s="14"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4.7115</v>
      </c>
      <c r="D11" s="11">
        <v>2.484</v>
      </c>
      <c r="E11" s="11">
        <f>C11+D11</f>
        <v>7.1955</v>
      </c>
      <c r="F11" s="11" t="s">
        <v>14</v>
      </c>
      <c r="G11" s="11">
        <f>2.916+2.106+3.9285+4.941+5.4+5.5215+3.78+5.616+10.287+5.4945+5.751+8.3835+3.7395+4.995+7.4655+5.616+7.6005+9.7065+7.1955</f>
        <v>110.4435</v>
      </c>
      <c r="H11" s="11"/>
      <c r="I11" s="11">
        <f>G11/(G3*0.1865)</f>
        <v>2.77372528583358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12.3648</v>
      </c>
      <c r="D12" s="11">
        <v>0</v>
      </c>
      <c r="E12" s="11">
        <f t="shared" ref="E12:E20" si="1">D12+C12</f>
        <v>12.3648</v>
      </c>
      <c r="F12" s="11" t="s">
        <v>14</v>
      </c>
      <c r="G12" s="11">
        <f>16.0816+6.2008+10.9112+15.1432+14.72+14.4072+5.4832+9.5312+10.8008+11.04+12.8064+15.0328+7.4336+9.1816+14.996+17.0384+14.8488+17.2592+12.3648</f>
        <v>235.2808</v>
      </c>
      <c r="H12" s="11"/>
      <c r="I12" s="11">
        <f>G12/(G3*0.1865)</f>
        <v>5.90894261981152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230</v>
      </c>
      <c r="D13" s="12">
        <v>230</v>
      </c>
      <c r="E13" s="11">
        <f t="shared" si="1"/>
        <v>460</v>
      </c>
      <c r="F13" s="11" t="s">
        <v>25</v>
      </c>
      <c r="G13" s="11">
        <f>145+157+466+386+373+204+281+313+273+424+344+249+410+427+391+446+455+395+460</f>
        <v>6599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527.68</v>
      </c>
      <c r="D14" s="12">
        <v>479.65</v>
      </c>
      <c r="E14" s="11">
        <f t="shared" si="1"/>
        <v>1007.33</v>
      </c>
      <c r="F14" s="11" t="s">
        <v>25</v>
      </c>
      <c r="G14" s="11">
        <f>483.5+783.2+510.74+939.78+979.62+614.28+889+1094.8+1043.97+1077.03+1031.4+834.36+721.8+948.08+1082.68+1091.06+1095.37+1043.62+1007.33</f>
        <v>17271.62</v>
      </c>
      <c r="H14" s="11"/>
      <c r="I14" s="11"/>
      <c r="J14" s="11">
        <f>(C14*K14+L14*D14)/1000</f>
        <v>3.5122196</v>
      </c>
      <c r="K14" s="11">
        <v>3.42</v>
      </c>
      <c r="L14" s="11">
        <v>3.56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1.310285+2.0899372+1.404535+2.4071166+2.6790316+1.6754062+3.2865396+3.1698534+2.7357691+2.874285+2.887902+2.4751564+2.2589082+2.897402+3.3175156+3.1317578+3.0931685+3.1982+3.5122196</f>
        <v>50.4049888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18</v>
      </c>
      <c r="D16" s="12">
        <v>18</v>
      </c>
      <c r="E16" s="11">
        <f t="shared" si="1"/>
        <v>36</v>
      </c>
      <c r="F16" s="11" t="s">
        <v>14</v>
      </c>
      <c r="G16" s="11">
        <f>16+12+36+30+24+21+21+16+25+30+28+21+31+30+35+39+33+33+36</f>
        <v>517</v>
      </c>
      <c r="H16" s="11"/>
      <c r="I16" s="11">
        <f>G16/(G3*0.1865)</f>
        <v>12.9841590747845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0.3+0.1+0.075+0.275+0.075+0.175+0.15+0.175</f>
        <v>1.325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2+2+2+2+2+2+2+2+2+2</f>
        <v>20</v>
      </c>
      <c r="H18" s="28"/>
      <c r="I18" s="28">
        <f>G18/(G3*0.1865)</f>
        <v>0.502288552216034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1.5</v>
      </c>
      <c r="D19" s="29">
        <v>0</v>
      </c>
      <c r="E19" s="11">
        <f t="shared" si="1"/>
        <v>1.5</v>
      </c>
      <c r="F19" s="11" t="s">
        <v>14</v>
      </c>
      <c r="G19" s="11">
        <f>1.5+1.5+1.5+1.5+1.5+1.5+1.5+1.5+1.5+1.5</f>
        <v>15</v>
      </c>
      <c r="H19" s="28"/>
      <c r="I19" s="28">
        <f>G19/(G3*0.1865)</f>
        <v>0.376716414162026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29">
        <v>5</v>
      </c>
      <c r="D20" s="29">
        <v>4</v>
      </c>
      <c r="E20" s="11">
        <f t="shared" si="1"/>
        <v>9</v>
      </c>
      <c r="F20" s="11" t="s">
        <v>34</v>
      </c>
      <c r="G20" s="11">
        <f>5+1+9+9+5+4+6+6+7+5+6+5+9+10+8+9+5+10+9</f>
        <v>128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11">
        <v>0</v>
      </c>
      <c r="D21" s="11">
        <v>0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655</v>
      </c>
      <c r="D22" s="29">
        <v>624</v>
      </c>
      <c r="E22" s="11">
        <f>D22+C22</f>
        <v>1279</v>
      </c>
      <c r="F22" s="11" t="s">
        <v>25</v>
      </c>
      <c r="G22" s="11">
        <f>77+1309+1375+1310+1255+648+838+1041+1082+1379+1014+706+1361+1295+1358+1347+1312+1330+1279</f>
        <v>21316</v>
      </c>
      <c r="H22" s="30">
        <v>24</v>
      </c>
      <c r="I22" s="28">
        <f>E22/H22</f>
        <v>53.2916666666667</v>
      </c>
      <c r="J22" s="20" t="s">
        <v>93</v>
      </c>
      <c r="K22" s="11">
        <f>163+24+17.5+11+24+24+24+24+24+24+24</f>
        <v>383.5</v>
      </c>
      <c r="L22" s="11">
        <f>G22/K22</f>
        <v>55.5827900912647</v>
      </c>
      <c r="M22" s="11"/>
    </row>
    <row r="23" s="1" customFormat="1" ht="29" customHeight="1" spans="1:13">
      <c r="A23" s="8">
        <v>17</v>
      </c>
      <c r="B23" s="9" t="s">
        <v>39</v>
      </c>
      <c r="C23" s="29">
        <v>858</v>
      </c>
      <c r="D23" s="29">
        <v>838</v>
      </c>
      <c r="E23" s="11">
        <f>D23+C23</f>
        <v>1696</v>
      </c>
      <c r="F23" s="11" t="s">
        <v>25</v>
      </c>
      <c r="G23" s="11">
        <f>230+1465+1777+1642+1615+817+897+1369+1250+1724+1260+796+1560+1472+1684+1724+1677+1604+1696</f>
        <v>26259</v>
      </c>
      <c r="H23" s="28"/>
      <c r="I23" s="28">
        <f>E23/H22</f>
        <v>70.6666666666667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0</v>
      </c>
      <c r="D24" s="29">
        <v>0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 t="s">
        <v>122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104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123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7.54</v>
      </c>
      <c r="D32" s="12">
        <v>6.36</v>
      </c>
      <c r="E32" s="11">
        <f t="shared" si="2"/>
        <v>13.9</v>
      </c>
      <c r="F32" s="11" t="s">
        <v>25</v>
      </c>
      <c r="G32" s="11">
        <f>7.75+5.98+6.54+6.6+6.52+7.63+6.51+6.63+6.56+12.58+12.6+12.61+12.49+10.5+13.96+12.66+12.63+13.9</f>
        <v>174.65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6</v>
      </c>
      <c r="D33" s="12">
        <v>8</v>
      </c>
      <c r="E33" s="11">
        <f t="shared" si="2"/>
        <v>14</v>
      </c>
      <c r="F33" s="11" t="s">
        <v>25</v>
      </c>
      <c r="G33" s="11">
        <f>5+6+6+6+7+6+7+15+8+8+7+9+13+7+8+7+8+8+14</f>
        <v>155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41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12.8925</v>
      </c>
      <c r="D35" s="11">
        <v>0</v>
      </c>
      <c r="E35" s="11">
        <f t="shared" si="2"/>
        <v>12.8925</v>
      </c>
      <c r="F35" s="11" t="s">
        <v>14</v>
      </c>
      <c r="G35" s="11">
        <f>7.8165+0+12.906+4.725+7.965+9.6795+6.8175+5.6025+16.6455+12.8925</f>
        <v>85.05</v>
      </c>
      <c r="H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25</v>
      </c>
      <c r="G37" s="11">
        <f>236+44+19+18+6+4+6</f>
        <v>333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290</v>
      </c>
      <c r="D38" s="12">
        <v>366</v>
      </c>
      <c r="E38" s="11">
        <f t="shared" si="2"/>
        <v>656</v>
      </c>
      <c r="F38" s="11" t="s">
        <v>25</v>
      </c>
      <c r="G38" s="11">
        <f>742+655+537+480+750+654+584+428+488+458+553+510+535+521+499+539+633+728+656</f>
        <v>10950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si="3"/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750*0</f>
        <v>0</v>
      </c>
      <c r="J40" s="27"/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86.86*1.12</f>
        <v>97.2832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2</v>
      </c>
      <c r="D42" s="29">
        <v>0</v>
      </c>
      <c r="E42" s="11">
        <f>D42+C42</f>
        <v>2</v>
      </c>
      <c r="F42" s="11" t="s">
        <v>34</v>
      </c>
      <c r="G42" s="11">
        <f>3+3+1+1+5+1+2+2+2+3+2+2+3+2+2+3+2+2</f>
        <v>41</v>
      </c>
      <c r="H42" s="28"/>
      <c r="I42" s="11">
        <v>21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7" workbookViewId="0">
      <pane xSplit="2" topLeftCell="C1" activePane="topRight" state="frozen"/>
      <selection/>
      <selection pane="topRight" activeCell="G12" sqref="G12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7" width="10.375" style="2"/>
    <col min="18" max="16384" width="9" style="2"/>
  </cols>
  <sheetData>
    <row r="1" s="1" customFormat="1" ht="42" customHeight="1" spans="1:13">
      <c r="A1" s="4" t="s">
        <v>124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7.5</v>
      </c>
      <c r="D3" s="10">
        <v>6.5</v>
      </c>
      <c r="E3" s="11">
        <f t="shared" ref="E3:E8" si="0">C3+D3</f>
        <v>14</v>
      </c>
      <c r="F3" s="11" t="s">
        <v>14</v>
      </c>
      <c r="G3" s="11">
        <f>3+6.5+13+13+10.5+9.5+7.5+5.5+9.5+14+14.5+9+9.5+14+14+15.5+15+14.5+15.5+14</f>
        <v>227.5</v>
      </c>
      <c r="H3" s="11">
        <v>231</v>
      </c>
      <c r="I3" s="11">
        <f>H3-G3</f>
        <v>3.5</v>
      </c>
      <c r="J3" s="11"/>
      <c r="K3" s="11"/>
      <c r="L3" s="11"/>
      <c r="M3" s="12">
        <f>I3/8</f>
        <v>0.4375</v>
      </c>
    </row>
    <row r="4" s="1" customFormat="1" ht="56" customHeight="1" spans="1:13">
      <c r="A4" s="13">
        <v>2</v>
      </c>
      <c r="B4" s="9" t="s">
        <v>15</v>
      </c>
      <c r="C4" s="12">
        <v>16</v>
      </c>
      <c r="D4" s="12"/>
      <c r="E4" s="11">
        <f t="shared" si="0"/>
        <v>16</v>
      </c>
      <c r="F4" s="11" t="s">
        <v>14</v>
      </c>
      <c r="G4" s="11">
        <f>2+6+6+14+12+12+6+8+6+10+12+16+8+10+16+12+18+14+12+16</f>
        <v>216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82</v>
      </c>
      <c r="D5" s="12">
        <v>96</v>
      </c>
      <c r="E5" s="11">
        <f t="shared" si="0"/>
        <v>178</v>
      </c>
      <c r="F5" s="11" t="s">
        <v>14</v>
      </c>
      <c r="G5" s="11">
        <f>194+212+192+80+67+147+128+183+71+75+187+182+204+177+207+189+200+178</f>
        <v>2873</v>
      </c>
      <c r="H5" s="14">
        <v>3715</v>
      </c>
      <c r="I5" s="14">
        <f>H5-G5-G7-G6</f>
        <v>592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0</v>
      </c>
      <c r="D7" s="12">
        <v>1</v>
      </c>
      <c r="E7" s="11">
        <f t="shared" si="0"/>
        <v>1</v>
      </c>
      <c r="F7" s="11" t="s">
        <v>14</v>
      </c>
      <c r="G7" s="11">
        <f>0+151+1+12+1+75+2+1+3+1+1+1+1</f>
        <v>250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0+7+2+1+1+3+2+1</f>
        <v>17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0</v>
      </c>
      <c r="D9" s="19"/>
      <c r="E9" s="14">
        <f>30.61+31.24+32.95+63.63+62.6+62.75+61.88+62.41</f>
        <v>408.07</v>
      </c>
      <c r="F9" s="14" t="s">
        <v>14</v>
      </c>
      <c r="G9" s="14">
        <f>0.251002+0.253044+0.28337+0.559944+0.52584+0.53965+0.482664+0.518003</f>
        <v>3.413517</v>
      </c>
      <c r="H9" s="14">
        <v>4.26</v>
      </c>
      <c r="I9" s="14">
        <f>H9-G9</f>
        <v>0.846482999999999</v>
      </c>
      <c r="J9" s="20" t="s">
        <v>21</v>
      </c>
      <c r="K9" s="21">
        <v>0</v>
      </c>
      <c r="L9" s="14"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2.376</v>
      </c>
      <c r="D11" s="11">
        <v>3.564</v>
      </c>
      <c r="E11" s="11">
        <f>C11+D11</f>
        <v>5.94</v>
      </c>
      <c r="F11" s="11" t="s">
        <v>14</v>
      </c>
      <c r="G11" s="11">
        <f>2.916+2.106+3.9285+4.941+5.4+5.5215+3.78+5.616+10.287+5.4945+5.751+8.3835+3.7395+4.995+7.4655+5.616+7.6005+9.7065+7.1955+5.94</f>
        <v>116.3835</v>
      </c>
      <c r="H11" s="11"/>
      <c r="I11" s="11">
        <f>G11/(G3*0.1865)</f>
        <v>2.74303390978994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12.3832</v>
      </c>
      <c r="D12" s="11">
        <v>0</v>
      </c>
      <c r="E12" s="11">
        <f t="shared" ref="E12:E20" si="1">D12+C12</f>
        <v>12.3832</v>
      </c>
      <c r="F12" s="11" t="s">
        <v>14</v>
      </c>
      <c r="G12" s="11">
        <f>16.0816+6.2008+10.9112+15.1432+14.72+14.4072+5.4832+9.5312+10.8008+11.04+12.8064+15.0328+7.4336+9.1816+14.996+17.0384+14.8488+17.2592+12.3648+12.3832</f>
        <v>247.664</v>
      </c>
      <c r="H12" s="11"/>
      <c r="I12" s="11">
        <f>G12/(G3*0.1865)</f>
        <v>5.83717408596765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178</v>
      </c>
      <c r="D13" s="12">
        <v>240</v>
      </c>
      <c r="E13" s="11">
        <f t="shared" si="1"/>
        <v>418</v>
      </c>
      <c r="F13" s="11" t="s">
        <v>25</v>
      </c>
      <c r="G13" s="11">
        <f>145+157+466+386+373+204+281+313+273+424+344+249+410+427+391+446+455+395+460+418</f>
        <v>7017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203.38</v>
      </c>
      <c r="D14" s="12">
        <v>494.26</v>
      </c>
      <c r="E14" s="11">
        <f t="shared" si="1"/>
        <v>697.64</v>
      </c>
      <c r="F14" s="11" t="s">
        <v>25</v>
      </c>
      <c r="G14" s="11">
        <f>483.5+783.2+510.74+939.78+979.62+614.28+889+1094.8+1043.97+1077.03+1031.4+834.36+721.8+948.08+1082.68+1091.06+1095.37+1043.62+1007.33+697.64</f>
        <v>17969.26</v>
      </c>
      <c r="H14" s="11"/>
      <c r="I14" s="11"/>
      <c r="J14" s="11">
        <f>(C14*K14+L14*D14)/1000</f>
        <v>2.3382292</v>
      </c>
      <c r="K14" s="11">
        <v>3.55</v>
      </c>
      <c r="L14" s="11">
        <v>3.27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1.310285+2.0899372+1.404535+2.4071166+2.6790316+1.6754062+3.2865396+3.1698534+2.7357691+2.874285+2.887902+2.4751564+2.2589082+2.897402+3.3175156+3.1317578+3.0931685+3.1982+3.5122196+2.3382292</f>
        <v>52.743218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15</v>
      </c>
      <c r="D16" s="12">
        <v>17</v>
      </c>
      <c r="E16" s="11">
        <f t="shared" si="1"/>
        <v>32</v>
      </c>
      <c r="F16" s="11" t="s">
        <v>14</v>
      </c>
      <c r="G16" s="11">
        <f>16+12+36+30+24+21+21+16+25+30+28+21+31+30+35+39+33+33+36+32</f>
        <v>549</v>
      </c>
      <c r="H16" s="11"/>
      <c r="I16" s="11">
        <f>G16/(G3*0.1865)</f>
        <v>12.9393394808944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0.15</v>
      </c>
      <c r="D17" s="29">
        <v>0</v>
      </c>
      <c r="E17" s="11">
        <f t="shared" si="1"/>
        <v>0.15</v>
      </c>
      <c r="F17" s="11" t="s">
        <v>14</v>
      </c>
      <c r="G17" s="11">
        <f>0.3+0.1+0.075+0.275+0.075+0.175+0.15+0.175+0.15</f>
        <v>1.475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2+2+2+2+2+2+2+2+2+2+2</f>
        <v>22</v>
      </c>
      <c r="H18" s="28"/>
      <c r="I18" s="28">
        <f>G18/(G3*0.1865)</f>
        <v>0.518516336210706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1.5</v>
      </c>
      <c r="D19" s="29">
        <v>0</v>
      </c>
      <c r="E19" s="11">
        <f t="shared" si="1"/>
        <v>1.5</v>
      </c>
      <c r="F19" s="11" t="s">
        <v>14</v>
      </c>
      <c r="G19" s="11">
        <f>1.5+1.5+1.5+1.5+1.5+1.5+1.5+1.5+1.5+1.5+1.5</f>
        <v>16.5</v>
      </c>
      <c r="H19" s="28"/>
      <c r="I19" s="28">
        <f>G19/(G3*0.1865)</f>
        <v>0.38888725215803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29">
        <v>4</v>
      </c>
      <c r="D20" s="29">
        <v>7</v>
      </c>
      <c r="E20" s="11">
        <f t="shared" si="1"/>
        <v>11</v>
      </c>
      <c r="F20" s="11" t="s">
        <v>34</v>
      </c>
      <c r="G20" s="11">
        <f>5+1+9+9+5+4+6+6+7+5+6+5+9+10+8+9+5+10+9+11</f>
        <v>139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11">
        <v>0</v>
      </c>
      <c r="D21" s="11">
        <v>0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649</v>
      </c>
      <c r="D22" s="29">
        <v>600</v>
      </c>
      <c r="E22" s="11">
        <f>D22+C22</f>
        <v>1249</v>
      </c>
      <c r="F22" s="11" t="s">
        <v>25</v>
      </c>
      <c r="G22" s="11">
        <f>77+1309+1375+1310+1255+648+838+1041+1082+1379+1014+706+1361+1295+1358+1347+1312+1330+1279+1249</f>
        <v>22565</v>
      </c>
      <c r="H22" s="30">
        <v>24</v>
      </c>
      <c r="I22" s="28">
        <f>E22/H22</f>
        <v>52.0416666666667</v>
      </c>
      <c r="J22" s="20" t="s">
        <v>93</v>
      </c>
      <c r="K22" s="11">
        <f>163+24+17.5+11+24+24+24+24+24+24+24+24</f>
        <v>407.5</v>
      </c>
      <c r="L22" s="11">
        <f>G22/K22</f>
        <v>55.3742331288344</v>
      </c>
      <c r="M22" s="11"/>
    </row>
    <row r="23" s="1" customFormat="1" ht="29" customHeight="1" spans="1:13">
      <c r="A23" s="8">
        <v>17</v>
      </c>
      <c r="B23" s="9" t="s">
        <v>39</v>
      </c>
      <c r="C23" s="29">
        <v>687</v>
      </c>
      <c r="D23" s="29">
        <v>807</v>
      </c>
      <c r="E23" s="11">
        <f>D23+C23</f>
        <v>1494</v>
      </c>
      <c r="F23" s="11" t="s">
        <v>25</v>
      </c>
      <c r="G23" s="11">
        <f>230+1465+1777+1642+1615+817+897+1369+1250+1724+1260+796+1560+1472+1684+1724+1677+1604+1696+1494</f>
        <v>27753</v>
      </c>
      <c r="H23" s="28"/>
      <c r="I23" s="28">
        <f>E23/H22</f>
        <v>62.25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0</v>
      </c>
      <c r="D24" s="29">
        <v>0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 t="s">
        <v>125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104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126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6.2</v>
      </c>
      <c r="D32" s="12">
        <v>6.27</v>
      </c>
      <c r="E32" s="11">
        <f t="shared" si="2"/>
        <v>12.47</v>
      </c>
      <c r="F32" s="11" t="s">
        <v>25</v>
      </c>
      <c r="G32" s="11">
        <f>7.75+5.98+6.54+6.6+6.52+7.63+6.51+6.63+6.56+12.58+12.6+12.61+12.49+10.5+13.96+12.66+12.63+13.9+12.47</f>
        <v>187.12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4</v>
      </c>
      <c r="D33" s="12">
        <v>4</v>
      </c>
      <c r="E33" s="11">
        <f t="shared" si="2"/>
        <v>8</v>
      </c>
      <c r="F33" s="11" t="s">
        <v>25</v>
      </c>
      <c r="G33" s="11">
        <f>5+6+6+6+7+6+7+15+8+8+7+9+13+7+8+7+8+8+14+8</f>
        <v>163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41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1">
        <f>7.8165+0+12.906+4.725+7.965+9.6795+6.8175+5.6025+16.6455+12.8925</f>
        <v>85.05</v>
      </c>
      <c r="H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25</v>
      </c>
      <c r="G37" s="11">
        <f>236+44+19+18+6+4+6</f>
        <v>333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298</v>
      </c>
      <c r="D38" s="12">
        <v>367</v>
      </c>
      <c r="E38" s="11">
        <f t="shared" si="2"/>
        <v>665</v>
      </c>
      <c r="F38" s="11" t="s">
        <v>25</v>
      </c>
      <c r="G38" s="11">
        <f>742+655+537+480+750+654+584+428+488+458+553+510+535+521+499+539+633+728+656+665</f>
        <v>11615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si="3"/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750*0</f>
        <v>0</v>
      </c>
      <c r="J40" s="27"/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86.86*1.12</f>
        <v>97.2832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2</v>
      </c>
      <c r="D42" s="29">
        <v>0</v>
      </c>
      <c r="E42" s="11">
        <f>D42+C42</f>
        <v>2</v>
      </c>
      <c r="F42" s="11" t="s">
        <v>34</v>
      </c>
      <c r="G42" s="11">
        <f>3+3+1+1+5+1+2+2+2+3+2+2+3+2+2+3+2+2+2</f>
        <v>43</v>
      </c>
      <c r="H42" s="28"/>
      <c r="I42" s="11">
        <v>18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5" workbookViewId="0">
      <pane xSplit="2" topLeftCell="C1" activePane="topRight" state="frozen"/>
      <selection/>
      <selection pane="topRight" activeCell="G12" sqref="G12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7" width="10.375" style="2"/>
    <col min="18" max="16384" width="9" style="2"/>
  </cols>
  <sheetData>
    <row r="1" s="1" customFormat="1" ht="42" customHeight="1" spans="1:13">
      <c r="A1" s="4" t="s">
        <v>127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8</v>
      </c>
      <c r="D3" s="10">
        <v>4.5</v>
      </c>
      <c r="E3" s="11">
        <f t="shared" ref="E3:E8" si="0">C3+D3</f>
        <v>12.5</v>
      </c>
      <c r="F3" s="11" t="s">
        <v>14</v>
      </c>
      <c r="G3" s="11">
        <f>3+6.5+13+13+10.5+9.5+7.5+5.5+9.5+14+14.5+9+9.5+14+14+15.5+15+14.5+15.5+14+12.5</f>
        <v>240</v>
      </c>
      <c r="H3" s="11">
        <v>231</v>
      </c>
      <c r="I3" s="11">
        <f>H3-G3</f>
        <v>-9</v>
      </c>
      <c r="J3" s="11"/>
      <c r="K3" s="11"/>
      <c r="L3" s="11"/>
      <c r="M3" s="12"/>
    </row>
    <row r="4" s="1" customFormat="1" ht="56" customHeight="1" spans="1:13">
      <c r="A4" s="13">
        <v>2</v>
      </c>
      <c r="B4" s="9" t="s">
        <v>15</v>
      </c>
      <c r="C4" s="10">
        <v>14</v>
      </c>
      <c r="D4" s="10"/>
      <c r="E4" s="11">
        <f t="shared" si="0"/>
        <v>14</v>
      </c>
      <c r="F4" s="11" t="s">
        <v>14</v>
      </c>
      <c r="G4" s="11">
        <f>2+6+6+14+12+12+6+8+6+10+12+16+8+10+16+12+18+14+12+16+14</f>
        <v>230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16</v>
      </c>
      <c r="D5" s="12">
        <v>106</v>
      </c>
      <c r="E5" s="11">
        <f t="shared" si="0"/>
        <v>122</v>
      </c>
      <c r="F5" s="11" t="s">
        <v>14</v>
      </c>
      <c r="G5" s="11">
        <f>194+212+192+80+67+147+128+183+71+75+187+182+204+177+207+189+200+178+122</f>
        <v>2995</v>
      </c>
      <c r="H5" s="14">
        <v>3715</v>
      </c>
      <c r="I5" s="14">
        <f>H5-G5-G7-G6</f>
        <v>468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2</v>
      </c>
      <c r="D7" s="12">
        <v>0</v>
      </c>
      <c r="E7" s="11">
        <f t="shared" si="0"/>
        <v>2</v>
      </c>
      <c r="F7" s="11" t="s">
        <v>14</v>
      </c>
      <c r="G7" s="11">
        <f>0+151+1+12+1+75+2+1+3+1+1+1+1+2</f>
        <v>252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1</v>
      </c>
      <c r="D8" s="12">
        <v>0</v>
      </c>
      <c r="E8" s="11">
        <f t="shared" si="0"/>
        <v>1</v>
      </c>
      <c r="F8" s="11" t="s">
        <v>14</v>
      </c>
      <c r="G8" s="11">
        <f>0+7+2+1+1+3+2+1+1</f>
        <v>18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31.98</v>
      </c>
      <c r="D9" s="19"/>
      <c r="E9" s="14">
        <f>30.61+31.24+32.95+63.63+62.6+62.75+61.88+62.41+31.98</f>
        <v>440.05</v>
      </c>
      <c r="F9" s="14" t="s">
        <v>14</v>
      </c>
      <c r="G9" s="14">
        <f>0.251002+0.253044+0.28337+0.559944+0.52584+0.53965+0.482664+0.518003+0.297414</f>
        <v>3.710931</v>
      </c>
      <c r="H9" s="14">
        <v>4.26</v>
      </c>
      <c r="I9" s="14">
        <f>H9-G9</f>
        <v>0.549068999999999</v>
      </c>
      <c r="J9" s="20" t="s">
        <v>21</v>
      </c>
      <c r="K9" s="21">
        <v>0.93</v>
      </c>
      <c r="L9" s="14">
        <f>C9*K9/100</f>
        <v>0.297414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2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7.803</v>
      </c>
      <c r="D11" s="11">
        <v>0</v>
      </c>
      <c r="E11" s="11">
        <f>C11+D11</f>
        <v>7.803</v>
      </c>
      <c r="F11" s="11" t="s">
        <v>14</v>
      </c>
      <c r="G11" s="11">
        <f>2.916+2.106+3.9285+4.941+5.4+5.5215+3.78+5.616+10.287+5.4945+5.751+8.3835+3.7395+4.995+7.4655+5.616+7.6005+9.7065+7.1955+5.94+7.803</f>
        <v>124.1865</v>
      </c>
      <c r="H11" s="11"/>
      <c r="I11" s="11">
        <f>G11/(G3*0.1865)</f>
        <v>2.77449731903485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16.5784</v>
      </c>
      <c r="D12" s="11">
        <v>0</v>
      </c>
      <c r="E12" s="11">
        <f t="shared" ref="E12:E20" si="1">D12+C12</f>
        <v>16.5784</v>
      </c>
      <c r="F12" s="11" t="s">
        <v>14</v>
      </c>
      <c r="G12" s="11">
        <f>16.0816+6.2008+10.9112+15.1432+14.72+14.4072+5.4832+9.5312+10.8008+11.04+12.8064+15.0328+7.4336+9.1816+14.996+17.0384+14.8488+17.2592+12.3648+12.3832+16.5784</f>
        <v>264.2424</v>
      </c>
      <c r="H12" s="11"/>
      <c r="I12" s="11">
        <f>G12/(G3*0.1865)</f>
        <v>5.90353887399464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203</v>
      </c>
      <c r="D13" s="12">
        <v>115</v>
      </c>
      <c r="E13" s="11">
        <f t="shared" si="1"/>
        <v>318</v>
      </c>
      <c r="F13" s="11" t="s">
        <v>25</v>
      </c>
      <c r="G13" s="11">
        <f>145+157+466+386+373+204+281+313+273+424+344+249+410+427+391+446+455+395+460+418+318</f>
        <v>7335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467.19</v>
      </c>
      <c r="D14" s="12">
        <v>535</v>
      </c>
      <c r="E14" s="11">
        <f t="shared" si="1"/>
        <v>1002.19</v>
      </c>
      <c r="F14" s="11" t="s">
        <v>25</v>
      </c>
      <c r="G14" s="11">
        <f>483.5+783.2+510.74+939.78+979.62+614.28+889+1094.8+1043.97+1077.03+1031.4+834.36+721.8+948.08+1082.68+1091.06+1095.37+1043.62+1007.33+697.64+1002.19</f>
        <v>18971.45</v>
      </c>
      <c r="H14" s="11"/>
      <c r="I14" s="11"/>
      <c r="J14" s="11">
        <f>(C14*K14+L14*D14)/1000</f>
        <v>3.7882782</v>
      </c>
      <c r="K14" s="11">
        <v>3.78</v>
      </c>
      <c r="L14" s="11">
        <v>3.78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1.310285+2.0899372+1.404535+2.4071166+2.6790316+1.6754062+3.2865396+3.1698534+2.7357691+2.874285+2.887902+2.4751564+2.2589082+2.897402+3.3175156+3.1317578+3.0931685+3.1982+3.5122196+2.3382292+3.7882782</f>
        <v>56.5314962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18</v>
      </c>
      <c r="D16" s="12">
        <v>9</v>
      </c>
      <c r="E16" s="11">
        <f t="shared" si="1"/>
        <v>27</v>
      </c>
      <c r="F16" s="11" t="s">
        <v>14</v>
      </c>
      <c r="G16" s="11">
        <f>16+12+36+30+24+21+21+16+25+30+28+21+31+30+35+39+33+33+36+32+27</f>
        <v>576</v>
      </c>
      <c r="H16" s="11"/>
      <c r="I16" s="11">
        <f>G16/(G3*0.1865)</f>
        <v>12.8686327077748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0.3+0.1+0.075+0.275+0.075+0.175+0.15+0.175+0.15</f>
        <v>1.475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2+2+2+2+2+2+2+2+2+2+2</f>
        <v>22</v>
      </c>
      <c r="H18" s="28"/>
      <c r="I18" s="28">
        <f>G18/(G3*0.1865)</f>
        <v>0.491510277033065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1.5+1.5+1.5+1.5+1.5+1.5+1.5+1.5+1.5+1.5+1.5</f>
        <v>16.5</v>
      </c>
      <c r="H19" s="28"/>
      <c r="I19" s="28">
        <f>G19/(G3*0.1865)</f>
        <v>0.368632707774799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12">
        <v>4</v>
      </c>
      <c r="D20" s="29">
        <v>3</v>
      </c>
      <c r="E20" s="11">
        <f t="shared" si="1"/>
        <v>7</v>
      </c>
      <c r="F20" s="11" t="s">
        <v>34</v>
      </c>
      <c r="G20" s="11">
        <f>5+1+9+9+5+4+6+6+7+5+6+5+9+10+8+9+5+10+9+11+7</f>
        <v>146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29">
        <v>1</v>
      </c>
      <c r="D21" s="29">
        <v>0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167</v>
      </c>
      <c r="D22" s="29">
        <v>629</v>
      </c>
      <c r="E22" s="11">
        <f>D22+C22</f>
        <v>796</v>
      </c>
      <c r="F22" s="11" t="s">
        <v>25</v>
      </c>
      <c r="G22" s="11">
        <f>77+1309+1375+1310+1255+648+838+1041+1082+1379+1014+706+1361+1295+1358+1347+1312+1330+1279+1249+796</f>
        <v>23361</v>
      </c>
      <c r="H22" s="30">
        <v>14.5</v>
      </c>
      <c r="I22" s="28">
        <f>E22/H22</f>
        <v>54.8965517241379</v>
      </c>
      <c r="J22" s="20" t="s">
        <v>93</v>
      </c>
      <c r="K22" s="11">
        <f>163+24+17.5+11+24+24+24+24+24+24+24+24+14.5</f>
        <v>422</v>
      </c>
      <c r="L22" s="11">
        <f>G22/K22</f>
        <v>55.3578199052133</v>
      </c>
      <c r="M22" s="11"/>
    </row>
    <row r="23" s="1" customFormat="1" ht="29" customHeight="1" spans="1:13">
      <c r="A23" s="8">
        <v>17</v>
      </c>
      <c r="B23" s="9" t="s">
        <v>39</v>
      </c>
      <c r="C23" s="29">
        <v>280</v>
      </c>
      <c r="D23" s="29">
        <v>739</v>
      </c>
      <c r="E23" s="11">
        <f>D23+C23</f>
        <v>1019</v>
      </c>
      <c r="F23" s="11" t="s">
        <v>25</v>
      </c>
      <c r="G23" s="11">
        <f>230+1465+1777+1642+1615+817+897+1369+1250+1724+1260+796+1560+1472+1684+1724+1677+1604+1696+1494+1019</f>
        <v>28772</v>
      </c>
      <c r="H23" s="28"/>
      <c r="I23" s="28">
        <f>E23/H22</f>
        <v>70.2758620689655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0</v>
      </c>
      <c r="D24" s="29">
        <v>0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 t="s">
        <v>128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 t="s">
        <v>129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104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130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20.99</v>
      </c>
      <c r="D31" s="12">
        <v>0</v>
      </c>
      <c r="E31" s="11">
        <f t="shared" ref="E31:E39" si="2">D31+C31</f>
        <v>20.99</v>
      </c>
      <c r="F31" s="11" t="s">
        <v>25</v>
      </c>
      <c r="G31" s="11">
        <f>20.99</f>
        <v>20.99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5.32</v>
      </c>
      <c r="D32" s="12">
        <v>5.29</v>
      </c>
      <c r="E32" s="11">
        <f t="shared" si="2"/>
        <v>10.61</v>
      </c>
      <c r="F32" s="11" t="s">
        <v>25</v>
      </c>
      <c r="G32" s="11">
        <f>7.75+5.98+6.54+6.6+6.52+7.63+6.51+6.63+6.56+12.58+12.6+12.61+12.49+10.5+13.96+12.66+12.63+13.9+12.47+10.61</f>
        <v>197.73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4</v>
      </c>
      <c r="D33" s="12">
        <v>5</v>
      </c>
      <c r="E33" s="11">
        <f t="shared" si="2"/>
        <v>9</v>
      </c>
      <c r="F33" s="11" t="s">
        <v>25</v>
      </c>
      <c r="G33" s="11">
        <f>5+6+6+6+7+6+7+15+8+8+7+9+13+7+8+7+8+8+14+8+9</f>
        <v>172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41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11.8935</v>
      </c>
      <c r="D35" s="11">
        <v>0</v>
      </c>
      <c r="E35" s="11">
        <f t="shared" si="2"/>
        <v>11.8935</v>
      </c>
      <c r="F35" s="11" t="s">
        <v>14</v>
      </c>
      <c r="G35" s="11">
        <f>7.8165+0+12.906+4.725+7.965+9.6795+6.8175+5.6025+16.6455+12.8925+11.8935</f>
        <v>96.9435</v>
      </c>
      <c r="H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25</v>
      </c>
      <c r="G37" s="11">
        <f>236+44+19+18+6+4+6</f>
        <v>333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305</v>
      </c>
      <c r="D38" s="12">
        <v>263</v>
      </c>
      <c r="E38" s="11">
        <f t="shared" si="2"/>
        <v>568</v>
      </c>
      <c r="F38" s="11" t="s">
        <v>25</v>
      </c>
      <c r="G38" s="11">
        <f>742+655+537+480+750+654+584+428+488+458+553+510+535+521+499+539+633+728+656+665+568</f>
        <v>12183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si="3"/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750*0</f>
        <v>0</v>
      </c>
      <c r="J40" s="27"/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86.86*1.12</f>
        <v>97.2832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2</v>
      </c>
      <c r="D42" s="29">
        <v>0</v>
      </c>
      <c r="E42" s="11">
        <f>D42+C42</f>
        <v>2</v>
      </c>
      <c r="F42" s="11" t="s">
        <v>34</v>
      </c>
      <c r="G42" s="11">
        <f>3+3+1+1+5+1+2+2+2+3+2+2+3+2+2+3+2+2+2+2</f>
        <v>45</v>
      </c>
      <c r="H42" s="28"/>
      <c r="I42" s="11">
        <v>20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6" workbookViewId="0">
      <pane xSplit="2" topLeftCell="C1" activePane="topRight" state="frozen"/>
      <selection/>
      <selection pane="topRight" activeCell="G33" sqref="G33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7" width="10.375" style="2"/>
    <col min="18" max="16384" width="9" style="2"/>
  </cols>
  <sheetData>
    <row r="1" s="1" customFormat="1" ht="42" customHeight="1" spans="1:13">
      <c r="A1" s="4" t="s">
        <v>131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6</v>
      </c>
      <c r="D3" s="10">
        <v>5</v>
      </c>
      <c r="E3" s="11">
        <f t="shared" ref="E3:E8" si="0">C3+D3</f>
        <v>11</v>
      </c>
      <c r="F3" s="11" t="s">
        <v>14</v>
      </c>
      <c r="G3" s="11">
        <f>3+6.5+13+13+10.5+9.5+7.5+5.5+9.5+14+14.5+9+9.5+14+14+15.5+15+14.5+15.5+14+12.5+11</f>
        <v>251</v>
      </c>
      <c r="H3" s="11">
        <v>231</v>
      </c>
      <c r="I3" s="11">
        <f>H3-G3</f>
        <v>-20</v>
      </c>
      <c r="J3" s="11"/>
      <c r="K3" s="11"/>
      <c r="L3" s="11"/>
      <c r="M3" s="12"/>
    </row>
    <row r="4" s="1" customFormat="1" ht="56" customHeight="1" spans="1:13">
      <c r="A4" s="13">
        <v>2</v>
      </c>
      <c r="B4" s="9" t="s">
        <v>15</v>
      </c>
      <c r="C4" s="10">
        <v>16</v>
      </c>
      <c r="D4" s="10"/>
      <c r="E4" s="11">
        <f t="shared" si="0"/>
        <v>16</v>
      </c>
      <c r="F4" s="11" t="s">
        <v>14</v>
      </c>
      <c r="G4" s="11">
        <f>2+6+6+14+12+12+6+8+6+10+12+16+8+10+16+12+18+14+12+16+14+16</f>
        <v>246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102</v>
      </c>
      <c r="D5" s="12">
        <v>101</v>
      </c>
      <c r="E5" s="11">
        <f t="shared" si="0"/>
        <v>203</v>
      </c>
      <c r="F5" s="11" t="s">
        <v>14</v>
      </c>
      <c r="G5" s="11">
        <f>194+212+192+80+67+147+128+183+71+75+187+182+204+177+207+189+200+178+122+203</f>
        <v>3198</v>
      </c>
      <c r="H5" s="14">
        <v>3715</v>
      </c>
      <c r="I5" s="14">
        <f>H5-G5-G7-G6</f>
        <v>265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0</v>
      </c>
      <c r="D7" s="12">
        <v>0</v>
      </c>
      <c r="E7" s="11">
        <f t="shared" si="0"/>
        <v>0</v>
      </c>
      <c r="F7" s="11" t="s">
        <v>14</v>
      </c>
      <c r="G7" s="11">
        <f>0+151+1+12+1+75+2+1+3+1+1+1+1+2</f>
        <v>252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1</v>
      </c>
      <c r="D8" s="12">
        <v>0</v>
      </c>
      <c r="E8" s="11">
        <f t="shared" si="0"/>
        <v>1</v>
      </c>
      <c r="F8" s="11" t="s">
        <v>14</v>
      </c>
      <c r="G8" s="11">
        <f>0+7+2+1+1+3+2+1+1+1</f>
        <v>19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33.14</v>
      </c>
      <c r="D9" s="19"/>
      <c r="E9" s="14">
        <f>30.61+31.24+32.95+63.63+62.6+62.75+61.88+62.41+31.98+33.14</f>
        <v>473.19</v>
      </c>
      <c r="F9" s="14" t="s">
        <v>14</v>
      </c>
      <c r="G9" s="14">
        <f>0.251002+0.253044+0.28337+0.559944+0.52584+0.53965+0.482664+0.518003+0.297414+0.304888</f>
        <v>4.015819</v>
      </c>
      <c r="H9" s="14">
        <v>4.26</v>
      </c>
      <c r="I9" s="14">
        <f>H9-G9</f>
        <v>0.244180999999999</v>
      </c>
      <c r="J9" s="20" t="s">
        <v>21</v>
      </c>
      <c r="K9" s="21">
        <v>0.92</v>
      </c>
      <c r="L9" s="14">
        <f>C9*K9/100</f>
        <v>0.304888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5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4.05</v>
      </c>
      <c r="D11" s="11">
        <v>1.323</v>
      </c>
      <c r="E11" s="11">
        <f>C11+D11</f>
        <v>5.373</v>
      </c>
      <c r="F11" s="11" t="s">
        <v>14</v>
      </c>
      <c r="G11" s="11">
        <f>2.916+2.106+3.9285+4.941+5.4+5.5215+3.78+5.616+10.287+5.4945+5.751+8.3835+3.7395+4.995+7.4655+5.616+7.6005+9.7065+7.1955+5.94+7.803+5.373</f>
        <v>129.5595</v>
      </c>
      <c r="H11" s="11"/>
      <c r="I11" s="11">
        <f>G11/(G3*0.1865)</f>
        <v>2.76768529100755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11.6288</v>
      </c>
      <c r="D12" s="11">
        <v>0</v>
      </c>
      <c r="E12" s="11">
        <f t="shared" ref="E12:E20" si="1">D12+C12</f>
        <v>11.6288</v>
      </c>
      <c r="F12" s="11" t="s">
        <v>14</v>
      </c>
      <c r="G12" s="11">
        <f>16.0816+6.2008+10.9112+15.1432+14.72+14.4072+5.4832+9.5312+10.8008+11.04+12.8064+15.0328+7.4336+9.1816+14.996+17.0384+14.8488+17.2592+12.3648+12.3832+16.5784+11.6288</f>
        <v>275.8712</v>
      </c>
      <c r="H12" s="11"/>
      <c r="I12" s="11">
        <f>G12/(G3*0.1865)</f>
        <v>5.8932356365423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164</v>
      </c>
      <c r="D13" s="12">
        <v>180</v>
      </c>
      <c r="E13" s="11">
        <f t="shared" si="1"/>
        <v>344</v>
      </c>
      <c r="F13" s="11" t="s">
        <v>25</v>
      </c>
      <c r="G13" s="11">
        <f>145+157+466+386+373+204+281+313+273+424+344+249+410+427+391+446+455+395+460+418+318+344</f>
        <v>7679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533.47</v>
      </c>
      <c r="D14" s="12">
        <v>561.08</v>
      </c>
      <c r="E14" s="11">
        <f t="shared" si="1"/>
        <v>1094.55</v>
      </c>
      <c r="F14" s="11" t="s">
        <v>25</v>
      </c>
      <c r="G14" s="11">
        <f>483.5+783.2+510.74+939.78+979.62+614.28+889+1094.8+1043.97+1077.03+1031.4+834.36+721.8+948.08+1082.68+1091.06+1095.37+1043.62+1007.33+697.64+1002.19+1094.55</f>
        <v>20066</v>
      </c>
      <c r="H14" s="11"/>
      <c r="I14" s="11"/>
      <c r="J14" s="11">
        <f>(C14*K14+L14*D14)/1000</f>
        <v>3.587363</v>
      </c>
      <c r="K14" s="11">
        <v>3.38</v>
      </c>
      <c r="L14" s="11">
        <v>3.18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1.310285+2.0899372+1.404535+2.4071166+2.6790316+1.6754062+3.2865396+3.1698534+2.7357691+2.874285+2.887902+2.4751564+2.2589082+2.897402+3.3175156+3.1317578+3.0931685+3.1982+3.5122196+2.3382292+3.7882782+3.587363</f>
        <v>60.1188592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15</v>
      </c>
      <c r="D16" s="12">
        <v>12</v>
      </c>
      <c r="E16" s="11">
        <f t="shared" si="1"/>
        <v>27</v>
      </c>
      <c r="F16" s="11" t="s">
        <v>14</v>
      </c>
      <c r="G16" s="11">
        <f>16+12+36+30+24+21+21+16+25+30+28+21+31+30+35+39+33+33+36+32+27+27</f>
        <v>603</v>
      </c>
      <c r="H16" s="11"/>
      <c r="I16" s="11">
        <f>G16/(G3*0.1865)</f>
        <v>12.8814500710296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0.15</v>
      </c>
      <c r="D17" s="29">
        <v>0.2</v>
      </c>
      <c r="E17" s="11">
        <f t="shared" si="1"/>
        <v>0.35</v>
      </c>
      <c r="F17" s="11" t="s">
        <v>14</v>
      </c>
      <c r="G17" s="11">
        <f>0.3+0.1+0.075+0.275+0.075+0.175+0.15+0.175+0.15+0.35</f>
        <v>1.825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2+2+2+2+2+2+2+2+2+2+2+2</f>
        <v>24</v>
      </c>
      <c r="H18" s="28"/>
      <c r="I18" s="28">
        <f>G18/(G3*0.1865)</f>
        <v>0.512694530190231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1.5</v>
      </c>
      <c r="D19" s="29">
        <v>0</v>
      </c>
      <c r="E19" s="11">
        <f t="shared" si="1"/>
        <v>1.5</v>
      </c>
      <c r="F19" s="11" t="s">
        <v>14</v>
      </c>
      <c r="G19" s="11">
        <f>1.5+1.5+1.5+1.5+1.5+1.5+1.5+1.5+1.5+1.5+1.5+1.5</f>
        <v>18</v>
      </c>
      <c r="H19" s="28"/>
      <c r="I19" s="28">
        <f>G19/(G3*0.1865)</f>
        <v>0.384520897642673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12">
        <v>4</v>
      </c>
      <c r="D20" s="29">
        <v>2</v>
      </c>
      <c r="E20" s="11">
        <f t="shared" si="1"/>
        <v>6</v>
      </c>
      <c r="F20" s="11" t="s">
        <v>34</v>
      </c>
      <c r="G20" s="11">
        <f>5+1+9+9+5+4+6+6+7+5+6+5+9+10+8+9+5+10+9+11+7+6</f>
        <v>152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29">
        <v>0</v>
      </c>
      <c r="D21" s="29">
        <v>0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662</v>
      </c>
      <c r="D22" s="29">
        <v>667</v>
      </c>
      <c r="E22" s="11">
        <f>D22+C22</f>
        <v>1329</v>
      </c>
      <c r="F22" s="11" t="s">
        <v>25</v>
      </c>
      <c r="G22" s="11">
        <f>77+1309+1375+1310+1255+648+838+1041+1082+1379+1014+706+1361+1295+1358+1347+1312+1330+1279+1249+796+1329</f>
        <v>24690</v>
      </c>
      <c r="H22" s="30">
        <v>24</v>
      </c>
      <c r="I22" s="28">
        <f>E22/H22</f>
        <v>55.375</v>
      </c>
      <c r="J22" s="20" t="s">
        <v>93</v>
      </c>
      <c r="K22" s="11">
        <f>163+24+17.5+11+24+24+24+24+24+24+24+24+14.5+24</f>
        <v>446</v>
      </c>
      <c r="L22" s="11">
        <f>G22/K22</f>
        <v>55.3587443946188</v>
      </c>
      <c r="M22" s="11"/>
    </row>
    <row r="23" s="1" customFormat="1" ht="29" customHeight="1" spans="1:13">
      <c r="A23" s="8">
        <v>17</v>
      </c>
      <c r="B23" s="9" t="s">
        <v>39</v>
      </c>
      <c r="C23" s="29">
        <v>851</v>
      </c>
      <c r="D23" s="29">
        <v>892</v>
      </c>
      <c r="E23" s="11">
        <f>D23+C23</f>
        <v>1743</v>
      </c>
      <c r="F23" s="11" t="s">
        <v>25</v>
      </c>
      <c r="G23" s="11">
        <f>230+1465+1777+1642+1615+817+897+1369+1250+1724+1260+796+1560+1472+1684+1724+1677+1604+1696+1494+1019+1743</f>
        <v>30515</v>
      </c>
      <c r="H23" s="28"/>
      <c r="I23" s="28">
        <f>E23/H22</f>
        <v>72.625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30.6</v>
      </c>
      <c r="D24" s="29">
        <v>32.8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 t="s">
        <v>128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 t="s">
        <v>132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104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133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f>20.99</f>
        <v>20.99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6.26</v>
      </c>
      <c r="D32" s="12">
        <v>6.92</v>
      </c>
      <c r="E32" s="11">
        <f t="shared" si="2"/>
        <v>13.18</v>
      </c>
      <c r="F32" s="11" t="s">
        <v>25</v>
      </c>
      <c r="G32" s="11">
        <f>7.75+5.98+6.54+6.6+6.52+7.63+6.51+6.63+6.56+12.58+12.6+12.61+12.49+10.5+13.96+12.66+12.63+13.9+12.47+10.61+13.18</f>
        <v>210.91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4</v>
      </c>
      <c r="D33" s="12">
        <v>4</v>
      </c>
      <c r="E33" s="11">
        <f t="shared" si="2"/>
        <v>8</v>
      </c>
      <c r="F33" s="11" t="s">
        <v>25</v>
      </c>
      <c r="G33" s="11">
        <f>5+6+6+6+7+6+7+15+8+8+7+9+13+7+8+7+8+8+14+8+9+8</f>
        <v>180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41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1.3635</v>
      </c>
      <c r="D35" s="11">
        <v>0</v>
      </c>
      <c r="E35" s="11">
        <f t="shared" si="2"/>
        <v>1.3635</v>
      </c>
      <c r="F35" s="11" t="s">
        <v>14</v>
      </c>
      <c r="G35" s="11">
        <f>7.8165+0+12.906+4.725+7.965+9.6795+6.8175+5.6025+16.6455+12.8925+11.8935+1.3635</f>
        <v>98.307</v>
      </c>
      <c r="H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25</v>
      </c>
      <c r="G37" s="11">
        <f>236+44+19+18+6+4+6</f>
        <v>333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318</v>
      </c>
      <c r="D38" s="12">
        <v>320</v>
      </c>
      <c r="E38" s="11">
        <f t="shared" si="2"/>
        <v>638</v>
      </c>
      <c r="F38" s="11" t="s">
        <v>25</v>
      </c>
      <c r="G38" s="11">
        <f>742+655+537+480+750+654+584+428+488+458+553+510+535+521+499+539+633+728+656+665+568+638</f>
        <v>12821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si="3"/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750*0.74</f>
        <v>555</v>
      </c>
      <c r="J40" s="27"/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86.86*1.33</f>
        <v>115.5238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2</v>
      </c>
      <c r="D42" s="29">
        <v>0</v>
      </c>
      <c r="E42" s="11">
        <f>D42+C42</f>
        <v>2</v>
      </c>
      <c r="F42" s="11" t="s">
        <v>34</v>
      </c>
      <c r="G42" s="11">
        <f>3+3+1+1+5+1+2+2+2+3+2+2+3+2+2+3+2+2+2+2+2</f>
        <v>47</v>
      </c>
      <c r="H42" s="28"/>
      <c r="I42" s="11">
        <v>28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0" workbookViewId="0">
      <pane xSplit="2" topLeftCell="C1" activePane="topRight" state="frozen"/>
      <selection/>
      <selection pane="topRight" activeCell="C27" sqref="C27:L27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7" width="10.375" style="2"/>
    <col min="18" max="16384" width="9" style="2"/>
  </cols>
  <sheetData>
    <row r="1" s="1" customFormat="1" ht="42" customHeight="1" spans="1:13">
      <c r="A1" s="4" t="s">
        <v>134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7</v>
      </c>
      <c r="D3" s="10">
        <v>7</v>
      </c>
      <c r="E3" s="11">
        <f t="shared" ref="E3:E8" si="0">C3+D3</f>
        <v>14</v>
      </c>
      <c r="F3" s="11" t="s">
        <v>14</v>
      </c>
      <c r="G3" s="11">
        <f>3+6.5+13+13+10.5+9.5+7.5+5.5+9.5+14+14.5+9+9.5+14+14+15.5+15+14.5+15.5+14+12.5+11+14</f>
        <v>265</v>
      </c>
      <c r="H3" s="11">
        <v>231</v>
      </c>
      <c r="I3" s="11">
        <f>H3-G3</f>
        <v>-34</v>
      </c>
      <c r="J3" s="11"/>
      <c r="K3" s="11"/>
      <c r="L3" s="11"/>
      <c r="M3" s="12"/>
    </row>
    <row r="4" s="1" customFormat="1" ht="56" customHeight="1" spans="1:13">
      <c r="A4" s="13">
        <v>2</v>
      </c>
      <c r="B4" s="9" t="s">
        <v>15</v>
      </c>
      <c r="C4" s="10">
        <v>12</v>
      </c>
      <c r="D4" s="10"/>
      <c r="E4" s="11">
        <f t="shared" si="0"/>
        <v>12</v>
      </c>
      <c r="F4" s="11" t="s">
        <v>14</v>
      </c>
      <c r="G4" s="11">
        <f>2+6+6+14+12+12+6+8+6+10+12+16+8+10+16+12+18+14+12+16+14+16+12</f>
        <v>258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96</v>
      </c>
      <c r="D5" s="12">
        <v>98</v>
      </c>
      <c r="E5" s="11">
        <f t="shared" si="0"/>
        <v>194</v>
      </c>
      <c r="F5" s="11" t="s">
        <v>14</v>
      </c>
      <c r="G5" s="11">
        <f>194+212+192+80+67+147+128+183+71+75+187+182+204+177+207+189+200+178+122+203+194</f>
        <v>3392</v>
      </c>
      <c r="H5" s="14">
        <v>3715</v>
      </c>
      <c r="I5" s="14">
        <f>H5-G5-G7-G6</f>
        <v>71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0</v>
      </c>
      <c r="D7" s="12">
        <v>0</v>
      </c>
      <c r="E7" s="11">
        <f t="shared" si="0"/>
        <v>0</v>
      </c>
      <c r="F7" s="11" t="s">
        <v>14</v>
      </c>
      <c r="G7" s="11">
        <f>0+151+1+12+1+75+2+1+3+1+1+1+1+2</f>
        <v>252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0+7+2+1+1+3+2+1+1+1</f>
        <v>19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61.23</v>
      </c>
      <c r="D9" s="19"/>
      <c r="E9" s="14">
        <f>30.61+31.24+32.95+63.63+62.6+62.75+61.88+62.41+31.98+33.14+61.23</f>
        <v>534.42</v>
      </c>
      <c r="F9" s="14" t="s">
        <v>14</v>
      </c>
      <c r="G9" s="14">
        <f>0.251002+0.253044+0.28337+0.559944+0.52584+0.53965+0.482664+0.518003+0.297414+0.304888+0.569439</f>
        <v>4.585258</v>
      </c>
      <c r="H9" s="14">
        <v>4.26</v>
      </c>
      <c r="I9" s="14">
        <f>H9-G9</f>
        <v>-0.325258000000001</v>
      </c>
      <c r="J9" s="20" t="s">
        <v>21</v>
      </c>
      <c r="K9" s="21">
        <v>0.93</v>
      </c>
      <c r="L9" s="14">
        <f>C9*K9/100</f>
        <v>0.569439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5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6.642</v>
      </c>
      <c r="D11" s="11">
        <v>0</v>
      </c>
      <c r="E11" s="11">
        <f>C11+D11</f>
        <v>6.642</v>
      </c>
      <c r="F11" s="11" t="s">
        <v>14</v>
      </c>
      <c r="G11" s="11">
        <f>2.916+2.106+3.9285+4.941+5.4+5.5215+3.78+5.616+10.287+5.4945+5.751+8.3835+3.7395+4.995+7.4655+5.616+7.6005+9.7065+7.1955+5.94+7.803+5.373+6.642</f>
        <v>136.2015</v>
      </c>
      <c r="H11" s="11"/>
      <c r="I11" s="11">
        <f>G11/(G3*0.1865)</f>
        <v>2.75586018513835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16.5416</v>
      </c>
      <c r="D12" s="11">
        <v>0</v>
      </c>
      <c r="E12" s="11">
        <f t="shared" ref="E12:E20" si="1">D12+C12</f>
        <v>16.5416</v>
      </c>
      <c r="F12" s="11" t="s">
        <v>14</v>
      </c>
      <c r="G12" s="11">
        <f>16.0816+6.2008+10.9112+15.1432+14.72+14.4072+5.4832+9.5312+10.8008+11.04+12.8064+15.0328+7.4336+9.1816+14.996+17.0384+14.8488+17.2592+12.3648+12.3832+16.5784+11.6288+16.5416</f>
        <v>292.4128</v>
      </c>
      <c r="H12" s="11"/>
      <c r="I12" s="11">
        <f>G12/(G3*0.1865)</f>
        <v>5.91659264505033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197</v>
      </c>
      <c r="D13" s="12">
        <v>194</v>
      </c>
      <c r="E13" s="11">
        <f t="shared" si="1"/>
        <v>391</v>
      </c>
      <c r="F13" s="11" t="s">
        <v>25</v>
      </c>
      <c r="G13" s="11">
        <f>145+157+466+386+373+204+281+313+273+424+344+249+410+427+391+446+455+395+460+418+318+344+391</f>
        <v>8070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559.25</v>
      </c>
      <c r="D14" s="12">
        <v>544.95</v>
      </c>
      <c r="E14" s="11">
        <f t="shared" si="1"/>
        <v>1104.2</v>
      </c>
      <c r="F14" s="11" t="s">
        <v>25</v>
      </c>
      <c r="G14" s="11">
        <f>483.5+783.2+510.74+939.78+979.62+614.28+889+1094.8+1043.97+1077.03+1031.4+834.36+721.8+948.08+1082.68+1091.06+1095.37+1043.62+1007.33+697.64+1002.19+1094.55+1104.2</f>
        <v>21170.2</v>
      </c>
      <c r="H14" s="11"/>
      <c r="I14" s="11"/>
      <c r="J14" s="11">
        <f>(C14*K14+L14*D14)/1000</f>
        <v>3.257247</v>
      </c>
      <c r="K14" s="11">
        <v>2.94</v>
      </c>
      <c r="L14" s="11">
        <v>2.96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1.310285+2.0899372+1.404535+2.4071166+2.6790316+1.6754062+3.2865396+3.1698534+2.7357691+2.874285+2.887902+2.4751564+2.2589082+2.897402+3.3175156+3.1317578+3.0931685+3.1982+3.5122196+2.3382292+3.7882782+3.587363+3.257247</f>
        <v>63.3761062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18</v>
      </c>
      <c r="D16" s="12">
        <v>15</v>
      </c>
      <c r="E16" s="11">
        <f t="shared" si="1"/>
        <v>33</v>
      </c>
      <c r="F16" s="11" t="s">
        <v>14</v>
      </c>
      <c r="G16" s="11">
        <f>16+12+36+30+24+21+21+16+25+30+28+21+31+30+35+39+33+33+36+32+27+27+33</f>
        <v>636</v>
      </c>
      <c r="H16" s="11"/>
      <c r="I16" s="11">
        <f>G16/(G3*0.1865)</f>
        <v>12.8686327077748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0.1</v>
      </c>
      <c r="D17" s="29">
        <v>0.15</v>
      </c>
      <c r="E17" s="11">
        <f t="shared" si="1"/>
        <v>0.25</v>
      </c>
      <c r="F17" s="11" t="s">
        <v>14</v>
      </c>
      <c r="G17" s="11">
        <f>0.3+0.1+0.075+0.275+0.075+0.175+0.15+0.175+0.15+0.35+0.25</f>
        <v>2.075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2+2+2+2+2+2+2+2+2+2+2+2+2</f>
        <v>26</v>
      </c>
      <c r="H18" s="28"/>
      <c r="I18" s="28">
        <f>G18/(G3*0.1865)</f>
        <v>0.526076179877586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1.5</v>
      </c>
      <c r="D19" s="29">
        <v>0</v>
      </c>
      <c r="E19" s="11">
        <f t="shared" si="1"/>
        <v>1.5</v>
      </c>
      <c r="F19" s="11" t="s">
        <v>14</v>
      </c>
      <c r="G19" s="11">
        <f>1.5+1.5+1.5+1.5+1.5+1.5+1.5+1.5+1.5+1.5+1.5+1.5+1.5</f>
        <v>19.5</v>
      </c>
      <c r="H19" s="28"/>
      <c r="I19" s="28">
        <f>G19/(G3*0.1865)</f>
        <v>0.39455713490819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12">
        <v>3</v>
      </c>
      <c r="D20" s="29">
        <v>6</v>
      </c>
      <c r="E20" s="11">
        <f t="shared" si="1"/>
        <v>9</v>
      </c>
      <c r="F20" s="11" t="s">
        <v>34</v>
      </c>
      <c r="G20" s="11">
        <f>5+1+9+9+5+4+6+6+7+5+6+5+9+10+8+9+5+10+9+11+7+6+9</f>
        <v>161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29">
        <v>0</v>
      </c>
      <c r="D21" s="29">
        <v>0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655</v>
      </c>
      <c r="D22" s="29">
        <v>657</v>
      </c>
      <c r="E22" s="11">
        <f>D22+C22</f>
        <v>1312</v>
      </c>
      <c r="F22" s="11" t="s">
        <v>25</v>
      </c>
      <c r="G22" s="11">
        <f>77+1309+1375+1310+1255+648+838+1041+1082+1379+1014+706+1361+1295+1358+1347+1312+1330+1279+1249+796+1329+1312</f>
        <v>26002</v>
      </c>
      <c r="H22" s="30">
        <v>24</v>
      </c>
      <c r="I22" s="28">
        <f>E22/H22</f>
        <v>54.6666666666667</v>
      </c>
      <c r="J22" s="20" t="s">
        <v>93</v>
      </c>
      <c r="K22" s="11">
        <f>163+24+17.5+11+24+24+24+24+24+24+24+24+14.5+24+24</f>
        <v>470</v>
      </c>
      <c r="L22" s="11">
        <f>G22/K22</f>
        <v>55.3234042553191</v>
      </c>
      <c r="M22" s="11"/>
    </row>
    <row r="23" s="1" customFormat="1" ht="29" customHeight="1" spans="1:13">
      <c r="A23" s="8">
        <v>17</v>
      </c>
      <c r="B23" s="9" t="s">
        <v>39</v>
      </c>
      <c r="C23" s="29">
        <v>769</v>
      </c>
      <c r="D23" s="29">
        <v>872</v>
      </c>
      <c r="E23" s="11">
        <f>D23+C23</f>
        <v>1641</v>
      </c>
      <c r="F23" s="11" t="s">
        <v>25</v>
      </c>
      <c r="G23" s="11">
        <f>230+1465+1777+1642+1615+817+897+1369+1250+1724+1260+796+1560+1472+1684+1724+1677+1604+1696+1494+1019+1743+1641</f>
        <v>32156</v>
      </c>
      <c r="H23" s="28"/>
      <c r="I23" s="28">
        <f>E23/H22</f>
        <v>68.375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34</v>
      </c>
      <c r="D24" s="29">
        <v>30.34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 t="s">
        <v>128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 t="s">
        <v>132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104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135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f>20.99</f>
        <v>20.99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6.25</v>
      </c>
      <c r="D32" s="12">
        <v>6.5</v>
      </c>
      <c r="E32" s="11">
        <f t="shared" si="2"/>
        <v>12.75</v>
      </c>
      <c r="F32" s="11" t="s">
        <v>25</v>
      </c>
      <c r="G32" s="11">
        <f>7.75+5.98+6.54+6.6+6.52+7.63+6.51+6.63+6.56+12.58+12.6+12.61+12.49+10.5+13.96+12.66+12.63+13.9+12.47+10.61+13.18+12.75</f>
        <v>223.66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5</v>
      </c>
      <c r="D33" s="12">
        <v>4</v>
      </c>
      <c r="E33" s="11">
        <f t="shared" si="2"/>
        <v>9</v>
      </c>
      <c r="F33" s="11" t="s">
        <v>25</v>
      </c>
      <c r="G33" s="11">
        <f>5+6+6+6+7+6+7+15+8+8+7+9+13+7+8+7+8+8+14+8+9+8+9</f>
        <v>189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41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14.6745</v>
      </c>
      <c r="D35" s="11">
        <v>0</v>
      </c>
      <c r="E35" s="11">
        <f t="shared" si="2"/>
        <v>14.6745</v>
      </c>
      <c r="F35" s="11" t="s">
        <v>14</v>
      </c>
      <c r="G35" s="11">
        <f>7.8165+0+12.906+4.725+7.965+9.6795+6.8175+5.6025+16.6455+12.8925+11.8935+1.3635+14.6745</f>
        <v>112.9815</v>
      </c>
      <c r="H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33</v>
      </c>
      <c r="D37" s="12">
        <v>0</v>
      </c>
      <c r="E37" s="11">
        <f t="shared" si="2"/>
        <v>33</v>
      </c>
      <c r="F37" s="11" t="s">
        <v>25</v>
      </c>
      <c r="G37" s="11">
        <f>236+44+19+18+6+4+6+33</f>
        <v>366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393</v>
      </c>
      <c r="D38" s="12">
        <v>340</v>
      </c>
      <c r="E38" s="11">
        <f t="shared" si="2"/>
        <v>733</v>
      </c>
      <c r="F38" s="11" t="s">
        <v>25</v>
      </c>
      <c r="G38" s="11">
        <f>742+655+537+480+750+654+584+428+488+458+553+510+535+521+499+539+633+728+656+665+568+638+733</f>
        <v>13554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si="3"/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750*0.66</f>
        <v>495</v>
      </c>
      <c r="J40" s="27"/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86.86*1.33</f>
        <v>115.5238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2</v>
      </c>
      <c r="D42" s="29">
        <v>0</v>
      </c>
      <c r="E42" s="11">
        <f>D42+C42</f>
        <v>2</v>
      </c>
      <c r="F42" s="11" t="s">
        <v>34</v>
      </c>
      <c r="G42" s="11">
        <f>3+3+1+1+5+1+2+2+2+3+2+2+3+2+2+3+2+2+2+2+2+2</f>
        <v>49</v>
      </c>
      <c r="H42" s="28"/>
      <c r="I42" s="11">
        <v>20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2" workbookViewId="0">
      <pane xSplit="2" topLeftCell="C1" activePane="topRight" state="frozen"/>
      <selection/>
      <selection pane="topRight" activeCell="C25" sqref="C25:L2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7" width="10.375" style="2"/>
    <col min="18" max="16384" width="9" style="2"/>
  </cols>
  <sheetData>
    <row r="1" s="1" customFormat="1" ht="42" customHeight="1" spans="1:13">
      <c r="A1" s="4" t="s">
        <v>136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7</v>
      </c>
      <c r="D3" s="10">
        <v>7.5</v>
      </c>
      <c r="E3" s="11">
        <f t="shared" ref="E3:E8" si="0">C3+D3</f>
        <v>14.5</v>
      </c>
      <c r="F3" s="11" t="s">
        <v>14</v>
      </c>
      <c r="G3" s="11">
        <f>3+6.5+13+13+10.5+9.5+7.5+5.5+9.5+14+14.5+9+9.5+14+14+15.5+15+14.5+15.5+14+12.5+11+14+14.5</f>
        <v>279.5</v>
      </c>
      <c r="H3" s="11">
        <v>231</v>
      </c>
      <c r="I3" s="11">
        <f>H3-G3</f>
        <v>-48.5</v>
      </c>
      <c r="J3" s="11"/>
      <c r="K3" s="11"/>
      <c r="L3" s="11"/>
      <c r="M3" s="12"/>
    </row>
    <row r="4" s="1" customFormat="1" ht="56" customHeight="1" spans="1:13">
      <c r="A4" s="13">
        <v>2</v>
      </c>
      <c r="B4" s="9" t="s">
        <v>15</v>
      </c>
      <c r="C4" s="10">
        <v>10</v>
      </c>
      <c r="D4" s="10"/>
      <c r="E4" s="11">
        <f t="shared" si="0"/>
        <v>10</v>
      </c>
      <c r="F4" s="11" t="s">
        <v>14</v>
      </c>
      <c r="G4" s="11">
        <f>2+6+6+14+12+12+6+8+6+10+12+16+8+10+16+12+18+14+12+16+14+16+12+10</f>
        <v>268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71</v>
      </c>
      <c r="D5" s="12">
        <v>102</v>
      </c>
      <c r="E5" s="11">
        <f t="shared" si="0"/>
        <v>173</v>
      </c>
      <c r="F5" s="11" t="s">
        <v>14</v>
      </c>
      <c r="G5" s="11">
        <f>194+212+192+80+67+147+128+183+71+75+187+182+204+177+207+189+200+178+122+203+194+173</f>
        <v>3565</v>
      </c>
      <c r="H5" s="14">
        <v>3715</v>
      </c>
      <c r="I5" s="14">
        <f>H5-G5-G7-G6</f>
        <v>-103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1</v>
      </c>
      <c r="D7" s="12">
        <v>0</v>
      </c>
      <c r="E7" s="11">
        <f t="shared" si="0"/>
        <v>1</v>
      </c>
      <c r="F7" s="11" t="s">
        <v>14</v>
      </c>
      <c r="G7" s="11">
        <f>0+151+1+12+1+75+2+1+3+1+1+1+1+2+1</f>
        <v>253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0+7+2+1+1+3+2+1+1+1</f>
        <v>19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31.21</v>
      </c>
      <c r="D9" s="19"/>
      <c r="E9" s="14">
        <f>30.61+31.24+32.95+63.63+62.6+62.75+61.88+62.41+31.98+33.14+61.23+31.21</f>
        <v>565.63</v>
      </c>
      <c r="F9" s="14" t="s">
        <v>14</v>
      </c>
      <c r="G9" s="14">
        <f>0.251002+0.253044+0.28337+0.559944+0.52584+0.53965+0.482664+0.518003+0.297414+0.304888+0.569439+0.262164</f>
        <v>4.847422</v>
      </c>
      <c r="H9" s="14">
        <v>4.26</v>
      </c>
      <c r="I9" s="14">
        <f>H9-G9</f>
        <v>-0.587422000000001</v>
      </c>
      <c r="J9" s="20" t="s">
        <v>21</v>
      </c>
      <c r="K9" s="21">
        <v>0.84</v>
      </c>
      <c r="L9" s="14">
        <f>C9*K9/100</f>
        <v>0.262164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4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5.9805</v>
      </c>
      <c r="D11" s="11">
        <v>0</v>
      </c>
      <c r="E11" s="11">
        <f>C11+D11</f>
        <v>5.9805</v>
      </c>
      <c r="F11" s="11" t="s">
        <v>14</v>
      </c>
      <c r="G11" s="11">
        <f>2.916+2.106+3.9285+4.941+5.4+5.5215+3.78+5.616+10.287+5.4945+5.751+8.3835+3.7395+4.995+7.4655+5.616+7.6005+9.7065+7.1955+5.94+7.803+5.373+6.642+5.9805</f>
        <v>142.182</v>
      </c>
      <c r="H11" s="11"/>
      <c r="I11" s="11">
        <f>G11/(G3*0.1865)</f>
        <v>2.72762065542164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13.34</v>
      </c>
      <c r="D12" s="11">
        <v>0</v>
      </c>
      <c r="E12" s="11">
        <f t="shared" ref="E12:E20" si="1">D12+C12</f>
        <v>13.34</v>
      </c>
      <c r="F12" s="11" t="s">
        <v>14</v>
      </c>
      <c r="G12" s="11">
        <f>16.0816+6.2008+10.9112+15.1432+14.72+14.4072+5.4832+9.5312+10.8008+11.04+12.8064+15.0328+7.4336+9.1816+14.996+17.0384+14.8488+17.2592+12.3648+12.3832+16.5784+11.6288+16.5416+13.34</f>
        <v>305.7528</v>
      </c>
      <c r="H12" s="11"/>
      <c r="I12" s="11">
        <f>G12/(G3*0.1865)</f>
        <v>5.86556422566149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184</v>
      </c>
      <c r="D13" s="12">
        <v>237</v>
      </c>
      <c r="E13" s="11">
        <f t="shared" si="1"/>
        <v>421</v>
      </c>
      <c r="F13" s="11" t="s">
        <v>25</v>
      </c>
      <c r="G13" s="11">
        <f>145+157+466+386+373+204+281+313+273+424+344+249+410+427+391+446+455+395+460+418+318+344+391+421</f>
        <v>8491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517.49</v>
      </c>
      <c r="D14" s="12">
        <v>520.92</v>
      </c>
      <c r="E14" s="11">
        <f t="shared" si="1"/>
        <v>1038.41</v>
      </c>
      <c r="F14" s="11" t="s">
        <v>25</v>
      </c>
      <c r="G14" s="11">
        <f>483.5+783.2+510.74+939.78+979.62+614.28+889+1094.8+1043.97+1077.03+1031.4+834.36+721.8+948.08+1082.68+1091.06+1095.37+1043.62+1007.33+697.64+1002.19+1094.55+1104.2+1038.41</f>
        <v>22208.61</v>
      </c>
      <c r="H14" s="11"/>
      <c r="I14" s="11"/>
      <c r="J14" s="11">
        <f>(C14*K14+L14*D14)/1000</f>
        <v>3.0793144</v>
      </c>
      <c r="K14" s="11">
        <v>2.84</v>
      </c>
      <c r="L14" s="11">
        <v>3.09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1.310285+2.0899372+1.404535+2.4071166+2.6790316+1.6754062+3.2865396+3.1698534+2.7357691+2.874285+2.887902+2.4751564+2.2589082+2.897402+3.3175156+3.1317578+3.0931685+3.1982+3.5122196+2.3382292+3.7882782+3.587363+3.257247+3.0793144</f>
        <v>66.4554206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18</v>
      </c>
      <c r="D16" s="12">
        <v>15</v>
      </c>
      <c r="E16" s="11">
        <f t="shared" si="1"/>
        <v>33</v>
      </c>
      <c r="F16" s="11" t="s">
        <v>14</v>
      </c>
      <c r="G16" s="11">
        <f>16+12+36+30+24+21+21+16+25+30+28+21+31+30+35+39+33+33+36+32+27+27+33+33</f>
        <v>669</v>
      </c>
      <c r="H16" s="11"/>
      <c r="I16" s="11">
        <f>G16/(G3*0.1865)</f>
        <v>12.8341014929954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0.3+0.1+0.075+0.275+0.075+0.175+0.15+0.175+0.15+0.35+0.25</f>
        <v>2.075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2+2+2+2+2+2+2+2+2+2+2+2+2</f>
        <v>26</v>
      </c>
      <c r="H18" s="28"/>
      <c r="I18" s="28">
        <f>G18/(G3*0.1865)</f>
        <v>0.498784213479643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1.5+1.5+1.5+1.5+1.5+1.5+1.5+1.5+1.5+1.5+1.5+1.5+1.5</f>
        <v>19.5</v>
      </c>
      <c r="H19" s="28"/>
      <c r="I19" s="28">
        <f>G19/(G3*0.1865)</f>
        <v>0.374088160109733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12">
        <v>2</v>
      </c>
      <c r="D20" s="29">
        <v>4</v>
      </c>
      <c r="E20" s="11">
        <f t="shared" si="1"/>
        <v>6</v>
      </c>
      <c r="F20" s="11" t="s">
        <v>34</v>
      </c>
      <c r="G20" s="11">
        <f>5+1+9+9+5+4+6+6+7+5+6+5+9+10+8+9+5+10+9+11+7+6+9+6</f>
        <v>167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29">
        <v>0</v>
      </c>
      <c r="D21" s="29">
        <v>0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520</v>
      </c>
      <c r="D22" s="29">
        <v>628</v>
      </c>
      <c r="E22" s="11">
        <f>D22+C22</f>
        <v>1148</v>
      </c>
      <c r="F22" s="11" t="s">
        <v>25</v>
      </c>
      <c r="G22" s="11">
        <f>77+1309+1375+1310+1255+648+838+1041+1082+1379+1014+706+1361+1295+1358+1347+1312+1330+1279+1249+796+1329+1312+1148</f>
        <v>27150</v>
      </c>
      <c r="H22" s="30">
        <v>21.5</v>
      </c>
      <c r="I22" s="28">
        <f>E22/H22</f>
        <v>53.3953488372093</v>
      </c>
      <c r="J22" s="20" t="s">
        <v>93</v>
      </c>
      <c r="K22" s="11">
        <f>163+24+17.5+11+24+24+24+24+24+24+24+24+14.5+24+24+21.5</f>
        <v>491.5</v>
      </c>
      <c r="L22" s="11">
        <f>G22/K22</f>
        <v>55.2390640895219</v>
      </c>
      <c r="M22" s="11"/>
    </row>
    <row r="23" s="1" customFormat="1" ht="29" customHeight="1" spans="1:13">
      <c r="A23" s="8">
        <v>17</v>
      </c>
      <c r="B23" s="9" t="s">
        <v>39</v>
      </c>
      <c r="C23" s="29">
        <v>652</v>
      </c>
      <c r="D23" s="29">
        <v>818</v>
      </c>
      <c r="E23" s="11">
        <f>D23+C23</f>
        <v>1470</v>
      </c>
      <c r="F23" s="11" t="s">
        <v>25</v>
      </c>
      <c r="G23" s="11">
        <f>230+1465+1777+1642+1615+817+897+1369+1250+1724+1260+796+1560+1472+1684+1724+1677+1604+1696+1494+1019+1743+1641+1470</f>
        <v>33626</v>
      </c>
      <c r="H23" s="28"/>
      <c r="I23" s="28">
        <f>E23/H22</f>
        <v>68.3720930232558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28.88</v>
      </c>
      <c r="D24" s="29">
        <v>28.13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 t="s">
        <v>128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 t="s">
        <v>132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104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137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f>20.99</f>
        <v>20.99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6.3</v>
      </c>
      <c r="D32" s="12">
        <v>6.26</v>
      </c>
      <c r="E32" s="11">
        <f t="shared" si="2"/>
        <v>12.56</v>
      </c>
      <c r="F32" s="11" t="s">
        <v>25</v>
      </c>
      <c r="G32" s="11">
        <f>7.75+5.98+6.54+6.6+6.52+7.63+6.51+6.63+6.56+12.58+12.6+12.61+12.49+10.5+13.96+12.66+12.63+13.9+12.47+10.61+13.18+12.75+12.56</f>
        <v>236.22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9</v>
      </c>
      <c r="D33" s="12">
        <v>1</v>
      </c>
      <c r="E33" s="11">
        <f t="shared" si="2"/>
        <v>10</v>
      </c>
      <c r="F33" s="11" t="s">
        <v>25</v>
      </c>
      <c r="G33" s="11">
        <f>5+6+6+6+7+6+7+15+8+8+7+9+13+7+8+7+8+8+14+8+9+8+9+10</f>
        <v>199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41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1">
        <f>7.8165+0+12.906+4.725+7.965+9.6795+6.8175+5.6025+16.6455+12.8925+11.8935+1.3635+14.6745</f>
        <v>112.9815</v>
      </c>
      <c r="H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25</v>
      </c>
      <c r="G37" s="11">
        <f>236+44+19+18+6+4+6+33</f>
        <v>366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413</v>
      </c>
      <c r="D38" s="12">
        <v>306</v>
      </c>
      <c r="E38" s="11">
        <f t="shared" si="2"/>
        <v>719</v>
      </c>
      <c r="F38" s="11" t="s">
        <v>25</v>
      </c>
      <c r="G38" s="11">
        <f>742+655+537+480+750+654+584+428+488+458+553+510+535+521+499+539+633+728+656+665+568+638+733+719</f>
        <v>14273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si="3"/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750*0.52</f>
        <v>390</v>
      </c>
      <c r="J40" s="27"/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86.86*1.31</f>
        <v>113.7866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2</v>
      </c>
      <c r="D42" s="29">
        <v>0</v>
      </c>
      <c r="E42" s="11">
        <f>D42+C42</f>
        <v>2</v>
      </c>
      <c r="F42" s="11" t="s">
        <v>34</v>
      </c>
      <c r="G42" s="11">
        <f>3+3+1+1+5+1+2+2+2+3+2+2+3+2+2+3+2+2+2+2+2+2+2</f>
        <v>51</v>
      </c>
      <c r="H42" s="28"/>
      <c r="I42" s="11">
        <v>22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2" workbookViewId="0">
      <pane xSplit="2" topLeftCell="C1" activePane="topRight" state="frozen"/>
      <selection/>
      <selection pane="topRight" activeCell="C28" sqref="C28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7" width="10.375" style="2"/>
    <col min="18" max="16384" width="9" style="2"/>
  </cols>
  <sheetData>
    <row r="1" s="1" customFormat="1" ht="42" customHeight="1" spans="1:13">
      <c r="A1" s="4" t="s">
        <v>138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5</v>
      </c>
      <c r="D3" s="10">
        <v>7</v>
      </c>
      <c r="E3" s="11">
        <f t="shared" ref="E3:E8" si="0">C3+D3</f>
        <v>12</v>
      </c>
      <c r="F3" s="11" t="s">
        <v>14</v>
      </c>
      <c r="G3" s="11">
        <f>3+6.5+13+13+10.5+9.5+7.5+5.5+9.5+14+14.5+9+9.5+14+14+15.5+15+14.5+15.5+14+12.5+11+14+14.5+12</f>
        <v>291.5</v>
      </c>
      <c r="H3" s="11">
        <v>231</v>
      </c>
      <c r="I3" s="11">
        <f>H3-G3</f>
        <v>-60.5</v>
      </c>
      <c r="J3" s="11"/>
      <c r="K3" s="11"/>
      <c r="L3" s="11"/>
      <c r="M3" s="12"/>
    </row>
    <row r="4" s="1" customFormat="1" ht="56" customHeight="1" spans="1:13">
      <c r="A4" s="13">
        <v>2</v>
      </c>
      <c r="B4" s="9" t="s">
        <v>15</v>
      </c>
      <c r="C4" s="10">
        <v>18</v>
      </c>
      <c r="D4" s="10"/>
      <c r="E4" s="11">
        <f t="shared" si="0"/>
        <v>18</v>
      </c>
      <c r="F4" s="11" t="s">
        <v>14</v>
      </c>
      <c r="G4" s="11">
        <f>2+6+6+14+12+12+6+8+6+10+12+16+8+10+16+12+18+14+12+16+14+16+12+10+18</f>
        <v>286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97</v>
      </c>
      <c r="D5" s="12">
        <v>88</v>
      </c>
      <c r="E5" s="11">
        <f t="shared" si="0"/>
        <v>185</v>
      </c>
      <c r="F5" s="11" t="s">
        <v>14</v>
      </c>
      <c r="G5" s="11">
        <f>194+212+192+80+67+147+128+183+71+75+187+182+204+177+207+189+200+178+122+203+194+173+185</f>
        <v>3750</v>
      </c>
      <c r="H5" s="14">
        <v>3715</v>
      </c>
      <c r="I5" s="14">
        <f>H5-G5-G7-G6</f>
        <v>-289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0</v>
      </c>
      <c r="D7" s="12">
        <v>1</v>
      </c>
      <c r="E7" s="11">
        <f t="shared" si="0"/>
        <v>1</v>
      </c>
      <c r="F7" s="11" t="s">
        <v>14</v>
      </c>
      <c r="G7" s="11">
        <f>0+151+1+12+1+75+2+1+3+1+1+1+1+2+1+1</f>
        <v>254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0+7+2+1+1+3+2+1+1+1</f>
        <v>19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61.79</v>
      </c>
      <c r="D9" s="19"/>
      <c r="E9" s="14">
        <f>30.61+31.24+32.95+63.63+62.6+62.75+61.88+62.41+31.98+33.14+61.23+31.21+61.79</f>
        <v>627.42</v>
      </c>
      <c r="F9" s="14" t="s">
        <v>14</v>
      </c>
      <c r="G9" s="14">
        <f>0.251002+0.253044+0.28337+0.559944+0.52584+0.53965+0.482664+0.518003+0.297414+0.304888+0.569439+0.262164+0.531394</f>
        <v>5.378816</v>
      </c>
      <c r="H9" s="14">
        <v>4.26</v>
      </c>
      <c r="I9" s="14">
        <f>H9-G9</f>
        <v>-1.118816</v>
      </c>
      <c r="J9" s="20" t="s">
        <v>21</v>
      </c>
      <c r="K9" s="21">
        <v>0.86</v>
      </c>
      <c r="L9" s="14">
        <f>C9*K9/100</f>
        <v>0.531394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5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6.453</v>
      </c>
      <c r="D11" s="11">
        <v>0</v>
      </c>
      <c r="E11" s="11">
        <f>C11+D11</f>
        <v>6.453</v>
      </c>
      <c r="F11" s="11" t="s">
        <v>14</v>
      </c>
      <c r="G11" s="11">
        <f>2.916+2.106+3.9285+4.941+5.4+5.5215+3.78+5.616+10.287+5.4945+5.751+8.3835+3.7395+4.995+7.4655+5.616+7.6005+9.7065+7.1955+5.94+7.803+5.373+6.642+5.9805+6.453</f>
        <v>148.635</v>
      </c>
      <c r="H11" s="11"/>
      <c r="I11" s="11">
        <f>G11/(G3*0.1865)</f>
        <v>2.73403262224143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11.8496</v>
      </c>
      <c r="D12" s="11">
        <v>0</v>
      </c>
      <c r="E12" s="11">
        <f t="shared" ref="E12:E20" si="1">D12+C12</f>
        <v>11.8496</v>
      </c>
      <c r="F12" s="11" t="s">
        <v>14</v>
      </c>
      <c r="G12" s="11">
        <f>16.0816+6.2008+10.9112+15.1432+14.72+14.4072+5.4832+9.5312+10.8008+11.04+12.8064+15.0328+7.4336+9.1816+14.996+17.0384+14.8488+17.2592+12.3648+12.3832+16.5784+11.6288+16.5416+13.34+11.8496</f>
        <v>317.6024</v>
      </c>
      <c r="H12" s="11"/>
      <c r="I12" s="11">
        <f>G12/(G3*0.1865)</f>
        <v>5.84206494097738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180</v>
      </c>
      <c r="D13" s="12">
        <v>164</v>
      </c>
      <c r="E13" s="11">
        <f t="shared" si="1"/>
        <v>344</v>
      </c>
      <c r="F13" s="11" t="s">
        <v>25</v>
      </c>
      <c r="G13" s="11">
        <f>145+157+466+386+373+204+281+313+273+424+344+249+410+427+391+446+455+395+460+418+318+344+391+421+344</f>
        <v>8835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479.48</v>
      </c>
      <c r="D14" s="12">
        <v>521.37</v>
      </c>
      <c r="E14" s="11">
        <f t="shared" si="1"/>
        <v>1000.85</v>
      </c>
      <c r="F14" s="11" t="s">
        <v>25</v>
      </c>
      <c r="G14" s="11">
        <f>483.5+783.2+510.74+939.78+979.62+614.28+889+1094.8+1043.97+1077.03+1031.4+834.36+721.8+948.08+1082.68+1091.06+1095.37+1043.62+1007.33+697.64+1002.19+1094.55+1104.2+1038.41+1000.85</f>
        <v>23209.46</v>
      </c>
      <c r="H14" s="11"/>
      <c r="I14" s="11"/>
      <c r="J14" s="11">
        <f>(C14*K14+L14*D14)/1000</f>
        <v>3.0988649</v>
      </c>
      <c r="K14" s="11">
        <v>3.19</v>
      </c>
      <c r="L14" s="11">
        <v>3.01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1.310285+2.0899372+1.404535+2.4071166+2.6790316+1.6754062+3.2865396+3.1698534+2.7357691+2.874285+2.887902+2.4751564+2.2589082+2.897402+3.3175156+3.1317578+3.0931685+3.1982+3.5122196+2.3382292+3.7882782+3.587363+3.257247+3.0793144+3.0988649</f>
        <v>69.5542855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15</v>
      </c>
      <c r="D16" s="12">
        <v>18</v>
      </c>
      <c r="E16" s="11">
        <f t="shared" si="1"/>
        <v>33</v>
      </c>
      <c r="F16" s="11" t="s">
        <v>14</v>
      </c>
      <c r="G16" s="11">
        <f>16+12+36+30+24+21+21+16+25+30+28+21+31+30+35+39+33+33+36+32+27+27+33+33+33</f>
        <v>702</v>
      </c>
      <c r="H16" s="11"/>
      <c r="I16" s="11">
        <f>G16/(G3*0.1865)</f>
        <v>12.9127789606317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0.15</v>
      </c>
      <c r="D17" s="29">
        <v>0.05</v>
      </c>
      <c r="E17" s="11">
        <f t="shared" si="1"/>
        <v>0.2</v>
      </c>
      <c r="F17" s="11" t="s">
        <v>14</v>
      </c>
      <c r="G17" s="11">
        <f>0.3+0.1+0.075+0.275+0.075+0.175+0.15+0.175+0.15+0.35+0.25+0.2</f>
        <v>2.275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2+2+2+2+2+2+2+2+2+2+2+2+2+2</f>
        <v>28</v>
      </c>
      <c r="H18" s="28"/>
      <c r="I18" s="28">
        <f>G18/(G3*0.1865)</f>
        <v>0.515039616663371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1.5</v>
      </c>
      <c r="D19" s="29">
        <v>0</v>
      </c>
      <c r="E19" s="11">
        <f t="shared" si="1"/>
        <v>1.5</v>
      </c>
      <c r="F19" s="11" t="s">
        <v>14</v>
      </c>
      <c r="G19" s="11">
        <f>1.5+1.5+1.5+1.5+1.5+1.5+1.5+1.5+1.5+1.5+1.5+1.5+1.5+1.5</f>
        <v>21</v>
      </c>
      <c r="H19" s="28"/>
      <c r="I19" s="28">
        <f>G19/(G3*0.1865)</f>
        <v>0.386279712497528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12">
        <v>3</v>
      </c>
      <c r="D20" s="29">
        <v>8</v>
      </c>
      <c r="E20" s="11">
        <f t="shared" si="1"/>
        <v>11</v>
      </c>
      <c r="F20" s="11" t="s">
        <v>34</v>
      </c>
      <c r="G20" s="11">
        <f>5+1+9+9+5+4+6+6+7+5+6+5+9+10+8+9+5+10+9+11+7+6+9+6+11</f>
        <v>178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29">
        <v>0</v>
      </c>
      <c r="D21" s="29">
        <v>0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641</v>
      </c>
      <c r="D22" s="29">
        <v>584</v>
      </c>
      <c r="E22" s="11">
        <f>D22+C22</f>
        <v>1225</v>
      </c>
      <c r="F22" s="11" t="s">
        <v>25</v>
      </c>
      <c r="G22" s="11">
        <f>77+1309+1375+1310+1255+648+838+1041+1082+1379+1014+706+1361+1295+1358+1347+1312+1330+1279+1249+796+1329+1312+1148+1225</f>
        <v>28375</v>
      </c>
      <c r="H22" s="30">
        <v>23.5</v>
      </c>
      <c r="I22" s="28">
        <f>E22/H22</f>
        <v>52.1276595744681</v>
      </c>
      <c r="J22" s="20" t="s">
        <v>93</v>
      </c>
      <c r="K22" s="11">
        <f>163+24+17.5+11+24+24+24+24+24+24+24+24+14.5+24+24+21.5+23.5</f>
        <v>515</v>
      </c>
      <c r="L22" s="11">
        <f>G22/K22</f>
        <v>55.0970873786408</v>
      </c>
      <c r="M22" s="11"/>
    </row>
    <row r="23" s="1" customFormat="1" ht="29" customHeight="1" spans="1:13">
      <c r="A23" s="8">
        <v>17</v>
      </c>
      <c r="B23" s="9" t="s">
        <v>39</v>
      </c>
      <c r="C23" s="29">
        <v>825</v>
      </c>
      <c r="D23" s="29">
        <v>748</v>
      </c>
      <c r="E23" s="11">
        <f>D23+C23</f>
        <v>1573</v>
      </c>
      <c r="F23" s="11" t="s">
        <v>25</v>
      </c>
      <c r="G23" s="11">
        <f>230+1465+1777+1642+1615+817+897+1369+1250+1724+1260+796+1560+1472+1684+1724+1677+1604+1696+1494+1019+1743+1641+1470+1573</f>
        <v>35199</v>
      </c>
      <c r="H23" s="28"/>
      <c r="I23" s="28">
        <f>E23/H22</f>
        <v>66.936170212766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31.04</v>
      </c>
      <c r="D24" s="29">
        <v>32.15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 t="s">
        <v>128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 t="s">
        <v>132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139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140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f>20.99</f>
        <v>20.99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8.82</v>
      </c>
      <c r="D32" s="12">
        <v>6.26</v>
      </c>
      <c r="E32" s="11">
        <f t="shared" si="2"/>
        <v>15.08</v>
      </c>
      <c r="F32" s="11" t="s">
        <v>25</v>
      </c>
      <c r="G32" s="11">
        <f>7.75+5.98+6.54+6.6+6.52+7.63+6.51+6.63+6.56+12.58+12.6+12.61+12.49+10.5+13.96+12.66+12.63+13.9+12.47+10.61+13.18+12.75+12.56+15.08</f>
        <v>251.3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2</v>
      </c>
      <c r="D33" s="12">
        <v>4</v>
      </c>
      <c r="E33" s="11">
        <f t="shared" si="2"/>
        <v>6</v>
      </c>
      <c r="F33" s="11" t="s">
        <v>25</v>
      </c>
      <c r="G33" s="11">
        <f>5+6+6+6+7+6+7+15+8+8+7+9+13+7+8+7+8+8+14+8+9+8+9+10+6</f>
        <v>205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41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9.126</v>
      </c>
      <c r="D35" s="11">
        <v>0</v>
      </c>
      <c r="E35" s="11">
        <f t="shared" si="2"/>
        <v>9.126</v>
      </c>
      <c r="F35" s="11" t="s">
        <v>14</v>
      </c>
      <c r="G35" s="11">
        <f>7.8165+0+12.906+4.725+7.965+9.6795+6.8175+5.6025+16.6455+12.8925+11.8935+1.3635+14.6745+9.126</f>
        <v>122.1075</v>
      </c>
      <c r="H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25</v>
      </c>
      <c r="G37" s="11">
        <f>236+44+19+18+6+4+6+33</f>
        <v>366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351</v>
      </c>
      <c r="D38" s="12">
        <v>334</v>
      </c>
      <c r="E38" s="11">
        <f t="shared" si="2"/>
        <v>685</v>
      </c>
      <c r="F38" s="11" t="s">
        <v>25</v>
      </c>
      <c r="G38" s="11">
        <f>742+655+537+480+750+654+584+428+488+458+553+510+535+521+499+539+633+728+656+665+568+638+733+719+685</f>
        <v>14958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si="3"/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750*0.44</f>
        <v>330</v>
      </c>
      <c r="J40" s="27"/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86.86*1.22</f>
        <v>105.9692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1</v>
      </c>
      <c r="D42" s="29">
        <v>0</v>
      </c>
      <c r="E42" s="11">
        <f>D42+C42</f>
        <v>1</v>
      </c>
      <c r="F42" s="11" t="s">
        <v>34</v>
      </c>
      <c r="G42" s="11">
        <f>3+3+1+1+5+1+2+2+2+3+2+2+3+2+2+3+2+2+2+2+2+2+2+1</f>
        <v>52</v>
      </c>
      <c r="H42" s="28"/>
      <c r="I42" s="11">
        <v>13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0" workbookViewId="0">
      <pane xSplit="2" topLeftCell="C1" activePane="topRight" state="frozen"/>
      <selection/>
      <selection pane="topRight" activeCell="C27" sqref="C27:L27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7" width="10.375" style="2"/>
    <col min="18" max="16384" width="9" style="2"/>
  </cols>
  <sheetData>
    <row r="1" s="1" customFormat="1" ht="42" customHeight="1" spans="1:13">
      <c r="A1" s="4" t="s">
        <v>141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5</v>
      </c>
      <c r="D3" s="10">
        <v>2</v>
      </c>
      <c r="E3" s="11">
        <f t="shared" ref="E3:E8" si="0">C3+D3</f>
        <v>7</v>
      </c>
      <c r="F3" s="11" t="s">
        <v>14</v>
      </c>
      <c r="G3" s="11">
        <f>3+6.5+13+13+10.5+9.5+7.5+5.5+9.5+14+14.5+9+9.5+14+14+15.5+15+14.5+15.5+14+12.5+11+14+14.5+12+7</f>
        <v>298.5</v>
      </c>
      <c r="H3" s="11">
        <v>231</v>
      </c>
      <c r="I3" s="11">
        <f>H3-G3</f>
        <v>-67.5</v>
      </c>
      <c r="J3" s="11"/>
      <c r="K3" s="11"/>
      <c r="L3" s="11"/>
      <c r="M3" s="12"/>
    </row>
    <row r="4" s="1" customFormat="1" ht="56" customHeight="1" spans="1:13">
      <c r="A4" s="13">
        <v>2</v>
      </c>
      <c r="B4" s="9" t="s">
        <v>15</v>
      </c>
      <c r="C4" s="10">
        <v>10</v>
      </c>
      <c r="D4" s="10"/>
      <c r="E4" s="11">
        <f t="shared" si="0"/>
        <v>10</v>
      </c>
      <c r="F4" s="11" t="s">
        <v>14</v>
      </c>
      <c r="G4" s="11">
        <f>2+6+6+14+12+12+6+8+6+10+12+16+8+10+16+12+18+14+12+16+14+16+12+10+18+10</f>
        <v>296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0</v>
      </c>
      <c r="D5" s="12">
        <v>97</v>
      </c>
      <c r="E5" s="11">
        <f t="shared" si="0"/>
        <v>97</v>
      </c>
      <c r="F5" s="11" t="s">
        <v>14</v>
      </c>
      <c r="G5" s="11">
        <f>194+212+192+80+67+147+128+183+71+75+187+182+204+177+207+189+200+178+122+203+194+173+185+97</f>
        <v>3847</v>
      </c>
      <c r="H5" s="14">
        <v>3715</v>
      </c>
      <c r="I5" s="14">
        <f>H5-G5-G7-G6</f>
        <v>-387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0</v>
      </c>
      <c r="D7" s="12">
        <v>1</v>
      </c>
      <c r="E7" s="11">
        <f t="shared" si="0"/>
        <v>1</v>
      </c>
      <c r="F7" s="11" t="s">
        <v>14</v>
      </c>
      <c r="G7" s="11">
        <f>0+151+1+12+1+75+2+1+3+1+1+1+1+2+1+1+1</f>
        <v>255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0+7+2+1+1+3+2+1+1+1</f>
        <v>19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61.84</v>
      </c>
      <c r="D9" s="19"/>
      <c r="E9" s="14">
        <f>30.61+31.24+32.95+63.63+62.6+62.75+61.88+62.41+31.98+33.14+61.23+31.21+61.79+61.84</f>
        <v>689.26</v>
      </c>
      <c r="F9" s="14" t="s">
        <v>14</v>
      </c>
      <c r="G9" s="14">
        <f>0.251002+0.253044+0.28337+0.559944+0.52584+0.53965+0.482664+0.518003+0.297414+0.304888+0.569439+0.262164+0.531394+0.55656</f>
        <v>5.935376</v>
      </c>
      <c r="H9" s="14">
        <v>4.26</v>
      </c>
      <c r="I9" s="14">
        <f>H9-G9</f>
        <v>-1.675376</v>
      </c>
      <c r="J9" s="20" t="s">
        <v>21</v>
      </c>
      <c r="K9" s="21">
        <v>0.9</v>
      </c>
      <c r="L9" s="14">
        <f>C9*K9/100</f>
        <v>0.55656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4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3.4695</v>
      </c>
      <c r="D11" s="11">
        <v>0</v>
      </c>
      <c r="E11" s="11">
        <f>C11+D11</f>
        <v>3.4695</v>
      </c>
      <c r="F11" s="11" t="s">
        <v>14</v>
      </c>
      <c r="G11" s="11">
        <f>2.916+2.106+3.9285+4.941+5.4+5.5215+3.78+5.616+10.287+5.4945+5.751+8.3835+3.7395+4.995+7.4655+5.616+7.6005+9.7065+7.1955+5.94+7.803+5.373+6.642+5.9805+6.453+3.4695</f>
        <v>152.1045</v>
      </c>
      <c r="H11" s="11"/>
      <c r="I11" s="11">
        <f>G11/(G3*0.1865)</f>
        <v>2.73224028992146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13.2112</v>
      </c>
      <c r="D12" s="11">
        <v>0</v>
      </c>
      <c r="E12" s="11">
        <f t="shared" ref="E12:E20" si="1">D12+C12</f>
        <v>13.2112</v>
      </c>
      <c r="F12" s="11" t="s">
        <v>14</v>
      </c>
      <c r="G12" s="11">
        <f>16.0816+6.2008+10.9112+15.1432+14.72+14.4072+5.4832+9.5312+10.8008+11.04+12.8064+15.0328+7.4336+9.1816+14.996+17.0384+14.8488+17.2592+12.3648+12.3832+16.5784+11.6288+16.5416+13.34+11.8496+13.2112</f>
        <v>330.8136</v>
      </c>
      <c r="H12" s="11"/>
      <c r="I12" s="11">
        <f>G12/(G3*0.1865)</f>
        <v>5.94237676317243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235</v>
      </c>
      <c r="D13" s="12">
        <v>10</v>
      </c>
      <c r="E13" s="11">
        <f t="shared" si="1"/>
        <v>245</v>
      </c>
      <c r="F13" s="11" t="s">
        <v>25</v>
      </c>
      <c r="G13" s="11">
        <f>145+157+466+386+373+204+281+313+273+424+344+249+410+427+391+446+455+395+460+418+318+344+391+421+344+245</f>
        <v>9080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519.8</v>
      </c>
      <c r="D14" s="12">
        <v>474.58</v>
      </c>
      <c r="E14" s="11">
        <f t="shared" si="1"/>
        <v>994.38</v>
      </c>
      <c r="F14" s="11" t="s">
        <v>25</v>
      </c>
      <c r="G14" s="11">
        <f>483.5+783.2+510.74+939.78+979.62+614.28+889+1094.8+1043.97+1077.03+1031.4+834.36+721.8+948.08+1082.68+1091.06+1095.37+1043.62+1007.33+697.64+1002.19+1094.55+1104.2+1038.41+1000.85+994.38</f>
        <v>24203.84</v>
      </c>
      <c r="H14" s="11"/>
      <c r="I14" s="11"/>
      <c r="J14" s="11">
        <f>(C14*K14+L14*D14)/1000</f>
        <v>3.2113998</v>
      </c>
      <c r="K14" s="11">
        <v>3.43</v>
      </c>
      <c r="L14" s="11">
        <v>3.01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1.310285+2.0899372+1.404535+2.4071166+2.6790316+1.6754062+3.2865396+3.1698534+2.7357691+2.874285+2.887902+2.4751564+2.2589082+2.897402+3.3175156+3.1317578+3.0931685+3.1982+3.5122196+2.3382292+3.7882782+3.587363+3.257247+3.0793144+3.0988649+3.2113998</f>
        <v>72.7656853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15</v>
      </c>
      <c r="D16" s="12">
        <v>6</v>
      </c>
      <c r="E16" s="11">
        <f t="shared" si="1"/>
        <v>21</v>
      </c>
      <c r="F16" s="11" t="s">
        <v>14</v>
      </c>
      <c r="G16" s="11">
        <f>16+12+36+30+24+21+21+16+25+30+28+21+31+30+35+39+33+33+36+32+27+27+33+33+33+21</f>
        <v>723</v>
      </c>
      <c r="H16" s="11"/>
      <c r="I16" s="11">
        <f>G16/(G3*0.1865)</f>
        <v>12.9871879504762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0.3+0.1+0.075+0.275+0.075+0.175+0.15+0.175+0.15+0.35+0.25+0.2</f>
        <v>2.275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2+2+2+2+2+2+2+2+2+2+2+2+2+2+2</f>
        <v>30</v>
      </c>
      <c r="H18" s="28"/>
      <c r="I18" s="28">
        <f>G18/(G3*0.1865)</f>
        <v>0.53888746682474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1.5</v>
      </c>
      <c r="D19" s="29">
        <v>0</v>
      </c>
      <c r="E19" s="11">
        <f t="shared" si="1"/>
        <v>1.5</v>
      </c>
      <c r="F19" s="11" t="s">
        <v>14</v>
      </c>
      <c r="G19" s="11">
        <f>1.5+1.5+1.5+1.5+1.5+1.5+1.5+1.5+1.5+1.5+1.5+1.5+1.5+1.5+1.5</f>
        <v>22.5</v>
      </c>
      <c r="H19" s="28"/>
      <c r="I19" s="28">
        <f>G19/(G3*0.1865)</f>
        <v>0.404165600118555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12">
        <v>3</v>
      </c>
      <c r="D20" s="29">
        <v>3</v>
      </c>
      <c r="E20" s="11">
        <f t="shared" si="1"/>
        <v>6</v>
      </c>
      <c r="F20" s="11" t="s">
        <v>34</v>
      </c>
      <c r="G20" s="11">
        <f>5+1+9+9+5+4+6+6+7+5+6+5+9+10+8+9+5+10+9+11+7+6+9+6+11+6</f>
        <v>184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29">
        <v>0</v>
      </c>
      <c r="D21" s="29">
        <v>0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18</v>
      </c>
      <c r="D22" s="29">
        <v>647</v>
      </c>
      <c r="E22" s="11">
        <f>D22+C22</f>
        <v>665</v>
      </c>
      <c r="F22" s="11" t="s">
        <v>25</v>
      </c>
      <c r="G22" s="11">
        <f>77+1309+1375+1310+1255+648+838+1041+1082+1379+1014+706+1361+1295+1358+1347+1312+1330+1279+1249+796+1329+1312+1148+1225+665</f>
        <v>29040</v>
      </c>
      <c r="H22" s="30">
        <v>12</v>
      </c>
      <c r="I22" s="28">
        <f>E22/H22</f>
        <v>55.4166666666667</v>
      </c>
      <c r="J22" s="20" t="s">
        <v>93</v>
      </c>
      <c r="K22" s="11">
        <f>163+24+17.5+11+24+24+24+24+24+24+24+24+14.5+24+24+21.5+23.5+12</f>
        <v>527</v>
      </c>
      <c r="L22" s="11">
        <f>G22/K22</f>
        <v>55.1043643263757</v>
      </c>
      <c r="M22" s="11"/>
    </row>
    <row r="23" s="1" customFormat="1" ht="29" customHeight="1" spans="1:13">
      <c r="A23" s="8">
        <v>17</v>
      </c>
      <c r="B23" s="9" t="s">
        <v>39</v>
      </c>
      <c r="C23" s="29">
        <v>204</v>
      </c>
      <c r="D23" s="29">
        <v>711</v>
      </c>
      <c r="E23" s="11">
        <f>D23+C23</f>
        <v>915</v>
      </c>
      <c r="F23" s="11" t="s">
        <v>25</v>
      </c>
      <c r="G23" s="11">
        <f>230+1465+1777+1642+1615+817+897+1369+1250+1724+1260+796+1560+1472+1684+1724+1677+1604+1696+1494+1019+1743+1641+1470+1573+915</f>
        <v>36114</v>
      </c>
      <c r="H23" s="28"/>
      <c r="I23" s="28">
        <f>E23/H22</f>
        <v>76.25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27.43</v>
      </c>
      <c r="D24" s="29">
        <v>26.26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 t="s">
        <v>142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 t="s">
        <v>132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104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143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f>20.99</f>
        <v>20.99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6.32</v>
      </c>
      <c r="D32" s="12">
        <v>6.32</v>
      </c>
      <c r="E32" s="11">
        <f t="shared" si="2"/>
        <v>12.64</v>
      </c>
      <c r="F32" s="11" t="s">
        <v>25</v>
      </c>
      <c r="G32" s="11">
        <f>7.75+5.98+6.54+6.6+6.52+7.63+6.51+6.63+6.56+12.58+12.6+12.61+12.49+10.5+13.96+12.66+12.63+13.9+12.47+10.61+13.18+12.75+12.56+15.08+12.64</f>
        <v>263.94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3</v>
      </c>
      <c r="D33" s="12">
        <v>4</v>
      </c>
      <c r="E33" s="11">
        <f t="shared" si="2"/>
        <v>7</v>
      </c>
      <c r="F33" s="11" t="s">
        <v>25</v>
      </c>
      <c r="G33" s="11">
        <f>5+6+6+6+7+6+7+15+8+8+7+9+13+7+8+7+8+8+14+8+9+8+9+10+6+7</f>
        <v>212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41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1">
        <f>7.8165+0+12.906+4.725+7.965+9.6795+6.8175+5.6025+16.6455+12.8925+11.8935+1.3635+14.6745+9.126</f>
        <v>122.1075</v>
      </c>
      <c r="H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168</v>
      </c>
      <c r="D37" s="12">
        <v>14</v>
      </c>
      <c r="E37" s="11">
        <f t="shared" si="2"/>
        <v>182</v>
      </c>
      <c r="F37" s="11" t="s">
        <v>25</v>
      </c>
      <c r="G37" s="11">
        <f>236+44+19+18+6+4+6+33+182</f>
        <v>548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383</v>
      </c>
      <c r="D38" s="12">
        <v>305</v>
      </c>
      <c r="E38" s="11">
        <f t="shared" si="2"/>
        <v>688</v>
      </c>
      <c r="F38" s="11" t="s">
        <v>25</v>
      </c>
      <c r="G38" s="11">
        <f>742+655+537+480+750+654+584+428+488+458+553+510+535+521+499+539+633+728+656+665+568+638+733+719+685+688</f>
        <v>15646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si="3"/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750*1.28</f>
        <v>960</v>
      </c>
      <c r="J40" s="27"/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86.86*1.2</f>
        <v>104.232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2</v>
      </c>
      <c r="D42" s="29">
        <v>0</v>
      </c>
      <c r="E42" s="11">
        <f>D42+C42</f>
        <v>2</v>
      </c>
      <c r="F42" s="11" t="s">
        <v>34</v>
      </c>
      <c r="G42" s="11">
        <f>3+3+1+1+5+1+2+2+2+3+2+2+3+2+2+3+2+2+2+2+2+2+2+1+2</f>
        <v>54</v>
      </c>
      <c r="H42" s="28"/>
      <c r="I42" s="11">
        <v>15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5" workbookViewId="0">
      <pane xSplit="2" topLeftCell="C1" activePane="topRight" state="frozen"/>
      <selection/>
      <selection pane="topRight" activeCell="G9" sqref="G9:G10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7" width="10.375" style="2"/>
    <col min="18" max="16384" width="9" style="2"/>
  </cols>
  <sheetData>
    <row r="1" s="1" customFormat="1" ht="42" customHeight="1" spans="1:13">
      <c r="A1" s="4" t="s">
        <v>144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3</v>
      </c>
      <c r="D3" s="10">
        <v>5.5</v>
      </c>
      <c r="E3" s="11">
        <f t="shared" ref="E3:E8" si="0">C3+D3</f>
        <v>8.5</v>
      </c>
      <c r="F3" s="11" t="s">
        <v>14</v>
      </c>
      <c r="G3" s="11">
        <f>3+6.5+13+13+10.5+9.5+7.5+5.5+9.5+14+14.5+9+9.5+14+14+15.5+15+14.5+15.5+14+12.5+11+14+14.5+12+7+8.5</f>
        <v>307</v>
      </c>
      <c r="H3" s="11">
        <v>231</v>
      </c>
      <c r="I3" s="11">
        <f>H3-G3</f>
        <v>-76</v>
      </c>
      <c r="J3" s="11"/>
      <c r="K3" s="11"/>
      <c r="L3" s="11"/>
      <c r="M3" s="12"/>
    </row>
    <row r="4" s="1" customFormat="1" ht="56" customHeight="1" spans="1:13">
      <c r="A4" s="13">
        <v>2</v>
      </c>
      <c r="B4" s="9" t="s">
        <v>15</v>
      </c>
      <c r="C4" s="10">
        <v>6</v>
      </c>
      <c r="D4" s="10"/>
      <c r="E4" s="11">
        <f t="shared" si="0"/>
        <v>6</v>
      </c>
      <c r="F4" s="11" t="s">
        <v>14</v>
      </c>
      <c r="G4" s="11">
        <f>2+6+6+14+12+12+6+8+6+10+12+16+8+10+16+12+18+14+12+16+14+16+12+10+18+10+6</f>
        <v>302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85</v>
      </c>
      <c r="D5" s="12">
        <v>72</v>
      </c>
      <c r="E5" s="11">
        <f t="shared" si="0"/>
        <v>157</v>
      </c>
      <c r="F5" s="11" t="s">
        <v>14</v>
      </c>
      <c r="G5" s="11">
        <f>194+212+192+80+67+147+128+183+71+75+187+182+204+177+207+189+200+178+122+203+194+173+185+97+157</f>
        <v>4004</v>
      </c>
      <c r="H5" s="14">
        <v>3715</v>
      </c>
      <c r="I5" s="14">
        <f>H5-G5-G7-G6</f>
        <v>-544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0</v>
      </c>
      <c r="D7" s="12">
        <v>0</v>
      </c>
      <c r="E7" s="11">
        <f t="shared" si="0"/>
        <v>0</v>
      </c>
      <c r="F7" s="11" t="s">
        <v>14</v>
      </c>
      <c r="G7" s="11">
        <f>0+151+1+12+1+75+2+1+3+1+1+1+1+2+1+1+1</f>
        <v>255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0+7+2+1+1+3+2+1+1+1</f>
        <v>19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62.49</v>
      </c>
      <c r="D9" s="19"/>
      <c r="E9" s="14">
        <f>30.61+31.24+32.95+63.63+62.6+62.75+61.88+62.41+31.98+33.14+61.23+31.21+61.79+61.84+62.49</f>
        <v>751.75</v>
      </c>
      <c r="F9" s="14" t="s">
        <v>14</v>
      </c>
      <c r="G9" s="14">
        <f>0.251002+0.253044+0.28337+0.559944+0.52584+0.53965+0.482664+0.518003+0.297414+0.304888+0.569439+0.262164+0.531394+0.55656+0.587406</f>
        <v>6.522782</v>
      </c>
      <c r="H9" s="14">
        <v>4.26</v>
      </c>
      <c r="I9" s="14">
        <f>H9-G9</f>
        <v>-2.262782</v>
      </c>
      <c r="J9" s="20" t="s">
        <v>21</v>
      </c>
      <c r="K9" s="21">
        <v>0.94</v>
      </c>
      <c r="L9" s="14">
        <f>C9*K9/100</f>
        <v>0.587406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2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7.263</v>
      </c>
      <c r="D11" s="11">
        <v>0</v>
      </c>
      <c r="E11" s="11">
        <f>C11+D11</f>
        <v>7.263</v>
      </c>
      <c r="F11" s="11" t="s">
        <v>14</v>
      </c>
      <c r="G11" s="11">
        <f>2.916+2.106+3.9285+4.941+5.4+5.5215+3.78+5.616+10.287+5.4945+5.751+8.3835+3.7395+4.995+7.4655+5.616+7.6005+9.7065+7.1955+5.94+7.803+5.373+6.642+5.9805+6.453+3.4695+7.263</f>
        <v>159.3675</v>
      </c>
      <c r="H11" s="11"/>
      <c r="I11" s="11">
        <f>G11/(G3*0.1865)</f>
        <v>2.78344438525557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12.7144</v>
      </c>
      <c r="D12" s="11">
        <v>0</v>
      </c>
      <c r="E12" s="11">
        <f t="shared" ref="E12:E20" si="1">D12+C12</f>
        <v>12.7144</v>
      </c>
      <c r="F12" s="11" t="s">
        <v>14</v>
      </c>
      <c r="G12" s="11">
        <f>16.0816+6.2008+10.9112+15.1432+14.72+14.4072+5.4832+9.5312+10.8008+11.04+12.8064+15.0328+7.4336+9.1816+14.996+17.0384+14.8488+17.2592+12.3648+12.3832+16.5784+11.6288+16.5416+13.34+11.8496+13.2112+12.7144</f>
        <v>343.528</v>
      </c>
      <c r="H12" s="11"/>
      <c r="I12" s="11">
        <f>G12/(G3*0.1865)</f>
        <v>5.99991267214504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189</v>
      </c>
      <c r="D13" s="12">
        <v>211</v>
      </c>
      <c r="E13" s="11">
        <f t="shared" si="1"/>
        <v>400</v>
      </c>
      <c r="F13" s="11" t="s">
        <v>25</v>
      </c>
      <c r="G13" s="11">
        <f>145+157+466+386+373+204+281+313+273+424+344+249+410+427+391+446+455+395+460+418+318+344+391+421+344+245+400</f>
        <v>9480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297.65</v>
      </c>
      <c r="D14" s="12">
        <v>499.59</v>
      </c>
      <c r="E14" s="11">
        <f t="shared" si="1"/>
        <v>797.24</v>
      </c>
      <c r="F14" s="11" t="s">
        <v>25</v>
      </c>
      <c r="G14" s="11">
        <f>483.5+783.2+510.74+939.78+979.62+614.28+889+1094.8+1043.97+1077.03+1031.4+834.36+721.8+948.08+1082.68+1091.06+1095.37+1043.62+1007.33+697.64+1002.19+1094.55+1104.2+1038.41+1000.85+994.38+797.24</f>
        <v>25001.08</v>
      </c>
      <c r="H14" s="11"/>
      <c r="I14" s="11"/>
      <c r="J14" s="11">
        <f>(C14*K14+L14*D14)/1000</f>
        <v>2.3176334</v>
      </c>
      <c r="K14" s="11">
        <v>3.07</v>
      </c>
      <c r="L14" s="11">
        <v>2.81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1.310285+2.0899372+1.404535+2.4071166+2.6790316+1.6754062+3.2865396+3.1698534+2.7357691+2.874285+2.887902+2.4751564+2.2589082+2.897402+3.3175156+3.1317578+3.0931685+3.1982+3.5122196+2.3382292+3.7882782+3.587363+3.257247+3.0793144+3.0988649+3.2113998+2.3176334</f>
        <v>75.0833187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9</v>
      </c>
      <c r="D16" s="12">
        <v>18</v>
      </c>
      <c r="E16" s="11">
        <f t="shared" si="1"/>
        <v>27</v>
      </c>
      <c r="F16" s="11" t="s">
        <v>14</v>
      </c>
      <c r="G16" s="11">
        <f>16+12+36+30+24+21+21+16+25+30+28+21+31+30+35+39+33+33+36+32+27+27+33+33+33+21+27</f>
        <v>750</v>
      </c>
      <c r="H16" s="11"/>
      <c r="I16" s="11">
        <f>G16/(G3*0.1865)</f>
        <v>13.0991782448848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0.15</v>
      </c>
      <c r="D17" s="29">
        <v>0</v>
      </c>
      <c r="E17" s="11">
        <f t="shared" si="1"/>
        <v>0.15</v>
      </c>
      <c r="F17" s="11" t="s">
        <v>14</v>
      </c>
      <c r="G17" s="11">
        <f>0.3+0.1+0.075+0.275+0.075+0.175+0.15+0.175+0.15+0.35+0.25+0.2+0.15</f>
        <v>2.425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2+2+2+2+2+2+2+2+2+2+2+2+2+2+2</f>
        <v>30</v>
      </c>
      <c r="H18" s="28"/>
      <c r="I18" s="28">
        <f>G18/(G3*0.1865)</f>
        <v>0.523967129795391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1.5+1.5+1.5+1.5+1.5+1.5+1.5+1.5+1.5+1.5+1.5+1.5+1.5+1.5+1.5</f>
        <v>22.5</v>
      </c>
      <c r="H19" s="28"/>
      <c r="I19" s="28">
        <f>G19/(G3*0.1865)</f>
        <v>0.392975347346543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12">
        <v>2</v>
      </c>
      <c r="D20" s="29">
        <v>2</v>
      </c>
      <c r="E20" s="11">
        <f t="shared" si="1"/>
        <v>4</v>
      </c>
      <c r="F20" s="11" t="s">
        <v>34</v>
      </c>
      <c r="G20" s="11">
        <f>5+1+9+9+5+4+6+6+7+5+6+5+9+10+8+9+5+10+9+11+7+6+9+6+11+6+4</f>
        <v>188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29">
        <v>0</v>
      </c>
      <c r="D21" s="29">
        <v>0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645</v>
      </c>
      <c r="D22" s="29">
        <v>644</v>
      </c>
      <c r="E22" s="11">
        <f>D22+C22</f>
        <v>1289</v>
      </c>
      <c r="F22" s="11" t="s">
        <v>25</v>
      </c>
      <c r="G22" s="11">
        <f>77+1309+1375+1310+1255+648+838+1041+1082+1379+1014+706+1361+1295+1358+1347+1312+1330+1279+1249+796+1329+1312+1148+1225+665+1289</f>
        <v>30329</v>
      </c>
      <c r="H22" s="30">
        <v>24</v>
      </c>
      <c r="I22" s="28">
        <f>E22/H22</f>
        <v>53.7083333333333</v>
      </c>
      <c r="J22" s="20" t="s">
        <v>93</v>
      </c>
      <c r="K22" s="11">
        <f>163+24+17.5+11+24+24+24+24+24+24+24+24+14.5+24+24+21.5+23.5+12+24</f>
        <v>551</v>
      </c>
      <c r="L22" s="11">
        <f>G22/K22</f>
        <v>55.043557168784</v>
      </c>
      <c r="M22" s="11"/>
    </row>
    <row r="23" s="1" customFormat="1" ht="29" customHeight="1" spans="1:13">
      <c r="A23" s="8">
        <v>17</v>
      </c>
      <c r="B23" s="9" t="s">
        <v>39</v>
      </c>
      <c r="C23" s="29">
        <v>838</v>
      </c>
      <c r="D23" s="29">
        <v>837</v>
      </c>
      <c r="E23" s="11">
        <f>D23+C23</f>
        <v>1675</v>
      </c>
      <c r="F23" s="11" t="s">
        <v>25</v>
      </c>
      <c r="G23" s="11">
        <f>230+1465+1777+1642+1615+817+897+1369+1250+1724+1260+796+1560+1472+1684+1724+1677+1604+1696+1494+1019+1743+1641+1470+1573+915+1675</f>
        <v>37789</v>
      </c>
      <c r="H23" s="28"/>
      <c r="I23" s="28">
        <f>E23/H22</f>
        <v>69.7916666666667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31.65</v>
      </c>
      <c r="D24" s="29">
        <v>24.33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 t="s">
        <v>145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 t="s">
        <v>146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147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148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f>20.99</f>
        <v>20.99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0</v>
      </c>
      <c r="D32" s="12">
        <v>0</v>
      </c>
      <c r="E32" s="11">
        <f t="shared" si="2"/>
        <v>0</v>
      </c>
      <c r="F32" s="11" t="s">
        <v>25</v>
      </c>
      <c r="G32" s="11">
        <f>7.75+5.98+6.54+6.6+6.52+7.63+6.51+6.63+6.56+12.58+12.6+12.61+12.49+10.5+13.96+12.66+12.63+13.9+12.47+10.61+13.18+12.75+12.56+15.08+12.64</f>
        <v>263.94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4</v>
      </c>
      <c r="D33" s="12">
        <v>3</v>
      </c>
      <c r="E33" s="11">
        <f t="shared" si="2"/>
        <v>7</v>
      </c>
      <c r="F33" s="11" t="s">
        <v>25</v>
      </c>
      <c r="G33" s="11">
        <f>5+6+6+6+7+6+7+15+8+8+7+9+13+7+8+7+8+8+14+8+9+8+9+10+6+7+7</f>
        <v>219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41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10.4355</v>
      </c>
      <c r="D35" s="11">
        <v>0</v>
      </c>
      <c r="E35" s="11">
        <f t="shared" si="2"/>
        <v>10.4355</v>
      </c>
      <c r="F35" s="11" t="s">
        <v>14</v>
      </c>
      <c r="G35" s="11">
        <f>7.8165+0+12.906+4.725+7.965+9.6795+6.8175+5.6025+16.6455+12.8925+11.8935+1.3635+14.6745+9.126+10.4355</f>
        <v>132.543</v>
      </c>
      <c r="H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25</v>
      </c>
      <c r="G37" s="11">
        <f>236+44+19+18+6+4+6+33+182</f>
        <v>548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306</v>
      </c>
      <c r="D38" s="12">
        <v>200</v>
      </c>
      <c r="E38" s="11">
        <f t="shared" si="2"/>
        <v>506</v>
      </c>
      <c r="F38" s="11" t="s">
        <v>25</v>
      </c>
      <c r="G38" s="11">
        <f>742+655+537+480+750+654+584+428+488+458+553+510+535+521+499+539+633+728+656+665+568+638+733+719+685+688+506</f>
        <v>16152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si="3"/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750*1.12</f>
        <v>840</v>
      </c>
      <c r="J40" s="27"/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86.86*1.04</f>
        <v>90.3344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0</v>
      </c>
      <c r="D42" s="29">
        <v>0</v>
      </c>
      <c r="E42" s="11">
        <f>D42+C42</f>
        <v>0</v>
      </c>
      <c r="F42" s="11" t="s">
        <v>34</v>
      </c>
      <c r="G42" s="11">
        <f>3+3+1+1+5+1+2+2+2+3+2+2+3+2+2+3+2+2+2+2+2+2+2+1+2</f>
        <v>54</v>
      </c>
      <c r="H42" s="28"/>
      <c r="I42" s="11">
        <v>5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workbookViewId="0">
      <pane xSplit="2" topLeftCell="C1" activePane="topRight" state="frozen"/>
      <selection/>
      <selection pane="topRight" activeCell="L14" sqref="L14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7" width="10.375" style="2"/>
    <col min="18" max="16384" width="9" style="2"/>
  </cols>
  <sheetData>
    <row r="1" s="1" customFormat="1" ht="42" customHeight="1" spans="1:13">
      <c r="A1" s="4" t="s">
        <v>149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6</v>
      </c>
      <c r="D3" s="10">
        <v>5</v>
      </c>
      <c r="E3" s="11">
        <f t="shared" ref="E3:E8" si="0">C3+D3</f>
        <v>11</v>
      </c>
      <c r="F3" s="11" t="s">
        <v>14</v>
      </c>
      <c r="G3" s="11">
        <f>3+6.5+13+13+10.5+9.5+7.5+5.5+9.5+14+14.5+9+9.5+14+14+15.5+15+14.5+15.5+14+12.5+11+14+14.5+12+7+8.5+11</f>
        <v>318</v>
      </c>
      <c r="H3" s="11">
        <v>231</v>
      </c>
      <c r="I3" s="11">
        <f>H3-G3</f>
        <v>-87</v>
      </c>
      <c r="J3" s="11"/>
      <c r="K3" s="11"/>
      <c r="L3" s="11"/>
      <c r="M3" s="12"/>
    </row>
    <row r="4" s="1" customFormat="1" ht="56" customHeight="1" spans="1:13">
      <c r="A4" s="13">
        <v>2</v>
      </c>
      <c r="B4" s="9" t="s">
        <v>15</v>
      </c>
      <c r="C4" s="10">
        <v>10</v>
      </c>
      <c r="D4" s="10"/>
      <c r="E4" s="11">
        <f t="shared" si="0"/>
        <v>10</v>
      </c>
      <c r="F4" s="11" t="s">
        <v>14</v>
      </c>
      <c r="G4" s="11">
        <f>2+6+6+14+12+12+6+8+6+10+12+16+8+10+16+12+18+14+12+16+14+16+12+10+18+10+6+10</f>
        <v>312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16</v>
      </c>
      <c r="C5" s="12">
        <v>10</v>
      </c>
      <c r="D5" s="12">
        <v>18</v>
      </c>
      <c r="E5" s="11">
        <f t="shared" si="0"/>
        <v>28</v>
      </c>
      <c r="F5" s="11" t="s">
        <v>14</v>
      </c>
      <c r="G5" s="11">
        <f>194+212+192+80+67+147+128+183+71+75+187+182+204+177+207+189+200+178+122+203+194+173+185+97+157+28</f>
        <v>4032</v>
      </c>
      <c r="H5" s="14">
        <v>3715</v>
      </c>
      <c r="I5" s="14">
        <f>H5-G5-G7-G6</f>
        <v>-572</v>
      </c>
      <c r="J5" s="11"/>
      <c r="K5" s="11"/>
      <c r="L5" s="11"/>
      <c r="M5" s="11"/>
    </row>
    <row r="6" s="1" customFormat="1" ht="45" customHeight="1" spans="1:13">
      <c r="A6" s="15"/>
      <c r="B6" s="9" t="s">
        <v>17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18</v>
      </c>
      <c r="C7" s="12">
        <v>0</v>
      </c>
      <c r="D7" s="12">
        <v>0</v>
      </c>
      <c r="E7" s="11">
        <f t="shared" si="0"/>
        <v>0</v>
      </c>
      <c r="F7" s="11" t="s">
        <v>14</v>
      </c>
      <c r="G7" s="11">
        <f>0+151+1+12+1+75+2+1+3+1+1+1+1+2+1+1+1</f>
        <v>255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19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0+7+2+1+1+3+2+1+1+1</f>
        <v>19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20</v>
      </c>
      <c r="C9" s="19">
        <v>65.31</v>
      </c>
      <c r="D9" s="19"/>
      <c r="E9" s="14">
        <f>30.61+31.24+32.95+63.63+62.6+62.75+61.88+62.41+31.98+33.14+61.23+31.21+61.79+61.84+62.49+65.31</f>
        <v>817.06</v>
      </c>
      <c r="F9" s="14" t="s">
        <v>14</v>
      </c>
      <c r="G9" s="14">
        <f>0.251002+0.253044+0.28337+0.559944+0.52584+0.53965+0.482664+0.518003+0.297414+0.304888+0.569439+0.262164+0.531394+0.55656+0.587406+0.607383</f>
        <v>7.130165</v>
      </c>
      <c r="H9" s="14">
        <v>4.26</v>
      </c>
      <c r="I9" s="14">
        <f>H9-G9</f>
        <v>-2.870165</v>
      </c>
      <c r="J9" s="20" t="s">
        <v>21</v>
      </c>
      <c r="K9" s="21">
        <v>0.93</v>
      </c>
      <c r="L9" s="14">
        <f>C9*K9/100</f>
        <v>0.607383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22</v>
      </c>
      <c r="C11" s="11">
        <v>6.426</v>
      </c>
      <c r="D11" s="11">
        <v>0</v>
      </c>
      <c r="E11" s="11">
        <f>C11+D11</f>
        <v>6.426</v>
      </c>
      <c r="F11" s="11" t="s">
        <v>14</v>
      </c>
      <c r="G11" s="11">
        <f>2.916+2.106+3.9285+4.941+5.4+5.5215+3.78+5.616+10.287+5.4945+5.751+8.3835+3.7395+4.995+7.4655+5.616+7.6005+9.7065+7.1955+5.94+7.803+5.373+6.642+5.9805+6.453+3.4695+7.263+6.426</f>
        <v>165.7935</v>
      </c>
      <c r="H11" s="11"/>
      <c r="I11" s="11">
        <f>G11/(G3*0.1865)</f>
        <v>2.79551317719662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23</v>
      </c>
      <c r="C12" s="11">
        <v>11.2792</v>
      </c>
      <c r="D12" s="11">
        <v>0</v>
      </c>
      <c r="E12" s="11">
        <f t="shared" ref="E12:E20" si="1">D12+C12</f>
        <v>11.2792</v>
      </c>
      <c r="F12" s="11" t="s">
        <v>14</v>
      </c>
      <c r="G12" s="11">
        <f>16.0816+6.2008+10.9112+15.1432+14.72+14.4072+5.4832+9.5312+10.8008+11.04+12.8064+15.0328+7.4336+9.1816+14.996+17.0384+14.8488+17.2592+12.3648+12.3832+16.5784+11.6288+16.5416+13.34+11.8496+13.2112+12.7144+11.2792</f>
        <v>354.8072</v>
      </c>
      <c r="H12" s="11"/>
      <c r="I12" s="11">
        <f>G12/(G3*0.1865)</f>
        <v>5.98255180670073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24</v>
      </c>
      <c r="C13" s="12">
        <v>202</v>
      </c>
      <c r="D13" s="12">
        <v>100</v>
      </c>
      <c r="E13" s="11">
        <f t="shared" si="1"/>
        <v>302</v>
      </c>
      <c r="F13" s="11" t="s">
        <v>25</v>
      </c>
      <c r="G13" s="11">
        <f>145+157+466+386+373+204+281+313+273+424+344+249+410+427+391+446+455+395+460+418+318+344+391+421+344+245+400+302</f>
        <v>9782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26</v>
      </c>
      <c r="C14" s="12">
        <v>455.25</v>
      </c>
      <c r="D14" s="12">
        <v>506.33</v>
      </c>
      <c r="E14" s="11">
        <f t="shared" si="1"/>
        <v>961.58</v>
      </c>
      <c r="F14" s="11" t="s">
        <v>25</v>
      </c>
      <c r="G14" s="11">
        <f>483.5+783.2+510.74+939.78+979.62+614.28+889+1094.8+1043.97+1077.03+1031.4+834.36+721.8+948.08+1082.68+1091.06+1095.37+1043.62+1007.33+697.64+1002.19+1094.55+1104.2+1038.41+1000.85+994.38+797.24+961.58</f>
        <v>25962.66</v>
      </c>
      <c r="H14" s="11"/>
      <c r="I14" s="11"/>
      <c r="J14" s="11">
        <f>(C14*K14+L14*D14)/1000</f>
        <v>2.6473651</v>
      </c>
      <c r="K14" s="11">
        <v>2.79</v>
      </c>
      <c r="L14" s="11">
        <v>2.72</v>
      </c>
      <c r="M14" s="11"/>
    </row>
    <row r="15" s="1" customFormat="1" ht="25" customHeight="1" spans="1:13">
      <c r="A15" s="8">
        <v>9</v>
      </c>
      <c r="B15" s="9" t="s">
        <v>27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28</v>
      </c>
      <c r="K15" s="27">
        <f>1.310285+2.0899372+1.404535+2.4071166+2.6790316+1.6754062+3.2865396+3.1698534+2.7357691+2.874285+2.887902+2.4751564+2.2589082+2.897402+3.3175156+3.1317578+3.0931685+3.1982+3.5122196+2.3382292+3.7882782+3.587363+3.257247+3.0793144+3.0988649+3.2113998+2.3176334+2.6473651</f>
        <v>77.7306838</v>
      </c>
      <c r="L15" s="11"/>
      <c r="M15" s="11"/>
    </row>
    <row r="16" s="1" customFormat="1" ht="25" customHeight="1" spans="1:13">
      <c r="A16" s="8">
        <v>10</v>
      </c>
      <c r="B16" s="9" t="s">
        <v>29</v>
      </c>
      <c r="C16" s="12">
        <v>15</v>
      </c>
      <c r="D16" s="12">
        <v>9</v>
      </c>
      <c r="E16" s="11">
        <f t="shared" si="1"/>
        <v>24</v>
      </c>
      <c r="F16" s="11" t="s">
        <v>14</v>
      </c>
      <c r="G16" s="11">
        <f>16+12+36+30+24+21+21+16+25+30+28+21+31+30+35+39+33+33+36+32+27+27+33+33+33+21+27+24</f>
        <v>774</v>
      </c>
      <c r="H16" s="11"/>
      <c r="I16" s="11">
        <f>G16/(G3*0.1865)</f>
        <v>13.0507360008093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30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0.3+0.1+0.075+0.275+0.075+0.175+0.15+0.175+0.15+0.35+0.25+0.2+0.15</f>
        <v>2.425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31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2+2+2+2+2+2+2+2+2+2+2+2+2+2+2+2</f>
        <v>32</v>
      </c>
      <c r="H18" s="28"/>
      <c r="I18" s="28">
        <f>G18/(G3*0.1865)</f>
        <v>0.53956531269496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32</v>
      </c>
      <c r="C19" s="12">
        <v>1.5</v>
      </c>
      <c r="D19" s="29">
        <v>0</v>
      </c>
      <c r="E19" s="11">
        <f t="shared" si="1"/>
        <v>1.5</v>
      </c>
      <c r="F19" s="11" t="s">
        <v>14</v>
      </c>
      <c r="G19" s="11">
        <f>1.5+1.5+1.5+1.5+1.5+1.5+1.5+1.5+1.5+1.5+1.5+1.5+1.5+1.5+1.5+1.5</f>
        <v>24</v>
      </c>
      <c r="H19" s="28"/>
      <c r="I19" s="28">
        <f>G19/(G3*0.1865)</f>
        <v>0.40467398452122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33</v>
      </c>
      <c r="C20" s="12">
        <v>11</v>
      </c>
      <c r="D20" s="29">
        <v>1</v>
      </c>
      <c r="E20" s="11">
        <f t="shared" si="1"/>
        <v>12</v>
      </c>
      <c r="F20" s="11" t="s">
        <v>34</v>
      </c>
      <c r="G20" s="11">
        <f>5+1+9+9+5+4+6+6+7+5+6+5+9+10+8+9+5+10+9+11+7+6+9+6+11+6+4+12</f>
        <v>200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35</v>
      </c>
      <c r="C21" s="29">
        <v>0</v>
      </c>
      <c r="D21" s="29">
        <v>0</v>
      </c>
      <c r="E21" s="11" t="s">
        <v>36</v>
      </c>
      <c r="F21" s="11" t="s">
        <v>34</v>
      </c>
      <c r="G21" s="11">
        <v>0</v>
      </c>
      <c r="H21" s="28"/>
      <c r="I21" s="28"/>
      <c r="J21" s="27" t="s">
        <v>37</v>
      </c>
      <c r="K21" s="28"/>
      <c r="L21" s="28"/>
      <c r="M21" s="11"/>
    </row>
    <row r="22" s="1" customFormat="1" ht="29" customHeight="1" spans="1:13">
      <c r="A22" s="8">
        <v>16</v>
      </c>
      <c r="B22" s="9" t="s">
        <v>38</v>
      </c>
      <c r="C22" s="29">
        <v>44</v>
      </c>
      <c r="D22" s="29">
        <v>314</v>
      </c>
      <c r="E22" s="11">
        <f>D22+C22</f>
        <v>358</v>
      </c>
      <c r="F22" s="11" t="s">
        <v>25</v>
      </c>
      <c r="G22" s="11">
        <f>77+1309+1375+1310+1255+648+838+1041+1082+1379+1014+706+1361+1295+1358+1347+1312+1330+1279+1249+796+1329+1312+1148+1225+665+1289+358</f>
        <v>30687</v>
      </c>
      <c r="H22" s="30">
        <v>5.5</v>
      </c>
      <c r="I22" s="28">
        <f>E22/H22</f>
        <v>65.0909090909091</v>
      </c>
      <c r="J22" s="20" t="s">
        <v>93</v>
      </c>
      <c r="K22" s="11">
        <f>163+24+17.5+11+24+24+24+24+24+24+24+24+14.5+24+24+21.5+23.5+12+24+5.5</f>
        <v>556.5</v>
      </c>
      <c r="L22" s="11">
        <f>G22/K22</f>
        <v>55.1428571428571</v>
      </c>
      <c r="M22" s="11"/>
    </row>
    <row r="23" s="1" customFormat="1" ht="29" customHeight="1" spans="1:13">
      <c r="A23" s="8">
        <v>17</v>
      </c>
      <c r="B23" s="9" t="s">
        <v>39</v>
      </c>
      <c r="C23" s="29">
        <v>212</v>
      </c>
      <c r="D23" s="29">
        <v>322</v>
      </c>
      <c r="E23" s="11">
        <f>D23+C23</f>
        <v>534</v>
      </c>
      <c r="F23" s="11" t="s">
        <v>25</v>
      </c>
      <c r="G23" s="11">
        <f>230+1465+1777+1642+1615+817+897+1369+1250+1724+1260+796+1560+1472+1684+1724+1677+1604+1696+1494+1019+1743+1641+1470+1573+915+1675+534</f>
        <v>38323</v>
      </c>
      <c r="H23" s="28"/>
      <c r="I23" s="28">
        <f>E23/H22</f>
        <v>97.0909090909091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40</v>
      </c>
      <c r="C24" s="29">
        <v>24.11</v>
      </c>
      <c r="D24" s="29">
        <v>27.56</v>
      </c>
      <c r="E24" s="11"/>
      <c r="F24" s="11" t="s">
        <v>41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42</v>
      </c>
      <c r="C25" s="32" t="s">
        <v>145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44</v>
      </c>
      <c r="C26" s="32" t="s">
        <v>150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104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151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25</v>
      </c>
      <c r="G31" s="11">
        <f>20.99</f>
        <v>20.99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0</v>
      </c>
      <c r="D32" s="12">
        <v>0</v>
      </c>
      <c r="E32" s="11">
        <f t="shared" si="2"/>
        <v>0</v>
      </c>
      <c r="F32" s="11" t="s">
        <v>25</v>
      </c>
      <c r="G32" s="11">
        <f>7.75+5.98+6.54+6.6+6.52+7.63+6.51+6.63+6.56+12.58+12.6+12.61+12.49+10.5+13.96+12.66+12.63+13.9+12.47+10.61+13.18+12.75+12.56+15.08+12.64</f>
        <v>263.94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4</v>
      </c>
      <c r="D33" s="12">
        <v>4</v>
      </c>
      <c r="E33" s="11">
        <f t="shared" si="2"/>
        <v>8</v>
      </c>
      <c r="F33" s="11" t="s">
        <v>25</v>
      </c>
      <c r="G33" s="11">
        <f>5+6+6+6+7+6+7+15+8+8+7+9+13+7+8+7+8+8+14+8+9+8+9+10+6+7+7+8</f>
        <v>227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25</v>
      </c>
      <c r="G34" s="11">
        <f t="shared" ref="G34:G41" si="3"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22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1">
        <f>7.8165+0+12.906+4.725+7.965+9.6795+6.8175+5.6025+16.6455+12.8925+11.8935+1.3635+14.6745+9.126+10.4355</f>
        <v>132.543</v>
      </c>
      <c r="H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 t="shared" si="3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9</v>
      </c>
      <c r="D37" s="12">
        <v>0</v>
      </c>
      <c r="E37" s="11">
        <f t="shared" si="2"/>
        <v>9</v>
      </c>
      <c r="F37" s="11" t="s">
        <v>25</v>
      </c>
      <c r="G37" s="11">
        <f>236+44+19+18+6+4+6+33+182+9</f>
        <v>557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252</v>
      </c>
      <c r="D38" s="12">
        <v>174</v>
      </c>
      <c r="E38" s="11">
        <f t="shared" si="2"/>
        <v>426</v>
      </c>
      <c r="F38" s="11" t="s">
        <v>25</v>
      </c>
      <c r="G38" s="11">
        <f>742+655+537+480+750+654+584+428+488+458+553+510+535+521+499+539+633+728+656+665+568+638+733+719+685+688+506+426</f>
        <v>16578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25</v>
      </c>
      <c r="G39" s="11">
        <f t="shared" si="3"/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25</v>
      </c>
      <c r="G40" s="11">
        <f t="shared" si="3"/>
        <v>0</v>
      </c>
      <c r="H40" s="28"/>
      <c r="I40" s="29">
        <f>750*0.76</f>
        <v>570</v>
      </c>
      <c r="J40" s="27"/>
      <c r="K40" s="34"/>
      <c r="L40" s="32"/>
      <c r="M40" s="41"/>
    </row>
    <row r="41" s="1" customFormat="1" ht="25" customHeight="1" spans="1:13">
      <c r="A41" s="8">
        <v>11</v>
      </c>
      <c r="B41" s="9" t="s">
        <v>60</v>
      </c>
      <c r="C41" s="11">
        <v>0</v>
      </c>
      <c r="D41" s="11">
        <v>0</v>
      </c>
      <c r="E41" s="11">
        <f>C41+D41</f>
        <v>0</v>
      </c>
      <c r="F41" s="11" t="s">
        <v>25</v>
      </c>
      <c r="G41" s="11">
        <f t="shared" si="3"/>
        <v>0</v>
      </c>
      <c r="H41" s="28"/>
      <c r="I41" s="29">
        <f>86.86*0.9</f>
        <v>78.174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61</v>
      </c>
      <c r="C42" s="29">
        <v>0</v>
      </c>
      <c r="D42" s="29">
        <v>0</v>
      </c>
      <c r="E42" s="11">
        <f>D42+C42</f>
        <v>0</v>
      </c>
      <c r="F42" s="11" t="s">
        <v>34</v>
      </c>
      <c r="G42" s="11">
        <f>3+3+1+1+5+1+2+2+2+3+2+2+3+2+2+3+2+2+2+2+2+2+2+1+2</f>
        <v>54</v>
      </c>
      <c r="H42" s="28"/>
      <c r="I42" s="11">
        <v>0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62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64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1.31</vt:lpstr>
      <vt:lpstr>2.1</vt:lpstr>
      <vt:lpstr>2.2</vt:lpstr>
      <vt:lpstr>2.3</vt:lpstr>
      <vt:lpstr>2.4</vt:lpstr>
      <vt:lpstr>2.5</vt:lpstr>
      <vt:lpstr>2.6</vt:lpstr>
      <vt:lpstr>2.7</vt:lpstr>
      <vt:lpstr>2.8</vt:lpstr>
      <vt:lpstr>2.9</vt:lpstr>
      <vt:lpstr>2.10</vt:lpstr>
      <vt:lpstr>2.11</vt:lpstr>
      <vt:lpstr>2.12</vt:lpstr>
      <vt:lpstr>2.13</vt:lpstr>
      <vt:lpstr>2.14</vt:lpstr>
      <vt:lpstr>2.15</vt:lpstr>
      <vt:lpstr>2.16</vt:lpstr>
      <vt:lpstr>2.17</vt:lpstr>
      <vt:lpstr>2.18</vt:lpstr>
      <vt:lpstr>2.19</vt:lpstr>
      <vt:lpstr>2.20</vt:lpstr>
      <vt:lpstr>2.21</vt:lpstr>
      <vt:lpstr>2.22</vt:lpstr>
      <vt:lpstr>2.23</vt:lpstr>
      <vt:lpstr>2.24</vt:lpstr>
      <vt:lpstr>2.25</vt:lpstr>
      <vt:lpstr>2.26</vt:lpstr>
      <vt:lpstr>2.27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103统计员陆春晓</cp:lastModifiedBy>
  <dcterms:created xsi:type="dcterms:W3CDTF">2025-12-26T07:02:00Z</dcterms:created>
  <dcterms:modified xsi:type="dcterms:W3CDTF">2026-03-03T23:43:54Z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B3AED734012B491493DC61EFFAB92019_11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