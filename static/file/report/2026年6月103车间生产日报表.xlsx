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.xml" ContentType="application/vnd.openxmlformats-officedocument.spreadsheetml.comments+xml"/>
  <Override PartName="/xl/comments30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 firstSheet="11" activeTab="29"/>
  </bookViews>
  <sheets>
    <sheet name="5.31" sheetId="1" r:id="rId1"/>
    <sheet name="6.1" sheetId="2" r:id="rId2"/>
    <sheet name="6.2" sheetId="3" r:id="rId3"/>
    <sheet name="6.3" sheetId="4" r:id="rId4"/>
    <sheet name="6.4" sheetId="5" r:id="rId5"/>
    <sheet name="6.5" sheetId="6" r:id="rId6"/>
    <sheet name="6.6" sheetId="7" r:id="rId7"/>
    <sheet name="6.7" sheetId="8" r:id="rId8"/>
    <sheet name="6.8" sheetId="9" r:id="rId9"/>
    <sheet name="6.9" sheetId="10" r:id="rId10"/>
    <sheet name="6.10" sheetId="11" r:id="rId11"/>
    <sheet name="6.11" sheetId="12" r:id="rId12"/>
    <sheet name="6.12" sheetId="13" r:id="rId13"/>
    <sheet name="6.13" sheetId="14" r:id="rId14"/>
    <sheet name="6.14" sheetId="15" r:id="rId15"/>
    <sheet name="6.15" sheetId="16" r:id="rId16"/>
    <sheet name="6.16" sheetId="17" r:id="rId17"/>
    <sheet name="6.17" sheetId="18" r:id="rId18"/>
    <sheet name="6.18" sheetId="19" r:id="rId19"/>
    <sheet name="6.19" sheetId="20" r:id="rId20"/>
    <sheet name="6.20" sheetId="21" r:id="rId21"/>
    <sheet name="6.21" sheetId="22" r:id="rId22"/>
    <sheet name="6.22" sheetId="23" r:id="rId23"/>
    <sheet name="6.23" sheetId="24" r:id="rId24"/>
    <sheet name="6.24" sheetId="25" r:id="rId25"/>
    <sheet name="6.25" sheetId="26" r:id="rId26"/>
    <sheet name="6.26" sheetId="27" r:id="rId27"/>
    <sheet name="6.27" sheetId="28" r:id="rId28"/>
    <sheet name="6.28" sheetId="29" r:id="rId29"/>
    <sheet name="6.29" sheetId="30" r:id="rId3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  <comment ref="I38" authorId="1">
      <text>
        <r>
          <rPr>
            <sz val="10"/>
            <rFont val="宋体"/>
            <charset val="134"/>
          </rPr>
          <t>剩余钴渣量</t>
        </r>
      </text>
    </comment>
  </commentList>
</comments>
</file>

<file path=xl/comments2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  <comment ref="I38" authorId="1">
      <text>
        <r>
          <rPr>
            <sz val="10"/>
            <rFont val="宋体"/>
            <charset val="134"/>
          </rPr>
          <t>剩余钴渣量</t>
        </r>
      </text>
    </comment>
  </commentList>
</comments>
</file>

<file path=xl/comments3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  <comment ref="I38" authorId="1">
      <text>
        <r>
          <rPr>
            <sz val="10"/>
            <rFont val="宋体"/>
            <charset val="134"/>
          </rPr>
          <t>剩余钴渣量</t>
        </r>
      </text>
    </comment>
  </commentList>
</comments>
</file>

<file path=xl/comments4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  <comment ref="I38" authorId="1">
      <text>
        <r>
          <rPr>
            <sz val="10"/>
            <rFont val="宋体"/>
            <charset val="134"/>
          </rPr>
          <t>剩余钴渣量</t>
        </r>
      </text>
    </comment>
  </commentList>
</comments>
</file>

<file path=xl/comments5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  <comment ref="I38" authorId="1">
      <text>
        <r>
          <rPr>
            <sz val="10"/>
            <rFont val="宋体"/>
            <charset val="134"/>
          </rPr>
          <t>剩余钴渣量</t>
        </r>
      </text>
    </comment>
  </commentList>
</comments>
</file>

<file path=xl/comments6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  <comment ref="I38" authorId="1">
      <text>
        <r>
          <rPr>
            <sz val="10"/>
            <rFont val="宋体"/>
            <charset val="134"/>
          </rPr>
          <t>剩余钴渣量</t>
        </r>
      </text>
    </comment>
  </commentList>
</comments>
</file>

<file path=xl/comments7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  <comment ref="I38" authorId="1">
      <text>
        <r>
          <rPr>
            <sz val="10"/>
            <rFont val="宋体"/>
            <charset val="134"/>
          </rPr>
          <t>剩余钴渣量</t>
        </r>
      </text>
    </comment>
  </commentList>
</comments>
</file>

<file path=xl/comments8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  <comment ref="I38" authorId="1">
      <text>
        <r>
          <rPr>
            <sz val="10"/>
            <rFont val="宋体"/>
            <charset val="134"/>
          </rPr>
          <t>剩余钴渣量</t>
        </r>
      </text>
    </comment>
  </commentList>
</comments>
</file>

<file path=xl/comments9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  <comment ref="I38" authorId="1">
      <text>
        <r>
          <rPr>
            <sz val="10"/>
            <rFont val="宋体"/>
            <charset val="134"/>
          </rPr>
          <t>剩余钴渣量</t>
        </r>
      </text>
    </comment>
  </commentList>
</comments>
</file>

<file path=xl/comments10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  <comment ref="I38" authorId="1">
      <text>
        <r>
          <rPr>
            <sz val="10"/>
            <rFont val="宋体"/>
            <charset val="134"/>
          </rPr>
          <t>剩余钴渣量</t>
        </r>
      </text>
    </comment>
  </commentList>
</comments>
</file>

<file path=xl/comments11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  <comment ref="I38" authorId="1">
      <text>
        <r>
          <rPr>
            <sz val="10"/>
            <rFont val="宋体"/>
            <charset val="134"/>
          </rPr>
          <t>剩余钴渣量</t>
        </r>
      </text>
    </comment>
  </commentList>
</comments>
</file>

<file path=xl/comments12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  <comment ref="I38" authorId="1">
      <text>
        <r>
          <rPr>
            <sz val="10"/>
            <rFont val="宋体"/>
            <charset val="134"/>
          </rPr>
          <t>剩余钴渣量</t>
        </r>
      </text>
    </comment>
  </commentList>
</comments>
</file>

<file path=xl/comments13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  <comment ref="I38" authorId="1">
      <text>
        <r>
          <rPr>
            <sz val="10"/>
            <rFont val="宋体"/>
            <charset val="134"/>
          </rPr>
          <t>剩余钴渣量</t>
        </r>
      </text>
    </comment>
  </commentList>
</comments>
</file>

<file path=xl/comments14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  <comment ref="I38" authorId="1">
      <text>
        <r>
          <rPr>
            <sz val="10"/>
            <rFont val="宋体"/>
            <charset val="134"/>
          </rPr>
          <t>剩余钴渣量</t>
        </r>
      </text>
    </comment>
  </commentList>
</comments>
</file>

<file path=xl/comments15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  <comment ref="I38" authorId="1">
      <text>
        <r>
          <rPr>
            <sz val="10"/>
            <rFont val="宋体"/>
            <charset val="134"/>
          </rPr>
          <t>剩余钴渣量</t>
        </r>
      </text>
    </comment>
  </commentList>
</comments>
</file>

<file path=xl/comments16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  <comment ref="I38" authorId="1">
      <text>
        <r>
          <rPr>
            <sz val="10"/>
            <rFont val="宋体"/>
            <charset val="134"/>
          </rPr>
          <t>剩余钴渣量</t>
        </r>
      </text>
    </comment>
  </commentList>
</comments>
</file>

<file path=xl/comments17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  <comment ref="I38" authorId="1">
      <text>
        <r>
          <rPr>
            <sz val="10"/>
            <rFont val="宋体"/>
            <charset val="134"/>
          </rPr>
          <t>剩余钴渣量</t>
        </r>
      </text>
    </comment>
  </commentList>
</comments>
</file>

<file path=xl/comments18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  <comment ref="I38" authorId="1">
      <text>
        <r>
          <rPr>
            <sz val="10"/>
            <rFont val="宋体"/>
            <charset val="134"/>
          </rPr>
          <t>剩余钴渣量</t>
        </r>
      </text>
    </comment>
  </commentList>
</comments>
</file>

<file path=xl/comments19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  <comment ref="I38" authorId="1">
      <text>
        <r>
          <rPr>
            <sz val="10"/>
            <rFont val="宋体"/>
            <charset val="134"/>
          </rPr>
          <t>剩余钴渣量</t>
        </r>
      </text>
    </comment>
  </commentList>
</comments>
</file>

<file path=xl/comments20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  <comment ref="I38" authorId="1">
      <text>
        <r>
          <rPr>
            <sz val="10"/>
            <rFont val="宋体"/>
            <charset val="134"/>
          </rPr>
          <t>剩余钴渣量</t>
        </r>
      </text>
    </comment>
  </commentList>
</comments>
</file>

<file path=xl/comments21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  <comment ref="I38" authorId="1">
      <text>
        <r>
          <rPr>
            <sz val="10"/>
            <rFont val="宋体"/>
            <charset val="134"/>
          </rPr>
          <t>剩余钴渣量</t>
        </r>
      </text>
    </comment>
  </commentList>
</comments>
</file>

<file path=xl/comments22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  <comment ref="I38" authorId="1">
      <text>
        <r>
          <rPr>
            <sz val="10"/>
            <rFont val="宋体"/>
            <charset val="134"/>
          </rPr>
          <t>剩余钴渣量</t>
        </r>
      </text>
    </comment>
  </commentList>
</comments>
</file>

<file path=xl/comments23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  <comment ref="I38" authorId="1">
      <text>
        <r>
          <rPr>
            <sz val="10"/>
            <rFont val="宋体"/>
            <charset val="134"/>
          </rPr>
          <t>剩余钴渣量</t>
        </r>
      </text>
    </comment>
  </commentList>
</comments>
</file>

<file path=xl/comments24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  <comment ref="I38" authorId="1">
      <text>
        <r>
          <rPr>
            <sz val="10"/>
            <rFont val="宋体"/>
            <charset val="134"/>
          </rPr>
          <t>剩余钴渣量</t>
        </r>
      </text>
    </comment>
  </commentList>
</comments>
</file>

<file path=xl/comments25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  <comment ref="I38" authorId="1">
      <text>
        <r>
          <rPr>
            <sz val="10"/>
            <rFont val="宋体"/>
            <charset val="134"/>
          </rPr>
          <t>剩余钴渣量</t>
        </r>
      </text>
    </comment>
  </commentList>
</comments>
</file>

<file path=xl/comments26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  <comment ref="I38" authorId="1">
      <text>
        <r>
          <rPr>
            <sz val="10"/>
            <rFont val="宋体"/>
            <charset val="134"/>
          </rPr>
          <t>剩余钴渣量</t>
        </r>
      </text>
    </comment>
  </commentList>
</comments>
</file>

<file path=xl/comments27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  <comment ref="I38" authorId="1">
      <text>
        <r>
          <rPr>
            <sz val="10"/>
            <rFont val="宋体"/>
            <charset val="134"/>
          </rPr>
          <t>剩余钴渣量</t>
        </r>
      </text>
    </comment>
  </commentList>
</comments>
</file>

<file path=xl/comments28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  <comment ref="I38" authorId="1">
      <text>
        <r>
          <rPr>
            <sz val="10"/>
            <rFont val="宋体"/>
            <charset val="134"/>
          </rPr>
          <t>剩余钴渣量</t>
        </r>
      </text>
    </comment>
  </commentList>
</comments>
</file>

<file path=xl/comments29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  <comment ref="I38" authorId="1">
      <text>
        <r>
          <rPr>
            <sz val="10"/>
            <rFont val="宋体"/>
            <charset val="134"/>
          </rPr>
          <t>剩余钴渣量</t>
        </r>
      </text>
    </comment>
  </commentList>
</comments>
</file>

<file path=xl/comments30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  <comment ref="I38" authorId="1">
      <text>
        <r>
          <rPr>
            <sz val="10"/>
            <rFont val="宋体"/>
            <charset val="134"/>
          </rPr>
          <t>剩余钴渣量</t>
        </r>
      </text>
    </comment>
  </commentList>
</comments>
</file>

<file path=xl/sharedStrings.xml><?xml version="1.0" encoding="utf-8"?>
<sst xmlns="http://schemas.openxmlformats.org/spreadsheetml/2006/main" count="3212" uniqueCount="211">
  <si>
    <t>103车间5月31日生产情况</t>
  </si>
  <si>
    <t>生产情况</t>
  </si>
  <si>
    <t>白班</t>
  </si>
  <si>
    <t>夜班</t>
  </si>
  <si>
    <t>合计</t>
  </si>
  <si>
    <t>单位</t>
  </si>
  <si>
    <t>月累计</t>
  </si>
  <si>
    <t>月计划</t>
  </si>
  <si>
    <t>剩余计划</t>
  </si>
  <si>
    <t>异常原因</t>
  </si>
  <si>
    <t>导致结果</t>
  </si>
  <si>
    <t>处理措施</t>
  </si>
  <si>
    <t>备注</t>
  </si>
  <si>
    <t>碳酸锂(车间产量)</t>
  </si>
  <si>
    <t>t</t>
  </si>
  <si>
    <t>班次</t>
  </si>
  <si>
    <t>设备维护计划</t>
  </si>
  <si>
    <t>完成情况</t>
  </si>
  <si>
    <t>碳酸锂(入库数量)</t>
  </si>
  <si>
    <t>除杂A釜</t>
  </si>
  <si>
    <t>已完成</t>
  </si>
  <si>
    <t>硫酸钠（干料）</t>
  </si>
  <si>
    <t>除杂B釜</t>
  </si>
  <si>
    <t>硫酸钠（湿料）</t>
  </si>
  <si>
    <t>除杂C釜</t>
  </si>
  <si>
    <t>硫酸钠杂质料</t>
  </si>
  <si>
    <t>除重D釜</t>
  </si>
  <si>
    <t>硫酸钠落地料</t>
  </si>
  <si>
    <t>除重E釜</t>
  </si>
  <si>
    <t>外售硫酸锂</t>
  </si>
  <si>
    <t>剩余硫酸锂量（吨）：</t>
  </si>
  <si>
    <t>液碱</t>
  </si>
  <si>
    <t>累计外卖硫酸锂金属量：</t>
  </si>
  <si>
    <t>硫酸</t>
  </si>
  <si>
    <t>除杂退料</t>
  </si>
  <si>
    <t>m³</t>
  </si>
  <si>
    <t>合成前液</t>
  </si>
  <si>
    <t>接102气浮除油后液</t>
  </si>
  <si>
    <t>气浮除油锂金属量：</t>
  </si>
  <si>
    <t>碳酸钠</t>
  </si>
  <si>
    <t>累计接料锂金属量：</t>
  </si>
  <si>
    <t>偏铝酸钠</t>
  </si>
  <si>
    <t>除氟剂</t>
  </si>
  <si>
    <t>活性炭</t>
  </si>
  <si>
    <t>活性炭渣</t>
  </si>
  <si>
    <t>包</t>
  </si>
  <si>
    <t>冷凝水</t>
  </si>
  <si>
    <t>蒸发累计时长\平均蒸发量：</t>
  </si>
  <si>
    <t>蒸发前液进料累计量</t>
  </si>
  <si>
    <t>二效氯离子量</t>
  </si>
  <si>
    <t>g/L</t>
  </si>
  <si>
    <t>需协调事项</t>
  </si>
  <si>
    <t>1、用旋液分离器替代沉降罐，避免总堵，解决需要停机处理问题。</t>
  </si>
  <si>
    <t>维修事宜</t>
  </si>
  <si>
    <t>1、MVR拆预热器上下堵头，再拆一效上封头；
2、安装盘干机，离心机下铰刀；
3、振动筛，盘干机料仓加大；
4、碳酸钠管道更换；
5、CV101-105、SV103-104阀门关不严；
6、MVR一效循环泵泵头安装；
7、如果停主蒸汽，103阀附近压力表漏气需处理。</t>
  </si>
  <si>
    <t>计划情况</t>
  </si>
  <si>
    <t>1、蒸发停机退料；
2、清理卫生；
3、外协施工时注意安全监护；
4、关注外排水PH、镍指标。</t>
  </si>
  <si>
    <t>104车间5月31日生产情况</t>
  </si>
  <si>
    <t>序号</t>
  </si>
  <si>
    <t>内容</t>
  </si>
  <si>
    <t>接102废液</t>
  </si>
  <si>
    <t>接102返镁液</t>
  </si>
  <si>
    <t>接生活废水</t>
  </si>
  <si>
    <t>使用自来水</t>
  </si>
  <si>
    <t>外排水</t>
  </si>
  <si>
    <t>雨水池处理量</t>
  </si>
  <si>
    <t>除COD池处理量</t>
  </si>
  <si>
    <t>镍渣产出</t>
  </si>
  <si>
    <t>104剩余渣总数：</t>
  </si>
  <si>
    <t>1、下雨应急水池关闭，外排打开；
2、104正常处理废水；</t>
  </si>
  <si>
    <t>103车间6月1日生产情况</t>
  </si>
  <si>
    <t>白班/夜班</t>
  </si>
  <si>
    <t>清洗列管</t>
  </si>
  <si>
    <t>未完成</t>
  </si>
  <si>
    <t>1、碳酸锂铰刀恢复接电；
2、母液管路漏需换管；
3、离心机止回阀移位需矫正；
4、碳酸钠管道、碳酸钠循环泵需更换；
5、CV101-105、SV103-104阀门关不严。</t>
  </si>
  <si>
    <t>1、蒸发停机；
2、清理卫生；
3、外协施工时注意安全监护；
4、关注外排水PH、镍指标。</t>
  </si>
  <si>
    <t>104车间6月1日生产情况</t>
  </si>
  <si>
    <t>103车间6月2日生产情况</t>
  </si>
  <si>
    <t>1、除重B进母液管路维修；
2、去离心机母液管路换位置；
3、二效东侧人孔漏；
4、104洗眼器维修。</t>
  </si>
  <si>
    <t>104车间6月2日生产情况</t>
  </si>
  <si>
    <t>103车间6月3日生产情况</t>
  </si>
  <si>
    <t>清罐、开车</t>
  </si>
  <si>
    <t>无计划</t>
  </si>
  <si>
    <t>1、用旋液分离器替代沉降罐，避免总堵，解决需要停机处理问题；
2、拆下来振动筛，铰刀，新铰刀，固液转换阀设备部安排收回。</t>
  </si>
  <si>
    <t>1、安环查出的滴漏问题需协助整改；
2、盘干机蒸汽管沙眼补漏。</t>
  </si>
  <si>
    <t>1、蒸发正常开机，元明粉出湿料；
2、清理卫生；
3、外协施工时注意安全监护；
4、关注外排水PH、镍指标。</t>
  </si>
  <si>
    <t>104车间6月3日生产情况</t>
  </si>
  <si>
    <t>103车间6月4日生产情况</t>
  </si>
  <si>
    <t>碳酸钠渣浆化槽</t>
  </si>
  <si>
    <t>一次洗液渣浆化槽</t>
  </si>
  <si>
    <t>蒸发预调A</t>
  </si>
  <si>
    <t>蒸发预调B</t>
  </si>
  <si>
    <t>蒸发预调C</t>
  </si>
  <si>
    <t>1、用旋液分离器替代沉降罐，避免总堵，解决需要停机处理问题；
2、拆下来振动筛，铰刀，新铰刀，固液转换阀等6件设备需安排回收；
3、离心机下料口堵料，今天需要将振打器安装上。</t>
  </si>
  <si>
    <t>1、104微机室门开关门时门底蹭地，需维修；
2、盘干机温度升不起来需处理。</t>
  </si>
  <si>
    <t>104车间6月4日生产情况</t>
  </si>
  <si>
    <t>103车间6月5日生产情况</t>
  </si>
  <si>
    <t>压缩空气罐</t>
  </si>
  <si>
    <t>仪表空气罐</t>
  </si>
  <si>
    <t>0m层储槽区地沟</t>
  </si>
  <si>
    <t>浆化区地沟</t>
  </si>
  <si>
    <t>1、冷凝水罐密闭加200排气；
2.二次浆洗AB止回阀不好用；
3.母液废管封堵。</t>
  </si>
  <si>
    <t>104车间6月5日生产情况</t>
  </si>
  <si>
    <t>103车间6月6日生产情况</t>
  </si>
  <si>
    <t>压榨水罐</t>
  </si>
  <si>
    <t>浆洗地沟</t>
  </si>
  <si>
    <t>除杂后液槽A</t>
  </si>
  <si>
    <t>除杂后液槽B</t>
  </si>
  <si>
    <t>1、新离心机下料螺旋安装振打器。</t>
  </si>
  <si>
    <t>104车间6月6日生产情况</t>
  </si>
  <si>
    <t>103车间6月7日生产情况</t>
  </si>
  <si>
    <t>除杂ABC</t>
  </si>
  <si>
    <t>除重ABC</t>
  </si>
  <si>
    <t>1、CV105反馈错误，现场开度与实际开度不一致处理；</t>
  </si>
  <si>
    <t>104车间6月7日生产情况</t>
  </si>
  <si>
    <t>103车间6月8日生产情况</t>
  </si>
  <si>
    <t>设备维护计划（白班）</t>
  </si>
  <si>
    <t>蒸发预调D、除氟后液槽、精密后液槽</t>
  </si>
  <si>
    <t>设备维护计划（夜班）</t>
  </si>
  <si>
    <t>除杂D釜、除杂E釜、合成前液储槽</t>
  </si>
  <si>
    <t>104车间6月8日生产情况</t>
  </si>
  <si>
    <t>103车间6月9日生产情况</t>
  </si>
  <si>
    <t>MVR三楼</t>
  </si>
  <si>
    <t>合成A、B、C二楼区域</t>
  </si>
  <si>
    <t>1、蒸发正常开机，元明粉出湿料，预计明天白天停车；
2、清理卫生；
3、外协施工时注意安全监护；
4、关注外排水PH、镍指标。</t>
  </si>
  <si>
    <t>104车间6月9日生产情况</t>
  </si>
  <si>
    <t>103车间6月10日生产情况</t>
  </si>
  <si>
    <t>除重E釜、除重F釜</t>
  </si>
  <si>
    <t>MVR四楼</t>
  </si>
  <si>
    <t>1、蒸发开机，关注蒸发量；
2、清理卫生；
3、外协施工时注意安全监护；
4、关注外排水PH、镍指标。</t>
  </si>
  <si>
    <t>104车间6月10日生产情况</t>
  </si>
  <si>
    <t>103车间6月11日生产情况</t>
  </si>
  <si>
    <t>除氟A釜（未完成）、除氟B釜（已完成）、除氟C釜（已完成）</t>
  </si>
  <si>
    <t>MVR五楼</t>
  </si>
  <si>
    <t>104车间6月11日生产情况</t>
  </si>
  <si>
    <t>103车间6月12日生产情况</t>
  </si>
  <si>
    <t>MVR储罐区</t>
  </si>
  <si>
    <t>除氟D、E、F釜</t>
  </si>
  <si>
    <t>104车间6月12日生产情况</t>
  </si>
  <si>
    <t>103车间6月13日生产情况</t>
  </si>
  <si>
    <t>MVR二楼离心机区域</t>
  </si>
  <si>
    <t>碳酸钠渣浆化槽、一次洗液渣浆化槽</t>
  </si>
  <si>
    <t>104车间6月13日生产情况</t>
  </si>
  <si>
    <t>103车间6月14日生产情况</t>
  </si>
  <si>
    <t>一楼东侧地沟清理</t>
  </si>
  <si>
    <t>104车间6月14日生产情况</t>
  </si>
  <si>
    <t>103车间6月15日生产情况</t>
  </si>
  <si>
    <t>MVR调酸槽区域</t>
  </si>
  <si>
    <t>MVR二楼剩余区域</t>
  </si>
  <si>
    <t>104车间6月15日生产情况</t>
  </si>
  <si>
    <t>103车间6月16日生产情况</t>
  </si>
  <si>
    <t>设备维护完成情况（白班）</t>
  </si>
  <si>
    <t>4.5m西侧五个储罐罐面</t>
  </si>
  <si>
    <t>设备维护完成情况（夜班）</t>
  </si>
  <si>
    <t>104车间6月16日生产情况</t>
  </si>
  <si>
    <t>103车间6月17日生产情况</t>
  </si>
  <si>
    <t>今日设备维护计划（白班）</t>
  </si>
  <si>
    <t>一次浆洗平台、楼梯、护栏刷漆</t>
  </si>
  <si>
    <t>大厅4个下渣口</t>
  </si>
  <si>
    <t>今日设备维护计划（夜班）</t>
  </si>
  <si>
    <t>4.5m平台西侧过道刷漆</t>
  </si>
  <si>
    <t>104车间6月17日生产情况</t>
  </si>
  <si>
    <t>103车间6月18日生产情况</t>
  </si>
  <si>
    <t>卸渣区泵维护保养</t>
  </si>
  <si>
    <t>MVR一楼设备维护保养</t>
  </si>
  <si>
    <t>104车间6月18日生产情况</t>
  </si>
  <si>
    <t>103车间6月19日生产情况</t>
  </si>
  <si>
    <t>卸渣区泵维护保养(卸渣区地坑泵、外卖泵已完成)</t>
  </si>
  <si>
    <t>MVR6楼</t>
  </si>
  <si>
    <t>MVR一楼设备维护保养(冷凝水泵、地坑泵已完成)</t>
  </si>
  <si>
    <t>卸渣区碳酸钠压滤泵、碳酸钠循环泵维护保养</t>
  </si>
  <si>
    <t>104车间6月19日生产情况</t>
  </si>
  <si>
    <t>103车间6月20日生产情况</t>
  </si>
  <si>
    <t>MVR6楼清理完成</t>
  </si>
  <si>
    <t>更换滤布</t>
  </si>
  <si>
    <t>卸渣区碳酸钠压滤泵、碳酸钠循环泵维护保养完成</t>
  </si>
  <si>
    <t>楼梯清理</t>
  </si>
  <si>
    <t>104车间6月20日生产情况</t>
  </si>
  <si>
    <t>103车间6月21日生产情况</t>
  </si>
  <si>
    <t>西侧楼梯清理</t>
  </si>
  <si>
    <t>0m层去4.5m平台东西两侧楼梯清理</t>
  </si>
  <si>
    <t>104车间6月21日生产情况</t>
  </si>
  <si>
    <t>103车间6月22日生产情况</t>
  </si>
  <si>
    <t>责任区域墙面蜘蛛网清理</t>
  </si>
  <si>
    <t>104车间6月22日生产情况</t>
  </si>
  <si>
    <t>103车间6月23日生产情况</t>
  </si>
  <si>
    <t>西侧楼梯及楼梯上过道栏杆清理</t>
  </si>
  <si>
    <t>104车间6月23日生产情况</t>
  </si>
  <si>
    <t>103车间6月24日生产情况</t>
  </si>
  <si>
    <t>一次浆洗楼梯、卸渣区楼梯新装护栏刷漆</t>
  </si>
  <si>
    <t>一楼西侧卸渣区楼梯及过道刷漆</t>
  </si>
  <si>
    <t>104车间6月24日生产情况</t>
  </si>
  <si>
    <t>103车间6月25日生产情况</t>
  </si>
  <si>
    <t>责任区域消防通道标识喷漆</t>
  </si>
  <si>
    <t>104车间6月25日生产情况</t>
  </si>
  <si>
    <t>103车间6月26日生产情况</t>
  </si>
  <si>
    <t>104西侧室内外卫生及墙面蜘蛛网清理</t>
  </si>
  <si>
    <t>104东侧室内外卫生及墙面蜘蛛网清理</t>
  </si>
  <si>
    <t>104车间6月26日生产情况</t>
  </si>
  <si>
    <t>103车间6月27日生产情况</t>
  </si>
  <si>
    <t>104车间6月27日生产情况</t>
  </si>
  <si>
    <t>103车间6月28日生产情况</t>
  </si>
  <si>
    <t>除重池及附属泵、管道</t>
  </si>
  <si>
    <t>除COD池及附属泵、管道</t>
  </si>
  <si>
    <t>1、车间需确定元明粉出干料的日期；</t>
  </si>
  <si>
    <t>104车间6月28日生产情况</t>
  </si>
  <si>
    <t>103车间6月29日生产情况</t>
  </si>
  <si>
    <t>104东侧室外设备管道及周边卫生</t>
  </si>
  <si>
    <t>104室内中间设备管道及墙面卫生</t>
  </si>
  <si>
    <t>1、车间需确定元明粉出干料的日期。</t>
  </si>
  <si>
    <t>104车间6月29日生产情况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</si>
</sst>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yyyy&quot;年&quot;m&quot;月&quot;d&quot;日&quot;;@"/>
  </numFmts>
  <fonts count="28">
    <font>
      <sz val="11"/>
      <color theme="1"/>
      <name val="宋体"/>
      <charset val="134"/>
      <scheme val="minor"/>
    </font>
    <font>
      <sz val="11"/>
      <name val="宋体"/>
      <charset val="134"/>
    </font>
    <font>
      <b/>
      <sz val="20"/>
      <color rgb="FF000000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2"/>
      <color theme="1"/>
      <name val="宋体"/>
      <charset val="134"/>
    </font>
    <font>
      <sz val="12"/>
      <color rgb="FFFF0000"/>
      <name val="宋体"/>
      <charset val="134"/>
    </font>
    <font>
      <sz val="11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2" borderId="9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10">
      <alignment vertical="center"/>
    </xf>
    <xf numFmtId="0" fontId="14" fillId="0" borderId="10">
      <alignment vertical="center"/>
    </xf>
    <xf numFmtId="0" fontId="15" fillId="0" borderId="11">
      <alignment vertical="center"/>
    </xf>
    <xf numFmtId="0" fontId="15" fillId="0" borderId="0">
      <alignment vertical="center"/>
    </xf>
    <xf numFmtId="0" fontId="16" fillId="3" borderId="12">
      <alignment vertical="center"/>
    </xf>
    <xf numFmtId="0" fontId="17" fillId="4" borderId="13">
      <alignment vertical="center"/>
    </xf>
    <xf numFmtId="0" fontId="18" fillId="4" borderId="12">
      <alignment vertical="center"/>
    </xf>
    <xf numFmtId="0" fontId="19" fillId="5" borderId="14">
      <alignment vertical="center"/>
    </xf>
    <xf numFmtId="0" fontId="20" fillId="0" borderId="15">
      <alignment vertical="center"/>
    </xf>
    <xf numFmtId="0" fontId="21" fillId="0" borderId="16">
      <alignment vertical="center"/>
    </xf>
    <xf numFmtId="0" fontId="22" fillId="6" borderId="0">
      <alignment vertical="center"/>
    </xf>
    <xf numFmtId="0" fontId="23" fillId="7" borderId="0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6" fillId="11" borderId="0">
      <alignment vertical="center"/>
    </xf>
    <xf numFmtId="0" fontId="25" fillId="12" borderId="0">
      <alignment vertical="center"/>
    </xf>
    <xf numFmtId="0" fontId="25" fillId="13" borderId="0">
      <alignment vertical="center"/>
    </xf>
    <xf numFmtId="0" fontId="26" fillId="14" borderId="0">
      <alignment vertical="center"/>
    </xf>
    <xf numFmtId="0" fontId="26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6" fillId="18" borderId="0">
      <alignment vertical="center"/>
    </xf>
    <xf numFmtId="0" fontId="26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6" fillId="22" borderId="0">
      <alignment vertical="center"/>
    </xf>
    <xf numFmtId="0" fontId="26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5" fillId="32" borderId="0">
      <alignment vertical="center"/>
    </xf>
  </cellStyleXfs>
  <cellXfs count="46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right" vertical="center" wrapText="1"/>
    </xf>
    <xf numFmtId="0" fontId="0" fillId="0" borderId="3" xfId="0" applyBorder="1" applyAlignment="1"/>
    <xf numFmtId="0" fontId="4" fillId="0" borderId="4" xfId="0" applyFont="1" applyBorder="1" applyAlignment="1">
      <alignment horizontal="center" vertical="center" wrapText="1"/>
    </xf>
    <xf numFmtId="0" fontId="0" fillId="0" borderId="4" xfId="0" applyBorder="1" applyAlignment="1"/>
    <xf numFmtId="49" fontId="4" fillId="0" borderId="2" xfId="0" applyNumberFormat="1" applyFont="1" applyBorder="1" applyAlignment="1">
      <alignment vertical="center" wrapText="1"/>
    </xf>
    <xf numFmtId="0" fontId="3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right" vertical="center" wrapText="1"/>
    </xf>
    <xf numFmtId="0" fontId="1" fillId="0" borderId="5" xfId="0" applyFont="1" applyBorder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6" xfId="0" applyBorder="1" applyAlignment="1"/>
    <xf numFmtId="0" fontId="0" fillId="0" borderId="7" xfId="0" applyBorder="1" applyAlignme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1" xfId="0" applyFont="1" applyBorder="1" applyAlignment="1">
      <alignment horizontal="right" vertical="center" wrapText="1"/>
    </xf>
    <xf numFmtId="0" fontId="7" fillId="0" borderId="1" xfId="0" applyFont="1" applyBorder="1" applyAlignment="1">
      <alignment horizontal="righ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Continuous" vertical="center"/>
    </xf>
    <xf numFmtId="177" fontId="1" fillId="0" borderId="1" xfId="0" applyNumberFormat="1" applyFont="1" applyBorder="1" applyAlignment="1">
      <alignment horizontal="centerContinuous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vertical="center" wrapText="1"/>
    </xf>
    <xf numFmtId="0" fontId="0" fillId="0" borderId="8" xfId="0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3" Type="http://schemas.openxmlformats.org/officeDocument/2006/relationships/styles" Target="styles.xml"/><Relationship Id="rId32" Type="http://schemas.openxmlformats.org/officeDocument/2006/relationships/sharedStrings" Target="sharedStrings.xml"/><Relationship Id="rId31" Type="http://schemas.openxmlformats.org/officeDocument/2006/relationships/theme" Target="theme/theme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comments" Target="../comments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comments" Target="../comments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comments" Target="../comments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comments" Target="../comments15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comments" Target="../comments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.vml"/><Relationship Id="rId1" Type="http://schemas.openxmlformats.org/officeDocument/2006/relationships/comments" Target="../comments17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.vml"/><Relationship Id="rId1" Type="http://schemas.openxmlformats.org/officeDocument/2006/relationships/comments" Target="../comments18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.vml"/><Relationship Id="rId1" Type="http://schemas.openxmlformats.org/officeDocument/2006/relationships/comments" Target="../comments19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.vml"/><Relationship Id="rId1" Type="http://schemas.openxmlformats.org/officeDocument/2006/relationships/comments" Target="../comments20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1.vml"/><Relationship Id="rId1" Type="http://schemas.openxmlformats.org/officeDocument/2006/relationships/comments" Target="../comments21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2.vml"/><Relationship Id="rId1" Type="http://schemas.openxmlformats.org/officeDocument/2006/relationships/comments" Target="../comments22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3.vml"/><Relationship Id="rId1" Type="http://schemas.openxmlformats.org/officeDocument/2006/relationships/comments" Target="../comments23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4.vml"/><Relationship Id="rId1" Type="http://schemas.openxmlformats.org/officeDocument/2006/relationships/comments" Target="../comments24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5.vml"/><Relationship Id="rId1" Type="http://schemas.openxmlformats.org/officeDocument/2006/relationships/comments" Target="../comments25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6.vml"/><Relationship Id="rId1" Type="http://schemas.openxmlformats.org/officeDocument/2006/relationships/comments" Target="../comments26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7.vml"/><Relationship Id="rId1" Type="http://schemas.openxmlformats.org/officeDocument/2006/relationships/comments" Target="../comments27.x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8.vml"/><Relationship Id="rId1" Type="http://schemas.openxmlformats.org/officeDocument/2006/relationships/comments" Target="../comments28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9.vml"/><Relationship Id="rId1" Type="http://schemas.openxmlformats.org/officeDocument/2006/relationships/comments" Target="../comments29.x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0.vml"/><Relationship Id="rId1" Type="http://schemas.openxmlformats.org/officeDocument/2006/relationships/comments" Target="../comments3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8"/>
  <sheetViews>
    <sheetView zoomScale="85" zoomScaleNormal="85" topLeftCell="A14" workbookViewId="0">
      <selection activeCell="B23" sqref="B23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9.7" style="2" customWidth="1"/>
    <col min="15" max="15" width="17.2" style="2" customWidth="1"/>
    <col min="16" max="16" width="15.4333333333333" style="2" customWidth="1"/>
    <col min="17" max="17" width="10.375" style="2" customWidth="1"/>
    <col min="18" max="16384" width="9" style="2" customWidth="1"/>
  </cols>
  <sheetData>
    <row r="1" s="1" customFormat="1" ht="45" customHeight="1" spans="1:16">
      <c r="A1" s="5" t="s">
        <v>0</v>
      </c>
    </row>
    <row r="2" s="1" customFormat="1" ht="30" customHeight="1" spans="1:16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41">
        <v>46173</v>
      </c>
      <c r="O2" s="42"/>
      <c r="P2" s="42"/>
    </row>
    <row r="3" s="1" customFormat="1" ht="38" customHeight="1" spans="1:16">
      <c r="A3" s="7">
        <v>1</v>
      </c>
      <c r="B3" s="8" t="s">
        <v>13</v>
      </c>
      <c r="C3" s="9">
        <v>7</v>
      </c>
      <c r="D3" s="9">
        <v>5</v>
      </c>
      <c r="E3" s="10">
        <f t="shared" ref="E3:E12" si="0">C3+D3</f>
        <v>12</v>
      </c>
      <c r="F3" s="10" t="s">
        <v>14</v>
      </c>
      <c r="G3" s="10">
        <f>12</f>
        <v>12</v>
      </c>
      <c r="H3" s="10">
        <v>330</v>
      </c>
      <c r="I3" s="10">
        <f>H3-G3</f>
        <v>318</v>
      </c>
      <c r="J3" s="11"/>
      <c r="K3" s="10"/>
      <c r="L3" s="10"/>
      <c r="M3" s="10">
        <f>I3/29</f>
        <v>10.9655172413793</v>
      </c>
      <c r="N3" s="43" t="s">
        <v>15</v>
      </c>
      <c r="O3" s="38" t="s">
        <v>16</v>
      </c>
      <c r="P3" s="38" t="s">
        <v>17</v>
      </c>
    </row>
    <row r="4" s="1" customFormat="1" ht="38" customHeight="1" spans="1:16">
      <c r="A4" s="12">
        <v>2</v>
      </c>
      <c r="B4" s="8" t="s">
        <v>18</v>
      </c>
      <c r="C4" s="9">
        <v>12</v>
      </c>
      <c r="D4" s="9"/>
      <c r="E4" s="10">
        <f t="shared" si="0"/>
        <v>12</v>
      </c>
      <c r="F4" s="10" t="s">
        <v>14</v>
      </c>
      <c r="G4" s="10">
        <f>12</f>
        <v>12</v>
      </c>
      <c r="H4" s="13"/>
      <c r="I4" s="13"/>
      <c r="J4" s="11"/>
      <c r="K4" s="10"/>
      <c r="L4" s="10"/>
      <c r="M4" s="10"/>
      <c r="N4" s="38" t="s">
        <v>2</v>
      </c>
      <c r="O4" s="38" t="s">
        <v>19</v>
      </c>
      <c r="P4" s="38" t="s">
        <v>20</v>
      </c>
    </row>
    <row r="5" s="1" customFormat="1" ht="38" customHeight="1" spans="1:16">
      <c r="A5" s="12">
        <v>3</v>
      </c>
      <c r="B5" s="8" t="s">
        <v>21</v>
      </c>
      <c r="C5" s="10">
        <v>65</v>
      </c>
      <c r="D5" s="10">
        <v>0</v>
      </c>
      <c r="E5" s="10">
        <f t="shared" si="0"/>
        <v>65</v>
      </c>
      <c r="F5" s="10" t="s">
        <v>14</v>
      </c>
      <c r="G5" s="10">
        <f>65</f>
        <v>65</v>
      </c>
      <c r="H5" s="10">
        <v>4950</v>
      </c>
      <c r="I5" s="10">
        <f>H5-G5-G7-G6</f>
        <v>4885</v>
      </c>
      <c r="J5" s="14"/>
      <c r="K5" s="10"/>
      <c r="L5" s="10"/>
      <c r="M5" s="10"/>
      <c r="N5" s="15"/>
      <c r="O5" s="38" t="s">
        <v>22</v>
      </c>
      <c r="P5" s="38" t="s">
        <v>20</v>
      </c>
    </row>
    <row r="6" s="1" customFormat="1" ht="38" customHeight="1" spans="1:16">
      <c r="A6" s="15"/>
      <c r="B6" s="8" t="s">
        <v>23</v>
      </c>
      <c r="C6" s="10">
        <v>0</v>
      </c>
      <c r="D6" s="10">
        <v>0</v>
      </c>
      <c r="E6" s="10">
        <f t="shared" si="0"/>
        <v>0</v>
      </c>
      <c r="F6" s="10" t="s">
        <v>14</v>
      </c>
      <c r="G6" s="10">
        <f>0</f>
        <v>0</v>
      </c>
      <c r="H6" s="15"/>
      <c r="I6" s="15"/>
      <c r="J6" s="11"/>
      <c r="K6" s="10"/>
      <c r="L6" s="10"/>
      <c r="M6" s="10"/>
      <c r="N6" s="17"/>
      <c r="O6" s="38" t="s">
        <v>24</v>
      </c>
      <c r="P6" s="38" t="s">
        <v>20</v>
      </c>
    </row>
    <row r="7" s="1" customFormat="1" ht="38" customHeight="1" spans="1:16">
      <c r="A7" s="15"/>
      <c r="B7" s="8" t="s">
        <v>25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0</f>
        <v>0</v>
      </c>
      <c r="H7" s="15"/>
      <c r="I7" s="15"/>
      <c r="J7" s="11"/>
      <c r="K7" s="10"/>
      <c r="L7" s="10"/>
      <c r="M7" s="10"/>
      <c r="N7" s="43" t="s">
        <v>3</v>
      </c>
      <c r="O7" s="38" t="s">
        <v>26</v>
      </c>
      <c r="P7" s="38" t="s">
        <v>20</v>
      </c>
    </row>
    <row r="8" s="1" customFormat="1" ht="38" customHeight="1" spans="1:16">
      <c r="A8" s="15"/>
      <c r="B8" s="8" t="s">
        <v>27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</f>
        <v>0</v>
      </c>
      <c r="H8" s="17"/>
      <c r="I8" s="17"/>
      <c r="J8" s="11"/>
      <c r="K8" s="10"/>
      <c r="L8" s="10"/>
      <c r="M8" s="10"/>
      <c r="N8" s="45"/>
      <c r="O8" s="38" t="s">
        <v>28</v>
      </c>
      <c r="P8" s="38" t="s">
        <v>20</v>
      </c>
    </row>
    <row r="9" s="1" customFormat="1" ht="25" customHeight="1" spans="1:16">
      <c r="A9" s="12">
        <v>4</v>
      </c>
      <c r="B9" s="18" t="s">
        <v>29</v>
      </c>
      <c r="C9" s="13">
        <v>0</v>
      </c>
      <c r="D9" s="13"/>
      <c r="E9" s="10">
        <f t="shared" si="0"/>
        <v>0</v>
      </c>
      <c r="F9" s="13" t="s">
        <v>14</v>
      </c>
      <c r="G9" s="10">
        <f>0</f>
        <v>0</v>
      </c>
      <c r="H9" s="13">
        <v>6.08</v>
      </c>
      <c r="I9" s="13">
        <f>H9-K10</f>
        <v>6.08</v>
      </c>
      <c r="J9" s="19" t="s">
        <v>30</v>
      </c>
      <c r="K9" s="13">
        <v>90</v>
      </c>
      <c r="L9" s="13">
        <v>0</v>
      </c>
      <c r="M9" s="20"/>
      <c r="N9" s="1"/>
      <c r="O9" s="33"/>
      <c r="P9" s="33"/>
    </row>
    <row r="10" s="1" customFormat="1" ht="25" customHeight="1" spans="1:16">
      <c r="A10" s="7">
        <v>5</v>
      </c>
      <c r="B10" s="8" t="s">
        <v>31</v>
      </c>
      <c r="C10" s="10">
        <v>6.831</v>
      </c>
      <c r="D10" s="10">
        <v>0</v>
      </c>
      <c r="E10" s="10">
        <f t="shared" si="0"/>
        <v>6.831</v>
      </c>
      <c r="F10" s="10" t="s">
        <v>14</v>
      </c>
      <c r="G10" s="10">
        <f>6.831</f>
        <v>6.831</v>
      </c>
      <c r="H10" s="10"/>
      <c r="I10" s="10">
        <f>G10/(G3*0.1865)</f>
        <v>3.05227882037534</v>
      </c>
      <c r="J10" s="19" t="s">
        <v>32</v>
      </c>
      <c r="K10" s="20">
        <f>0</f>
        <v>0</v>
      </c>
      <c r="L10" s="10"/>
      <c r="M10" s="10">
        <f>C9*L9/100</f>
        <v>0</v>
      </c>
      <c r="O10" s="33"/>
      <c r="P10" s="33"/>
    </row>
    <row r="11" s="1" customFormat="1" ht="25" customHeight="1" spans="1:16">
      <c r="A11" s="7">
        <v>6</v>
      </c>
      <c r="B11" s="8" t="s">
        <v>33</v>
      </c>
      <c r="C11" s="10">
        <v>14.352</v>
      </c>
      <c r="D11" s="10">
        <v>0</v>
      </c>
      <c r="E11" s="10">
        <f t="shared" si="0"/>
        <v>14.352</v>
      </c>
      <c r="F11" s="10" t="s">
        <v>14</v>
      </c>
      <c r="G11" s="10">
        <f>14.352</f>
        <v>14.352</v>
      </c>
      <c r="H11" s="10"/>
      <c r="I11" s="10">
        <f>G11/(G3*0.1865)</f>
        <v>6.41286863270777</v>
      </c>
      <c r="J11" s="11"/>
      <c r="K11" s="10"/>
      <c r="L11" s="10"/>
      <c r="M11" s="21"/>
      <c r="O11" s="33"/>
      <c r="P11" s="33"/>
    </row>
    <row r="12" s="1" customFormat="1" ht="25" customHeight="1" spans="1:16">
      <c r="A12" s="7">
        <v>7</v>
      </c>
      <c r="B12" s="8" t="s">
        <v>34</v>
      </c>
      <c r="C12" s="10">
        <v>375</v>
      </c>
      <c r="D12" s="10">
        <v>97</v>
      </c>
      <c r="E12" s="10">
        <f t="shared" si="0"/>
        <v>472</v>
      </c>
      <c r="F12" s="10" t="s">
        <v>35</v>
      </c>
      <c r="G12" s="10">
        <f>472</f>
        <v>472</v>
      </c>
      <c r="H12" s="10">
        <f>G12*1.05</f>
        <v>495.6</v>
      </c>
      <c r="I12" s="10"/>
      <c r="J12" s="11"/>
      <c r="K12" s="10"/>
      <c r="L12" s="10"/>
      <c r="M12" s="21"/>
    </row>
    <row r="13" s="1" customFormat="1" ht="25" customHeight="1" spans="1:16">
      <c r="A13" s="12">
        <v>8</v>
      </c>
      <c r="B13" s="8" t="s">
        <v>36</v>
      </c>
      <c r="C13" s="10">
        <v>254</v>
      </c>
      <c r="D13" s="10">
        <v>118</v>
      </c>
      <c r="E13" s="10">
        <f t="shared" ref="E13:E21" si="1">D13+C13</f>
        <v>372</v>
      </c>
      <c r="F13" s="10" t="s">
        <v>35</v>
      </c>
      <c r="G13" s="10">
        <f>372</f>
        <v>372</v>
      </c>
      <c r="H13" s="10"/>
      <c r="I13" s="10"/>
      <c r="J13" s="14"/>
      <c r="K13" s="10"/>
      <c r="L13" s="10"/>
      <c r="M13" s="10"/>
      <c r="N13" s="33"/>
      <c r="O13" s="33"/>
      <c r="P13" s="33"/>
    </row>
    <row r="14" s="1" customFormat="1" ht="25" customHeight="1" spans="1:16">
      <c r="A14" s="7">
        <v>9</v>
      </c>
      <c r="B14" s="8" t="s">
        <v>37</v>
      </c>
      <c r="C14" s="10">
        <v>209.75</v>
      </c>
      <c r="D14" s="10">
        <v>0</v>
      </c>
      <c r="E14" s="10">
        <f t="shared" si="1"/>
        <v>209.75</v>
      </c>
      <c r="F14" s="10" t="s">
        <v>35</v>
      </c>
      <c r="G14" s="10">
        <f>209.75</f>
        <v>209.75</v>
      </c>
      <c r="H14" s="10"/>
      <c r="I14" s="10"/>
      <c r="J14" s="19" t="s">
        <v>38</v>
      </c>
      <c r="K14" s="10">
        <v>3.06</v>
      </c>
      <c r="L14" s="10">
        <v>0</v>
      </c>
      <c r="M14" s="10"/>
      <c r="N14" s="33"/>
      <c r="O14" s="33"/>
      <c r="P14" s="33"/>
    </row>
    <row r="15" s="1" customFormat="1" ht="25" customHeight="1" spans="1:16">
      <c r="A15" s="7">
        <v>10</v>
      </c>
      <c r="B15" s="8" t="s">
        <v>39</v>
      </c>
      <c r="C15" s="10">
        <v>18</v>
      </c>
      <c r="D15" s="10">
        <v>6</v>
      </c>
      <c r="E15" s="10">
        <f t="shared" si="1"/>
        <v>24</v>
      </c>
      <c r="F15" s="10" t="s">
        <v>14</v>
      </c>
      <c r="G15" s="10">
        <f>24</f>
        <v>24</v>
      </c>
      <c r="H15" s="10"/>
      <c r="I15" s="10">
        <f>G15/(G3*0.1865)</f>
        <v>10.7238605898123</v>
      </c>
      <c r="J15" s="19" t="s">
        <v>40</v>
      </c>
      <c r="K15" s="20">
        <f>0.641835</f>
        <v>0.641835</v>
      </c>
      <c r="L15" s="10"/>
      <c r="M15" s="10">
        <f>(C14*K14+L14*D14)/1000</f>
        <v>0.641835</v>
      </c>
      <c r="N15" s="33"/>
      <c r="O15" s="33"/>
      <c r="P15" s="33"/>
    </row>
    <row r="16" s="1" customFormat="1" ht="25" customHeight="1" spans="1:16">
      <c r="A16" s="7">
        <v>11</v>
      </c>
      <c r="B16" s="8" t="s">
        <v>41</v>
      </c>
      <c r="C16" s="7">
        <v>0</v>
      </c>
      <c r="D16" s="7">
        <v>0</v>
      </c>
      <c r="E16" s="10">
        <f t="shared" si="1"/>
        <v>0</v>
      </c>
      <c r="F16" s="10" t="s">
        <v>14</v>
      </c>
      <c r="G16" s="10">
        <f>0</f>
        <v>0</v>
      </c>
      <c r="H16" s="22"/>
      <c r="I16" s="22"/>
      <c r="J16" s="11"/>
      <c r="K16" s="22"/>
      <c r="L16" s="22"/>
      <c r="M16" s="10"/>
      <c r="O16" s="33"/>
      <c r="P16" s="33"/>
    </row>
    <row r="17" s="1" customFormat="1" ht="25" customHeight="1" spans="1:13">
      <c r="A17" s="12">
        <v>12</v>
      </c>
      <c r="B17" s="8" t="s">
        <v>42</v>
      </c>
      <c r="C17" s="10">
        <v>2</v>
      </c>
      <c r="D17" s="7">
        <v>0</v>
      </c>
      <c r="E17" s="10">
        <f t="shared" si="1"/>
        <v>2</v>
      </c>
      <c r="F17" s="10" t="s">
        <v>14</v>
      </c>
      <c r="G17" s="10">
        <f>2</f>
        <v>2</v>
      </c>
      <c r="H17" s="22"/>
      <c r="I17" s="10">
        <f>G17/(G3*0.1865)</f>
        <v>0.893655049151028</v>
      </c>
      <c r="J17" s="11"/>
      <c r="K17" s="22"/>
      <c r="L17" s="22"/>
      <c r="M17" s="10"/>
    </row>
    <row r="18" s="1" customFormat="1" ht="25" customHeight="1" spans="1:13">
      <c r="A18" s="7">
        <v>13</v>
      </c>
      <c r="B18" s="8" t="s">
        <v>43</v>
      </c>
      <c r="C18" s="10">
        <v>2</v>
      </c>
      <c r="D18" s="7">
        <v>0</v>
      </c>
      <c r="E18" s="10">
        <f t="shared" si="1"/>
        <v>2</v>
      </c>
      <c r="F18" s="10" t="s">
        <v>14</v>
      </c>
      <c r="G18" s="10">
        <f>2</f>
        <v>2</v>
      </c>
      <c r="H18" s="22"/>
      <c r="I18" s="10">
        <f>G18/(G3*0.1865)</f>
        <v>0.893655049151028</v>
      </c>
      <c r="J18" s="11"/>
      <c r="K18" s="22"/>
      <c r="L18" s="22"/>
      <c r="M18" s="10"/>
    </row>
    <row r="19" s="1" customFormat="1" ht="25" customHeight="1" spans="1:13">
      <c r="A19" s="7">
        <v>14</v>
      </c>
      <c r="B19" s="8" t="s">
        <v>44</v>
      </c>
      <c r="C19" s="10">
        <v>4</v>
      </c>
      <c r="D19" s="7">
        <v>1</v>
      </c>
      <c r="E19" s="10">
        <f t="shared" si="1"/>
        <v>5</v>
      </c>
      <c r="F19" s="10" t="s">
        <v>45</v>
      </c>
      <c r="G19" s="10">
        <f>5</f>
        <v>5</v>
      </c>
      <c r="H19" s="22"/>
      <c r="I19" s="22"/>
      <c r="J19" s="11"/>
      <c r="K19" s="22"/>
      <c r="L19" s="22"/>
      <c r="M19" s="10"/>
    </row>
    <row r="20" s="1" customFormat="1" ht="25" customHeight="1" spans="1:13">
      <c r="A20" s="7">
        <v>15</v>
      </c>
      <c r="B20" s="8" t="s">
        <v>46</v>
      </c>
      <c r="C20" s="7">
        <v>457</v>
      </c>
      <c r="D20" s="7">
        <v>50</v>
      </c>
      <c r="E20" s="10">
        <f t="shared" si="1"/>
        <v>507</v>
      </c>
      <c r="F20" s="10" t="s">
        <v>35</v>
      </c>
      <c r="G20" s="10">
        <f>507</f>
        <v>507</v>
      </c>
      <c r="H20" s="23"/>
      <c r="I20" s="10">
        <f>E20/M20</f>
        <v>67.6</v>
      </c>
      <c r="J20" s="19" t="s">
        <v>47</v>
      </c>
      <c r="K20" s="10">
        <f>7.5</f>
        <v>7.5</v>
      </c>
      <c r="L20" s="10">
        <f>G20/K20</f>
        <v>67.6</v>
      </c>
      <c r="M20" s="10">
        <v>7.5</v>
      </c>
    </row>
    <row r="21" s="1" customFormat="1" ht="25" customHeight="1" spans="1:13">
      <c r="A21" s="12">
        <v>16</v>
      </c>
      <c r="B21" s="8" t="s">
        <v>48</v>
      </c>
      <c r="C21" s="7">
        <v>547</v>
      </c>
      <c r="D21" s="7">
        <v>0</v>
      </c>
      <c r="E21" s="10">
        <f t="shared" si="1"/>
        <v>547</v>
      </c>
      <c r="F21" s="10" t="s">
        <v>35</v>
      </c>
      <c r="G21" s="10">
        <f>547</f>
        <v>547</v>
      </c>
      <c r="H21" s="22"/>
      <c r="I21" s="10">
        <f>E21/M20</f>
        <v>72.9333333333333</v>
      </c>
      <c r="J21" s="11"/>
      <c r="K21" s="22"/>
      <c r="L21" s="22"/>
      <c r="M21" s="10"/>
    </row>
    <row r="22" s="1" customFormat="1" ht="25" customHeight="1" spans="1:13">
      <c r="A22" s="7">
        <v>17</v>
      </c>
      <c r="B22" s="8" t="s">
        <v>49</v>
      </c>
      <c r="C22" s="12">
        <v>25.05</v>
      </c>
      <c r="D22" s="12">
        <v>0</v>
      </c>
      <c r="E22" s="13"/>
      <c r="F22" s="13" t="s">
        <v>50</v>
      </c>
      <c r="G22" s="13"/>
      <c r="H22" s="24"/>
      <c r="I22" s="24"/>
      <c r="J22" s="25"/>
      <c r="K22" s="24"/>
      <c r="L22" s="24"/>
      <c r="M22" s="10"/>
    </row>
    <row r="23" s="1" customFormat="1" ht="80" customHeight="1" spans="1:13">
      <c r="A23" s="7">
        <v>18</v>
      </c>
      <c r="B23" s="26" t="s">
        <v>51</v>
      </c>
      <c r="C23" s="27" t="s">
        <v>52</v>
      </c>
      <c r="D23" s="28"/>
      <c r="E23" s="28"/>
      <c r="F23" s="28"/>
      <c r="G23" s="28"/>
      <c r="H23" s="28"/>
      <c r="I23" s="28"/>
      <c r="J23" s="28"/>
      <c r="K23" s="28"/>
      <c r="L23" s="29"/>
      <c r="M23" s="39"/>
    </row>
    <row r="24" s="1" customFormat="1" ht="120" customHeight="1" spans="1:13">
      <c r="A24" s="7">
        <v>19</v>
      </c>
      <c r="B24" s="31" t="s">
        <v>53</v>
      </c>
      <c r="C24" s="27" t="s">
        <v>54</v>
      </c>
      <c r="D24" s="28"/>
      <c r="E24" s="28"/>
      <c r="F24" s="28"/>
      <c r="G24" s="28"/>
      <c r="H24" s="28"/>
      <c r="I24" s="28"/>
      <c r="J24" s="28"/>
      <c r="K24" s="28"/>
      <c r="L24" s="29"/>
      <c r="M24" s="44"/>
    </row>
    <row r="25" s="1" customFormat="1" ht="80" customHeight="1" spans="1:13">
      <c r="A25" s="7">
        <v>20</v>
      </c>
      <c r="B25" s="31" t="s">
        <v>55</v>
      </c>
      <c r="C25" s="27" t="s">
        <v>56</v>
      </c>
      <c r="D25" s="28"/>
      <c r="E25" s="28"/>
      <c r="F25" s="28"/>
      <c r="G25" s="28"/>
      <c r="H25" s="28"/>
      <c r="I25" s="28"/>
      <c r="J25" s="28"/>
      <c r="K25" s="28"/>
      <c r="L25" s="29"/>
      <c r="M25" s="39"/>
    </row>
    <row r="26" s="1" customFormat="1" ht="14" customHeight="1" spans="1:13">
      <c r="C26" s="33"/>
      <c r="D26" s="33"/>
      <c r="E26" s="1"/>
      <c r="F26" s="1"/>
      <c r="G26" s="1"/>
      <c r="H26" s="1"/>
      <c r="I26" s="1"/>
      <c r="J26" s="34"/>
    </row>
    <row r="27" s="1" customFormat="1" ht="45" customHeight="1" spans="1:13">
      <c r="A27" s="5" t="s">
        <v>57</v>
      </c>
    </row>
    <row r="28" s="1" customFormat="1" ht="30" customHeight="1" spans="1:13">
      <c r="A28" s="6" t="s">
        <v>58</v>
      </c>
      <c r="B28" s="6" t="s">
        <v>59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7">
        <v>1</v>
      </c>
      <c r="B29" s="8" t="s">
        <v>60</v>
      </c>
      <c r="C29" s="10">
        <v>0</v>
      </c>
      <c r="D29" s="10">
        <v>0</v>
      </c>
      <c r="E29" s="10">
        <f t="shared" ref="E29:E35" si="2">D29+C29</f>
        <v>0</v>
      </c>
      <c r="F29" s="10" t="s">
        <v>35</v>
      </c>
      <c r="G29" s="10">
        <f>0</f>
        <v>0</v>
      </c>
      <c r="H29" s="10"/>
      <c r="I29" s="10"/>
      <c r="J29" s="11"/>
      <c r="K29" s="22"/>
      <c r="L29" s="22"/>
      <c r="M29" s="10"/>
    </row>
    <row r="30" s="1" customFormat="1" ht="25" customHeight="1" spans="1:13">
      <c r="A30" s="7">
        <v>2</v>
      </c>
      <c r="B30" s="8" t="s">
        <v>61</v>
      </c>
      <c r="C30" s="10">
        <v>0</v>
      </c>
      <c r="D30" s="10">
        <v>0</v>
      </c>
      <c r="E30" s="10">
        <f t="shared" si="2"/>
        <v>0</v>
      </c>
      <c r="F30" s="10" t="s">
        <v>35</v>
      </c>
      <c r="G30" s="10">
        <f>0</f>
        <v>0</v>
      </c>
      <c r="H30" s="10"/>
      <c r="I30" s="10"/>
      <c r="J30" s="11"/>
      <c r="K30" s="22"/>
      <c r="L30" s="22"/>
      <c r="M30" s="21"/>
    </row>
    <row r="31" s="1" customFormat="1" ht="25" customHeight="1" spans="1:13">
      <c r="A31" s="7">
        <v>3</v>
      </c>
      <c r="B31" s="8" t="s">
        <v>62</v>
      </c>
      <c r="C31" s="10">
        <v>0</v>
      </c>
      <c r="D31" s="10">
        <v>9</v>
      </c>
      <c r="E31" s="10">
        <f t="shared" si="2"/>
        <v>9</v>
      </c>
      <c r="F31" s="10" t="s">
        <v>35</v>
      </c>
      <c r="G31" s="10">
        <f>9</f>
        <v>9</v>
      </c>
      <c r="H31" s="10"/>
      <c r="I31" s="10"/>
      <c r="J31" s="11"/>
      <c r="K31" s="22"/>
      <c r="L31" s="22"/>
      <c r="M31" s="21"/>
    </row>
    <row r="32" s="1" customFormat="1" ht="25" customHeight="1" spans="1:13">
      <c r="A32" s="7">
        <v>4</v>
      </c>
      <c r="B32" s="8" t="s">
        <v>31</v>
      </c>
      <c r="C32" s="10">
        <v>0</v>
      </c>
      <c r="D32" s="10">
        <v>0</v>
      </c>
      <c r="E32" s="10">
        <f t="shared" si="2"/>
        <v>0</v>
      </c>
      <c r="F32" s="10" t="s">
        <v>14</v>
      </c>
      <c r="G32" s="10">
        <f>0</f>
        <v>0</v>
      </c>
      <c r="H32" s="10"/>
      <c r="I32" s="1"/>
      <c r="J32" s="11"/>
      <c r="K32" s="22"/>
      <c r="L32" s="22"/>
      <c r="M32" s="22"/>
    </row>
    <row r="33" s="1" customFormat="1" ht="25" customHeight="1" spans="1:13">
      <c r="A33" s="7">
        <v>5</v>
      </c>
      <c r="B33" s="8" t="s">
        <v>33</v>
      </c>
      <c r="C33" s="10">
        <v>0</v>
      </c>
      <c r="D33" s="10">
        <v>0</v>
      </c>
      <c r="E33" s="10">
        <f t="shared" si="2"/>
        <v>0</v>
      </c>
      <c r="F33" s="10" t="s">
        <v>14</v>
      </c>
      <c r="G33" s="10">
        <f>0</f>
        <v>0</v>
      </c>
      <c r="H33" s="10"/>
      <c r="I33" s="10"/>
      <c r="J33" s="14"/>
      <c r="K33" s="22"/>
      <c r="L33" s="22"/>
      <c r="M33" s="22"/>
    </row>
    <row r="34" s="1" customFormat="1" ht="25" customHeight="1" spans="1:13">
      <c r="A34" s="7">
        <v>6</v>
      </c>
      <c r="B34" s="8" t="s">
        <v>63</v>
      </c>
      <c r="C34" s="10">
        <v>289</v>
      </c>
      <c r="D34" s="10">
        <v>291</v>
      </c>
      <c r="E34" s="10">
        <f t="shared" si="2"/>
        <v>580</v>
      </c>
      <c r="F34" s="10" t="s">
        <v>35</v>
      </c>
      <c r="G34" s="10">
        <f>580</f>
        <v>580</v>
      </c>
      <c r="H34" s="10"/>
      <c r="I34" s="10"/>
      <c r="J34" s="35"/>
      <c r="K34" s="22"/>
      <c r="L34" s="10"/>
      <c r="M34" s="22"/>
    </row>
    <row r="35" s="1" customFormat="1" ht="25" customHeight="1" spans="1:13">
      <c r="A35" s="7">
        <v>7</v>
      </c>
      <c r="B35" s="8" t="s">
        <v>64</v>
      </c>
      <c r="C35" s="10">
        <v>505</v>
      </c>
      <c r="D35" s="10">
        <v>505</v>
      </c>
      <c r="E35" s="10">
        <f t="shared" si="2"/>
        <v>1010</v>
      </c>
      <c r="F35" s="10" t="s">
        <v>35</v>
      </c>
      <c r="G35" s="10">
        <f>1010</f>
        <v>1010</v>
      </c>
      <c r="H35" s="10"/>
      <c r="I35" s="10"/>
      <c r="J35" s="36"/>
      <c r="K35" s="22"/>
      <c r="L35" s="10"/>
      <c r="M35" s="22"/>
    </row>
    <row r="36" s="1" customFormat="1" ht="25" customHeight="1" spans="1:13">
      <c r="A36" s="7">
        <v>8</v>
      </c>
      <c r="B36" s="8" t="s">
        <v>65</v>
      </c>
      <c r="C36" s="10">
        <v>0</v>
      </c>
      <c r="D36" s="10">
        <v>0</v>
      </c>
      <c r="E36" s="10">
        <f>C36+D36</f>
        <v>0</v>
      </c>
      <c r="F36" s="10" t="s">
        <v>35</v>
      </c>
      <c r="G36" s="10">
        <f>0</f>
        <v>0</v>
      </c>
      <c r="H36" s="22"/>
      <c r="I36" s="7">
        <v>0</v>
      </c>
      <c r="J36" s="14"/>
      <c r="K36" s="37"/>
      <c r="L36" s="27"/>
      <c r="M36" s="38"/>
    </row>
    <row r="37" s="1" customFormat="1" ht="25" customHeight="1" spans="1:13">
      <c r="A37" s="7">
        <v>9</v>
      </c>
      <c r="B37" s="8" t="s">
        <v>66</v>
      </c>
      <c r="C37" s="10">
        <v>0</v>
      </c>
      <c r="D37" s="10">
        <v>0</v>
      </c>
      <c r="E37" s="10">
        <f>C37+D37</f>
        <v>0</v>
      </c>
      <c r="F37" s="10" t="s">
        <v>35</v>
      </c>
      <c r="G37" s="10">
        <f>0</f>
        <v>0</v>
      </c>
      <c r="H37" s="22"/>
      <c r="I37" s="7">
        <v>69.488</v>
      </c>
      <c r="J37" s="35"/>
      <c r="K37" s="37"/>
      <c r="L37" s="27"/>
      <c r="M37" s="38"/>
    </row>
    <row r="38" s="1" customFormat="1" ht="25" customHeight="1" spans="1:13">
      <c r="A38" s="7">
        <v>10</v>
      </c>
      <c r="B38" s="8" t="s">
        <v>67</v>
      </c>
      <c r="C38" s="7">
        <v>0</v>
      </c>
      <c r="D38" s="7">
        <v>0</v>
      </c>
      <c r="E38" s="10">
        <f>D38+C38</f>
        <v>0</v>
      </c>
      <c r="F38" s="10" t="s">
        <v>45</v>
      </c>
      <c r="G38" s="10">
        <f>0</f>
        <v>0</v>
      </c>
      <c r="H38" s="22"/>
      <c r="I38" s="10">
        <v>0</v>
      </c>
      <c r="J38" s="35"/>
      <c r="K38" s="27"/>
      <c r="L38" s="19" t="s">
        <v>68</v>
      </c>
      <c r="M38" s="7">
        <v>0</v>
      </c>
    </row>
    <row r="39" s="1" customFormat="1" ht="80" customHeight="1" spans="1:13">
      <c r="A39" s="7">
        <v>11</v>
      </c>
      <c r="B39" s="32" t="s">
        <v>55</v>
      </c>
      <c r="C39" s="27" t="s">
        <v>69</v>
      </c>
      <c r="D39" s="28"/>
      <c r="E39" s="28"/>
      <c r="F39" s="28"/>
      <c r="G39" s="28"/>
      <c r="H39" s="28"/>
      <c r="I39" s="28"/>
      <c r="J39" s="28"/>
      <c r="K39" s="28"/>
      <c r="L39" s="29"/>
      <c r="M39" s="32"/>
    </row>
    <row r="47" s="1" customFormat="1" spans="1:13">
      <c r="C47" s="33"/>
      <c r="D47" s="33"/>
      <c r="J47" s="34"/>
    </row>
    <row r="48" spans="1:13">
      <c r="L48" s="1"/>
    </row>
  </sheetData>
  <mergeCells count="12">
    <mergeCell ref="A1:M1"/>
    <mergeCell ref="C23:L23"/>
    <mergeCell ref="C24:L24"/>
    <mergeCell ref="C25:L25"/>
    <mergeCell ref="A27:M27"/>
    <mergeCell ref="C39:L39"/>
    <mergeCell ref="A5:A8"/>
    <mergeCell ref="H5:H8"/>
    <mergeCell ref="I5:I8"/>
    <mergeCell ref="N4:N6"/>
    <mergeCell ref="N7:N8"/>
    <mergeCell ref="N15:N16"/>
  </mergeCell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8"/>
  <sheetViews>
    <sheetView zoomScale="85" zoomScaleNormal="85" workbookViewId="0">
      <selection activeCell="J10" sqref="J10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9.7" style="2" customWidth="1"/>
    <col min="15" max="15" width="17.2" style="2" customWidth="1"/>
    <col min="16" max="16" width="15.4333333333333" style="2" customWidth="1"/>
    <col min="17" max="17" width="10.375" style="2" customWidth="1"/>
    <col min="18" max="16384" width="9" style="2" customWidth="1"/>
  </cols>
  <sheetData>
    <row r="1" s="1" customFormat="1" ht="45" customHeight="1" spans="1:16">
      <c r="A1" s="5" t="s">
        <v>70</v>
      </c>
    </row>
    <row r="2" s="1" customFormat="1" ht="30" customHeight="1" spans="1:16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41">
        <v>46174</v>
      </c>
      <c r="O2" s="42"/>
      <c r="P2" s="42"/>
    </row>
    <row r="3" s="1" customFormat="1" ht="38" customHeight="1" spans="1:16">
      <c r="A3" s="7">
        <v>1</v>
      </c>
      <c r="B3" s="8" t="s">
        <v>13</v>
      </c>
      <c r="C3" s="9">
        <v>0</v>
      </c>
      <c r="D3" s="9">
        <v>0</v>
      </c>
      <c r="E3" s="10">
        <f t="shared" ref="E3:E12" si="0">C3+D3</f>
        <v>0</v>
      </c>
      <c r="F3" s="10" t="s">
        <v>14</v>
      </c>
      <c r="G3" s="10">
        <f>12+0</f>
        <v>12</v>
      </c>
      <c r="H3" s="10">
        <v>330</v>
      </c>
      <c r="I3" s="10">
        <f>H3-G3</f>
        <v>318</v>
      </c>
      <c r="J3" s="11"/>
      <c r="K3" s="10"/>
      <c r="L3" s="10"/>
      <c r="M3" s="10">
        <f>I3/28</f>
        <v>11.3571428571429</v>
      </c>
      <c r="N3" s="43" t="s">
        <v>15</v>
      </c>
      <c r="O3" s="38" t="s">
        <v>16</v>
      </c>
      <c r="P3" s="38" t="s">
        <v>17</v>
      </c>
    </row>
    <row r="4" s="1" customFormat="1" ht="38" customHeight="1" spans="1:16">
      <c r="A4" s="12">
        <v>2</v>
      </c>
      <c r="B4" s="8" t="s">
        <v>18</v>
      </c>
      <c r="C4" s="9">
        <v>8</v>
      </c>
      <c r="D4" s="9"/>
      <c r="E4" s="10">
        <f t="shared" si="0"/>
        <v>8</v>
      </c>
      <c r="F4" s="10" t="s">
        <v>14</v>
      </c>
      <c r="G4" s="10">
        <f>12+8</f>
        <v>20</v>
      </c>
      <c r="H4" s="13"/>
      <c r="I4" s="13"/>
      <c r="J4" s="11"/>
      <c r="K4" s="10"/>
      <c r="L4" s="10"/>
      <c r="M4" s="10"/>
      <c r="N4" s="43" t="s">
        <v>71</v>
      </c>
      <c r="O4" s="38" t="s">
        <v>72</v>
      </c>
      <c r="P4" s="38" t="s">
        <v>73</v>
      </c>
    </row>
    <row r="5" s="1" customFormat="1" ht="38" customHeight="1" spans="1:16">
      <c r="A5" s="12">
        <v>3</v>
      </c>
      <c r="B5" s="8" t="s">
        <v>21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65+0</f>
        <v>65</v>
      </c>
      <c r="H5" s="10">
        <v>4950</v>
      </c>
      <c r="I5" s="10">
        <f>H5-G5-G7-G6</f>
        <v>4885</v>
      </c>
      <c r="J5" s="14"/>
      <c r="K5" s="10"/>
      <c r="L5" s="10"/>
      <c r="M5" s="10"/>
      <c r="N5" s="1"/>
      <c r="O5" s="33"/>
      <c r="P5" s="33"/>
    </row>
    <row r="6" s="1" customFormat="1" ht="38" customHeight="1" spans="1:16">
      <c r="A6" s="15"/>
      <c r="B6" s="8" t="s">
        <v>23</v>
      </c>
      <c r="C6" s="10">
        <v>0</v>
      </c>
      <c r="D6" s="10">
        <v>0</v>
      </c>
      <c r="E6" s="10">
        <f t="shared" si="0"/>
        <v>0</v>
      </c>
      <c r="F6" s="10" t="s">
        <v>14</v>
      </c>
      <c r="G6" s="10">
        <f>0+0</f>
        <v>0</v>
      </c>
      <c r="H6" s="15"/>
      <c r="I6" s="15"/>
      <c r="J6" s="11"/>
      <c r="K6" s="10"/>
      <c r="L6" s="10"/>
      <c r="M6" s="10"/>
      <c r="N6" s="1"/>
      <c r="O6" s="33"/>
      <c r="P6" s="33"/>
    </row>
    <row r="7" s="1" customFormat="1" ht="38" customHeight="1" spans="1:16">
      <c r="A7" s="15"/>
      <c r="B7" s="8" t="s">
        <v>25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0+0</f>
        <v>0</v>
      </c>
      <c r="H7" s="15"/>
      <c r="I7" s="15"/>
      <c r="J7" s="11"/>
      <c r="K7" s="10"/>
      <c r="L7" s="10"/>
      <c r="M7" s="10"/>
      <c r="N7" s="33"/>
      <c r="O7" s="33"/>
      <c r="P7" s="33"/>
    </row>
    <row r="8" s="1" customFormat="1" ht="38" customHeight="1" spans="1:16">
      <c r="A8" s="15"/>
      <c r="B8" s="8" t="s">
        <v>27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</f>
        <v>0</v>
      </c>
      <c r="H8" s="17"/>
      <c r="I8" s="17"/>
      <c r="J8" s="11"/>
      <c r="K8" s="10"/>
      <c r="L8" s="10"/>
      <c r="M8" s="10"/>
      <c r="O8" s="33"/>
      <c r="P8" s="33"/>
    </row>
    <row r="9" s="1" customFormat="1" ht="25" customHeight="1" spans="1:16">
      <c r="A9" s="12">
        <v>4</v>
      </c>
      <c r="B9" s="18" t="s">
        <v>29</v>
      </c>
      <c r="C9" s="13">
        <v>31.23</v>
      </c>
      <c r="D9" s="13"/>
      <c r="E9" s="10">
        <f t="shared" si="0"/>
        <v>31.23</v>
      </c>
      <c r="F9" s="13" t="s">
        <v>14</v>
      </c>
      <c r="G9" s="10">
        <f>0+31.23</f>
        <v>31.23</v>
      </c>
      <c r="H9" s="13">
        <v>6.08</v>
      </c>
      <c r="I9" s="13">
        <f>H9-K10</f>
        <v>5.811422</v>
      </c>
      <c r="J9" s="19" t="s">
        <v>30</v>
      </c>
      <c r="K9" s="13">
        <v>90</v>
      </c>
      <c r="L9" s="13">
        <v>0.86</v>
      </c>
      <c r="M9" s="20"/>
      <c r="N9" s="1"/>
      <c r="O9" s="33"/>
      <c r="P9" s="33"/>
    </row>
    <row r="10" s="1" customFormat="1" ht="25" customHeight="1" spans="1:16">
      <c r="A10" s="7">
        <v>5</v>
      </c>
      <c r="B10" s="8" t="s">
        <v>31</v>
      </c>
      <c r="C10" s="10">
        <v>0</v>
      </c>
      <c r="D10" s="10">
        <v>0</v>
      </c>
      <c r="E10" s="10">
        <f t="shared" si="0"/>
        <v>0</v>
      </c>
      <c r="F10" s="10" t="s">
        <v>14</v>
      </c>
      <c r="G10" s="10">
        <f>6.831+0</f>
        <v>6.831</v>
      </c>
      <c r="H10" s="10"/>
      <c r="I10" s="10">
        <f>G10/(G3*0.1865)</f>
        <v>3.05227882037534</v>
      </c>
      <c r="J10" s="19" t="s">
        <v>32</v>
      </c>
      <c r="K10" s="20">
        <f>0+0.268578</f>
        <v>0.268578</v>
      </c>
      <c r="L10" s="10"/>
      <c r="M10" s="10">
        <f>C9*L9/100</f>
        <v>0.268578</v>
      </c>
      <c r="O10" s="33"/>
      <c r="P10" s="33"/>
    </row>
    <row r="11" s="1" customFormat="1" ht="25" customHeight="1" spans="1:16">
      <c r="A11" s="7">
        <v>6</v>
      </c>
      <c r="B11" s="8" t="s">
        <v>33</v>
      </c>
      <c r="C11" s="10">
        <v>0</v>
      </c>
      <c r="D11" s="10">
        <v>0</v>
      </c>
      <c r="E11" s="10">
        <f t="shared" si="0"/>
        <v>0</v>
      </c>
      <c r="F11" s="10" t="s">
        <v>14</v>
      </c>
      <c r="G11" s="10">
        <f>14.352+0</f>
        <v>14.352</v>
      </c>
      <c r="H11" s="10"/>
      <c r="I11" s="10">
        <f>G11/(G3*0.1865)</f>
        <v>6.41286863270777</v>
      </c>
      <c r="J11" s="11"/>
      <c r="K11" s="10"/>
      <c r="L11" s="10"/>
      <c r="M11" s="21"/>
      <c r="O11" s="33"/>
      <c r="P11" s="33"/>
    </row>
    <row r="12" s="1" customFormat="1" ht="25" customHeight="1" spans="1:16">
      <c r="A12" s="7">
        <v>7</v>
      </c>
      <c r="B12" s="8" t="s">
        <v>34</v>
      </c>
      <c r="C12" s="10">
        <v>11</v>
      </c>
      <c r="D12" s="10">
        <v>0</v>
      </c>
      <c r="E12" s="10">
        <f t="shared" si="0"/>
        <v>11</v>
      </c>
      <c r="F12" s="10" t="s">
        <v>35</v>
      </c>
      <c r="G12" s="10">
        <f>472+11</f>
        <v>483</v>
      </c>
      <c r="H12" s="10">
        <f>G12*1.05</f>
        <v>507.15</v>
      </c>
      <c r="I12" s="10"/>
      <c r="J12" s="11"/>
      <c r="K12" s="10"/>
      <c r="L12" s="10"/>
      <c r="M12" s="21"/>
    </row>
    <row r="13" s="1" customFormat="1" ht="25" customHeight="1" spans="1:16">
      <c r="A13" s="12">
        <v>8</v>
      </c>
      <c r="B13" s="8" t="s">
        <v>36</v>
      </c>
      <c r="C13" s="10">
        <v>0</v>
      </c>
      <c r="D13" s="10">
        <v>0</v>
      </c>
      <c r="E13" s="10">
        <f t="shared" ref="E13:E21" si="1">D13+C13</f>
        <v>0</v>
      </c>
      <c r="F13" s="10" t="s">
        <v>35</v>
      </c>
      <c r="G13" s="10">
        <f>372+0</f>
        <v>372</v>
      </c>
      <c r="H13" s="10"/>
      <c r="I13" s="10"/>
      <c r="J13" s="14"/>
      <c r="K13" s="10"/>
      <c r="L13" s="10"/>
      <c r="M13" s="10"/>
      <c r="N13" s="33"/>
      <c r="O13" s="33"/>
      <c r="P13" s="33"/>
    </row>
    <row r="14" s="1" customFormat="1" ht="25" customHeight="1" spans="1:16">
      <c r="A14" s="7">
        <v>9</v>
      </c>
      <c r="B14" s="8" t="s">
        <v>37</v>
      </c>
      <c r="C14" s="10">
        <v>0</v>
      </c>
      <c r="D14" s="10">
        <v>0</v>
      </c>
      <c r="E14" s="10">
        <f t="shared" si="1"/>
        <v>0</v>
      </c>
      <c r="F14" s="10" t="s">
        <v>35</v>
      </c>
      <c r="G14" s="10">
        <f>209.75+0</f>
        <v>209.75</v>
      </c>
      <c r="H14" s="10"/>
      <c r="I14" s="10"/>
      <c r="J14" s="19" t="s">
        <v>38</v>
      </c>
      <c r="K14" s="10">
        <v>0</v>
      </c>
      <c r="L14" s="10">
        <v>0</v>
      </c>
      <c r="M14" s="10"/>
      <c r="N14" s="33"/>
      <c r="O14" s="33"/>
      <c r="P14" s="33"/>
    </row>
    <row r="15" s="1" customFormat="1" ht="25" customHeight="1" spans="1:16">
      <c r="A15" s="7">
        <v>10</v>
      </c>
      <c r="B15" s="8" t="s">
        <v>39</v>
      </c>
      <c r="C15" s="10">
        <v>0</v>
      </c>
      <c r="D15" s="10">
        <v>0</v>
      </c>
      <c r="E15" s="10">
        <f t="shared" si="1"/>
        <v>0</v>
      </c>
      <c r="F15" s="10" t="s">
        <v>14</v>
      </c>
      <c r="G15" s="10">
        <f>24+0</f>
        <v>24</v>
      </c>
      <c r="H15" s="10"/>
      <c r="I15" s="10">
        <f>G15/(G3*0.1865)</f>
        <v>10.7238605898123</v>
      </c>
      <c r="J15" s="19" t="s">
        <v>40</v>
      </c>
      <c r="K15" s="20">
        <f>0.641835+0</f>
        <v>0.641835</v>
      </c>
      <c r="L15" s="10"/>
      <c r="M15" s="10">
        <f>(C14*K14+L14*D14)/1000</f>
        <v>0</v>
      </c>
      <c r="N15" s="33"/>
      <c r="O15" s="33"/>
      <c r="P15" s="33"/>
    </row>
    <row r="16" s="1" customFormat="1" ht="25" customHeight="1" spans="1:16">
      <c r="A16" s="7">
        <v>11</v>
      </c>
      <c r="B16" s="8" t="s">
        <v>41</v>
      </c>
      <c r="C16" s="7">
        <v>0</v>
      </c>
      <c r="D16" s="7">
        <v>0</v>
      </c>
      <c r="E16" s="10">
        <f t="shared" si="1"/>
        <v>0</v>
      </c>
      <c r="F16" s="10" t="s">
        <v>14</v>
      </c>
      <c r="G16" s="10">
        <f>0+0</f>
        <v>0</v>
      </c>
      <c r="H16" s="22"/>
      <c r="I16" s="22"/>
      <c r="J16" s="11"/>
      <c r="K16" s="22"/>
      <c r="L16" s="22"/>
      <c r="M16" s="10"/>
      <c r="O16" s="33"/>
      <c r="P16" s="33"/>
    </row>
    <row r="17" s="1" customFormat="1" ht="25" customHeight="1" spans="1:13">
      <c r="A17" s="12">
        <v>12</v>
      </c>
      <c r="B17" s="8" t="s">
        <v>42</v>
      </c>
      <c r="C17" s="10">
        <v>0</v>
      </c>
      <c r="D17" s="7">
        <v>0</v>
      </c>
      <c r="E17" s="10">
        <f t="shared" si="1"/>
        <v>0</v>
      </c>
      <c r="F17" s="10" t="s">
        <v>14</v>
      </c>
      <c r="G17" s="10">
        <f>2+0</f>
        <v>2</v>
      </c>
      <c r="H17" s="22"/>
      <c r="I17" s="10">
        <f>G17/(G3*0.1865)</f>
        <v>0.893655049151028</v>
      </c>
      <c r="J17" s="11"/>
      <c r="K17" s="22"/>
      <c r="L17" s="22"/>
      <c r="M17" s="10"/>
    </row>
    <row r="18" s="1" customFormat="1" ht="25" customHeight="1" spans="1:13">
      <c r="A18" s="7">
        <v>13</v>
      </c>
      <c r="B18" s="8" t="s">
        <v>43</v>
      </c>
      <c r="C18" s="10">
        <v>0</v>
      </c>
      <c r="D18" s="7">
        <v>0</v>
      </c>
      <c r="E18" s="10">
        <f t="shared" si="1"/>
        <v>0</v>
      </c>
      <c r="F18" s="10" t="s">
        <v>14</v>
      </c>
      <c r="G18" s="10">
        <f>2+0</f>
        <v>2</v>
      </c>
      <c r="H18" s="22"/>
      <c r="I18" s="10">
        <f>G18/(G3*0.1865)</f>
        <v>0.893655049151028</v>
      </c>
      <c r="J18" s="11"/>
      <c r="K18" s="22"/>
      <c r="L18" s="22"/>
      <c r="M18" s="10"/>
    </row>
    <row r="19" s="1" customFormat="1" ht="25" customHeight="1" spans="1:13">
      <c r="A19" s="7">
        <v>14</v>
      </c>
      <c r="B19" s="8" t="s">
        <v>44</v>
      </c>
      <c r="C19" s="10">
        <v>0</v>
      </c>
      <c r="D19" s="7">
        <v>0</v>
      </c>
      <c r="E19" s="10">
        <f t="shared" si="1"/>
        <v>0</v>
      </c>
      <c r="F19" s="10" t="s">
        <v>45</v>
      </c>
      <c r="G19" s="10">
        <f>5+0</f>
        <v>5</v>
      </c>
      <c r="H19" s="22"/>
      <c r="I19" s="22"/>
      <c r="J19" s="11"/>
      <c r="K19" s="22"/>
      <c r="L19" s="22"/>
      <c r="M19" s="10"/>
    </row>
    <row r="20" s="1" customFormat="1" ht="25" customHeight="1" spans="1:13">
      <c r="A20" s="7">
        <v>15</v>
      </c>
      <c r="B20" s="8" t="s">
        <v>46</v>
      </c>
      <c r="C20" s="7">
        <v>0</v>
      </c>
      <c r="D20" s="7">
        <v>0</v>
      </c>
      <c r="E20" s="10">
        <f t="shared" si="1"/>
        <v>0</v>
      </c>
      <c r="F20" s="10" t="s">
        <v>35</v>
      </c>
      <c r="G20" s="10">
        <f>507+0</f>
        <v>507</v>
      </c>
      <c r="H20" s="23"/>
      <c r="I20" s="10" t="e">
        <f>E20/M20</f>
        <v>#DIV/0!</v>
      </c>
      <c r="J20" s="19" t="s">
        <v>47</v>
      </c>
      <c r="K20" s="10">
        <f>7.5+0</f>
        <v>7.5</v>
      </c>
      <c r="L20" s="10">
        <f>G20/K20</f>
        <v>67.6</v>
      </c>
      <c r="M20" s="10">
        <v>0</v>
      </c>
    </row>
    <row r="21" s="1" customFormat="1" ht="25" customHeight="1" spans="1:13">
      <c r="A21" s="12">
        <v>16</v>
      </c>
      <c r="B21" s="8" t="s">
        <v>48</v>
      </c>
      <c r="C21" s="7">
        <v>0</v>
      </c>
      <c r="D21" s="7">
        <v>0</v>
      </c>
      <c r="E21" s="10">
        <f t="shared" si="1"/>
        <v>0</v>
      </c>
      <c r="F21" s="10" t="s">
        <v>35</v>
      </c>
      <c r="G21" s="10">
        <f>547+0</f>
        <v>547</v>
      </c>
      <c r="H21" s="22"/>
      <c r="I21" s="10" t="e">
        <f>E21/M20</f>
        <v>#DIV/0!</v>
      </c>
      <c r="J21" s="11"/>
      <c r="K21" s="22"/>
      <c r="L21" s="22"/>
      <c r="M21" s="10"/>
    </row>
    <row r="22" s="1" customFormat="1" ht="25" customHeight="1" spans="1:13">
      <c r="A22" s="7">
        <v>17</v>
      </c>
      <c r="B22" s="8" t="s">
        <v>49</v>
      </c>
      <c r="C22" s="12">
        <v>0</v>
      </c>
      <c r="D22" s="12">
        <v>0</v>
      </c>
      <c r="E22" s="13"/>
      <c r="F22" s="13" t="s">
        <v>50</v>
      </c>
      <c r="G22" s="13"/>
      <c r="H22" s="24"/>
      <c r="I22" s="24"/>
      <c r="J22" s="25"/>
      <c r="K22" s="24"/>
      <c r="L22" s="24"/>
      <c r="M22" s="10"/>
    </row>
    <row r="23" s="1" customFormat="1" ht="80" customHeight="1" spans="1:13">
      <c r="A23" s="7">
        <v>18</v>
      </c>
      <c r="B23" s="26" t="s">
        <v>51</v>
      </c>
      <c r="C23" s="27" t="s">
        <v>52</v>
      </c>
      <c r="D23" s="28"/>
      <c r="E23" s="28"/>
      <c r="F23" s="28"/>
      <c r="G23" s="28"/>
      <c r="H23" s="28"/>
      <c r="I23" s="28"/>
      <c r="J23" s="28"/>
      <c r="K23" s="28"/>
      <c r="L23" s="29"/>
      <c r="M23" s="39"/>
    </row>
    <row r="24" s="1" customFormat="1" ht="120" customHeight="1" spans="1:13">
      <c r="A24" s="7">
        <v>19</v>
      </c>
      <c r="B24" s="31" t="s">
        <v>53</v>
      </c>
      <c r="C24" s="27" t="s">
        <v>74</v>
      </c>
      <c r="D24" s="28"/>
      <c r="E24" s="28"/>
      <c r="F24" s="28"/>
      <c r="G24" s="28"/>
      <c r="H24" s="28"/>
      <c r="I24" s="28"/>
      <c r="J24" s="28"/>
      <c r="K24" s="28"/>
      <c r="L24" s="29"/>
      <c r="M24" s="44"/>
    </row>
    <row r="25" s="1" customFormat="1" ht="80" customHeight="1" spans="1:13">
      <c r="A25" s="7">
        <v>20</v>
      </c>
      <c r="B25" s="31" t="s">
        <v>55</v>
      </c>
      <c r="C25" s="27" t="s">
        <v>75</v>
      </c>
      <c r="D25" s="28"/>
      <c r="E25" s="28"/>
      <c r="F25" s="28"/>
      <c r="G25" s="28"/>
      <c r="H25" s="28"/>
      <c r="I25" s="28"/>
      <c r="J25" s="28"/>
      <c r="K25" s="28"/>
      <c r="L25" s="29"/>
      <c r="M25" s="39"/>
    </row>
    <row r="26" s="1" customFormat="1" ht="14" customHeight="1" spans="1:13">
      <c r="C26" s="33"/>
      <c r="D26" s="33"/>
      <c r="J26" s="34"/>
    </row>
    <row r="27" s="1" customFormat="1" ht="45" customHeight="1" spans="1:13">
      <c r="A27" s="5" t="s">
        <v>76</v>
      </c>
    </row>
    <row r="28" s="1" customFormat="1" ht="30" customHeight="1" spans="1:13">
      <c r="A28" s="6" t="s">
        <v>58</v>
      </c>
      <c r="B28" s="6" t="s">
        <v>59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7">
        <v>1</v>
      </c>
      <c r="B29" s="8" t="s">
        <v>60</v>
      </c>
      <c r="C29" s="10">
        <v>0</v>
      </c>
      <c r="D29" s="10">
        <v>0</v>
      </c>
      <c r="E29" s="10">
        <f t="shared" ref="E29:E35" si="2">D29+C29</f>
        <v>0</v>
      </c>
      <c r="F29" s="10" t="s">
        <v>35</v>
      </c>
      <c r="G29" s="10">
        <f>0+0</f>
        <v>0</v>
      </c>
      <c r="H29" s="10"/>
      <c r="I29" s="10"/>
      <c r="J29" s="11"/>
      <c r="K29" s="22"/>
      <c r="L29" s="22"/>
      <c r="M29" s="10"/>
    </row>
    <row r="30" s="1" customFormat="1" ht="25" customHeight="1" spans="1:13">
      <c r="A30" s="7">
        <v>2</v>
      </c>
      <c r="B30" s="8" t="s">
        <v>61</v>
      </c>
      <c r="C30" s="10">
        <v>0</v>
      </c>
      <c r="D30" s="10">
        <v>0</v>
      </c>
      <c r="E30" s="10">
        <f t="shared" si="2"/>
        <v>0</v>
      </c>
      <c r="F30" s="10" t="s">
        <v>35</v>
      </c>
      <c r="G30" s="10">
        <f>0+0</f>
        <v>0</v>
      </c>
      <c r="H30" s="10"/>
      <c r="I30" s="10"/>
      <c r="J30" s="11"/>
      <c r="K30" s="22"/>
      <c r="L30" s="22"/>
      <c r="M30" s="21"/>
    </row>
    <row r="31" s="1" customFormat="1" ht="25" customHeight="1" spans="1:13">
      <c r="A31" s="7">
        <v>3</v>
      </c>
      <c r="B31" s="8" t="s">
        <v>62</v>
      </c>
      <c r="C31" s="10">
        <v>23</v>
      </c>
      <c r="D31" s="10">
        <v>10</v>
      </c>
      <c r="E31" s="10">
        <f t="shared" si="2"/>
        <v>33</v>
      </c>
      <c r="F31" s="10" t="s">
        <v>35</v>
      </c>
      <c r="G31" s="10">
        <f>9+33</f>
        <v>42</v>
      </c>
      <c r="H31" s="10"/>
      <c r="I31" s="10"/>
      <c r="J31" s="11"/>
      <c r="K31" s="22"/>
      <c r="L31" s="22"/>
      <c r="M31" s="21"/>
    </row>
    <row r="32" s="1" customFormat="1" ht="25" customHeight="1" spans="1:13">
      <c r="A32" s="7">
        <v>4</v>
      </c>
      <c r="B32" s="8" t="s">
        <v>31</v>
      </c>
      <c r="C32" s="10">
        <v>0</v>
      </c>
      <c r="D32" s="10">
        <v>0</v>
      </c>
      <c r="E32" s="10">
        <f t="shared" si="2"/>
        <v>0</v>
      </c>
      <c r="F32" s="10" t="s">
        <v>14</v>
      </c>
      <c r="G32" s="10">
        <f>0+0</f>
        <v>0</v>
      </c>
      <c r="H32" s="10"/>
      <c r="J32" s="11"/>
      <c r="K32" s="22"/>
      <c r="L32" s="22"/>
      <c r="M32" s="22"/>
    </row>
    <row r="33" s="1" customFormat="1" ht="25" customHeight="1" spans="1:13">
      <c r="A33" s="7">
        <v>5</v>
      </c>
      <c r="B33" s="8" t="s">
        <v>33</v>
      </c>
      <c r="C33" s="10">
        <v>0</v>
      </c>
      <c r="D33" s="10">
        <v>0</v>
      </c>
      <c r="E33" s="10">
        <f t="shared" si="2"/>
        <v>0</v>
      </c>
      <c r="F33" s="10" t="s">
        <v>14</v>
      </c>
      <c r="G33" s="10">
        <f>0+0</f>
        <v>0</v>
      </c>
      <c r="H33" s="10"/>
      <c r="I33" s="10"/>
      <c r="J33" s="14"/>
      <c r="K33" s="22"/>
      <c r="L33" s="22"/>
      <c r="M33" s="22"/>
    </row>
    <row r="34" s="1" customFormat="1" ht="25" customHeight="1" spans="1:13">
      <c r="A34" s="7">
        <v>6</v>
      </c>
      <c r="B34" s="8" t="s">
        <v>63</v>
      </c>
      <c r="C34" s="10">
        <v>303</v>
      </c>
      <c r="D34" s="10">
        <v>301</v>
      </c>
      <c r="E34" s="10">
        <f t="shared" si="2"/>
        <v>604</v>
      </c>
      <c r="F34" s="10" t="s">
        <v>35</v>
      </c>
      <c r="G34" s="10">
        <f>580+604</f>
        <v>1184</v>
      </c>
      <c r="H34" s="10"/>
      <c r="I34" s="10"/>
      <c r="J34" s="35"/>
      <c r="K34" s="22"/>
      <c r="L34" s="10"/>
      <c r="M34" s="22"/>
    </row>
    <row r="35" s="1" customFormat="1" ht="25" customHeight="1" spans="1:13">
      <c r="A35" s="7">
        <v>7</v>
      </c>
      <c r="B35" s="8" t="s">
        <v>64</v>
      </c>
      <c r="C35" s="10">
        <v>393</v>
      </c>
      <c r="D35" s="10">
        <v>426</v>
      </c>
      <c r="E35" s="10">
        <f t="shared" si="2"/>
        <v>819</v>
      </c>
      <c r="F35" s="10" t="s">
        <v>35</v>
      </c>
      <c r="G35" s="10">
        <f>1010+819</f>
        <v>1829</v>
      </c>
      <c r="H35" s="10"/>
      <c r="I35" s="10"/>
      <c r="J35" s="36"/>
      <c r="K35" s="22"/>
      <c r="L35" s="10"/>
      <c r="M35" s="22"/>
    </row>
    <row r="36" s="1" customFormat="1" ht="25" customHeight="1" spans="1:13">
      <c r="A36" s="7">
        <v>8</v>
      </c>
      <c r="B36" s="8" t="s">
        <v>65</v>
      </c>
      <c r="C36" s="10">
        <v>0</v>
      </c>
      <c r="D36" s="10">
        <v>0</v>
      </c>
      <c r="E36" s="10">
        <f>C36+D36</f>
        <v>0</v>
      </c>
      <c r="F36" s="10" t="s">
        <v>35</v>
      </c>
      <c r="G36" s="10">
        <f>0+0</f>
        <v>0</v>
      </c>
      <c r="H36" s="22"/>
      <c r="I36" s="7">
        <v>0</v>
      </c>
      <c r="J36" s="14"/>
      <c r="K36" s="37"/>
      <c r="L36" s="27"/>
      <c r="M36" s="38"/>
    </row>
    <row r="37" s="1" customFormat="1" ht="25" customHeight="1" spans="1:13">
      <c r="A37" s="7">
        <v>9</v>
      </c>
      <c r="B37" s="8" t="s">
        <v>66</v>
      </c>
      <c r="C37" s="10">
        <v>0</v>
      </c>
      <c r="D37" s="10">
        <v>0</v>
      </c>
      <c r="E37" s="10">
        <f>C37+D37</f>
        <v>0</v>
      </c>
      <c r="F37" s="10" t="s">
        <v>35</v>
      </c>
      <c r="G37" s="10">
        <f>0+0</f>
        <v>0</v>
      </c>
      <c r="H37" s="22"/>
      <c r="I37" s="7">
        <v>70.3566</v>
      </c>
      <c r="J37" s="35"/>
      <c r="K37" s="37"/>
      <c r="L37" s="27"/>
      <c r="M37" s="38"/>
    </row>
    <row r="38" s="1" customFormat="1" ht="25" customHeight="1" spans="1:13">
      <c r="A38" s="7">
        <v>10</v>
      </c>
      <c r="B38" s="8" t="s">
        <v>67</v>
      </c>
      <c r="C38" s="7">
        <v>0</v>
      </c>
      <c r="D38" s="7">
        <v>0</v>
      </c>
      <c r="E38" s="10">
        <f>D38+C38</f>
        <v>0</v>
      </c>
      <c r="F38" s="10" t="s">
        <v>45</v>
      </c>
      <c r="G38" s="10">
        <f>0+0</f>
        <v>0</v>
      </c>
      <c r="H38" s="22"/>
      <c r="I38" s="10">
        <v>0</v>
      </c>
      <c r="J38" s="35"/>
      <c r="K38" s="27"/>
      <c r="L38" s="19" t="s">
        <v>68</v>
      </c>
      <c r="M38" s="7">
        <v>0</v>
      </c>
    </row>
    <row r="39" s="1" customFormat="1" ht="80" customHeight="1" spans="1:13">
      <c r="A39" s="7">
        <v>11</v>
      </c>
      <c r="B39" s="32" t="s">
        <v>55</v>
      </c>
      <c r="C39" s="27" t="s">
        <v>69</v>
      </c>
      <c r="D39" s="28"/>
      <c r="E39" s="28"/>
      <c r="F39" s="28"/>
      <c r="G39" s="28"/>
      <c r="H39" s="28"/>
      <c r="I39" s="28"/>
      <c r="J39" s="28"/>
      <c r="K39" s="28"/>
      <c r="L39" s="29"/>
      <c r="M39" s="32"/>
    </row>
    <row r="47" s="1" customFormat="1" spans="1:13">
      <c r="C47" s="33"/>
      <c r="D47" s="33"/>
      <c r="J47" s="34"/>
    </row>
    <row r="48" spans="1:13">
      <c r="L48" s="1"/>
    </row>
  </sheetData>
  <mergeCells count="11">
    <mergeCell ref="A1:M1"/>
    <mergeCell ref="C23:L23"/>
    <mergeCell ref="C24:L24"/>
    <mergeCell ref="C25:L25"/>
    <mergeCell ref="A27:M27"/>
    <mergeCell ref="C39:L39"/>
    <mergeCell ref="A5:A8"/>
    <mergeCell ref="H5:H8"/>
    <mergeCell ref="I5:I8"/>
    <mergeCell ref="N7:N8"/>
    <mergeCell ref="N15:N16"/>
  </mergeCells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8"/>
  <sheetViews>
    <sheetView zoomScale="85" zoomScaleNormal="85" workbookViewId="0">
      <selection activeCell="J10" sqref="J10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9.7" style="2" customWidth="1"/>
    <col min="15" max="15" width="17.2" style="2" customWidth="1"/>
    <col min="16" max="16" width="15.4333333333333" style="2" customWidth="1"/>
    <col min="17" max="17" width="10.375" style="2" customWidth="1"/>
    <col min="18" max="16384" width="9" style="2" customWidth="1"/>
  </cols>
  <sheetData>
    <row r="1" s="1" customFormat="1" ht="45" customHeight="1" spans="1:16">
      <c r="A1" s="5" t="s">
        <v>77</v>
      </c>
    </row>
    <row r="2" s="1" customFormat="1" ht="30" customHeight="1" spans="1:16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41">
        <v>46175</v>
      </c>
      <c r="O2" s="42"/>
      <c r="P2" s="42"/>
    </row>
    <row r="3" s="1" customFormat="1" ht="38" customHeight="1" spans="1:16">
      <c r="A3" s="7">
        <v>1</v>
      </c>
      <c r="B3" s="8" t="s">
        <v>13</v>
      </c>
      <c r="C3" s="9">
        <v>0</v>
      </c>
      <c r="D3" s="9">
        <v>0</v>
      </c>
      <c r="E3" s="10">
        <f t="shared" ref="E3:E12" si="0">C3+D3</f>
        <v>0</v>
      </c>
      <c r="F3" s="10" t="s">
        <v>14</v>
      </c>
      <c r="G3" s="10">
        <f>12+0+0</f>
        <v>12</v>
      </c>
      <c r="H3" s="10">
        <v>330</v>
      </c>
      <c r="I3" s="10">
        <f>H3-G3</f>
        <v>318</v>
      </c>
      <c r="J3" s="11"/>
      <c r="K3" s="10"/>
      <c r="L3" s="10"/>
      <c r="M3" s="10">
        <f>I3/27</f>
        <v>11.7777777777778</v>
      </c>
      <c r="N3" s="43" t="s">
        <v>15</v>
      </c>
      <c r="O3" s="38" t="s">
        <v>16</v>
      </c>
      <c r="P3" s="38" t="s">
        <v>17</v>
      </c>
    </row>
    <row r="4" s="1" customFormat="1" ht="38" customHeight="1" spans="1:16">
      <c r="A4" s="12">
        <v>2</v>
      </c>
      <c r="B4" s="8" t="s">
        <v>18</v>
      </c>
      <c r="C4" s="9">
        <v>0</v>
      </c>
      <c r="D4" s="9"/>
      <c r="E4" s="10">
        <f t="shared" si="0"/>
        <v>0</v>
      </c>
      <c r="F4" s="10" t="s">
        <v>14</v>
      </c>
      <c r="G4" s="10">
        <f>12+8+0</f>
        <v>20</v>
      </c>
      <c r="H4" s="13"/>
      <c r="I4" s="13"/>
      <c r="J4" s="11"/>
      <c r="K4" s="10"/>
      <c r="L4" s="10"/>
      <c r="M4" s="10"/>
      <c r="N4" s="43" t="s">
        <v>71</v>
      </c>
      <c r="O4" s="38" t="s">
        <v>72</v>
      </c>
      <c r="P4" s="38" t="s">
        <v>20</v>
      </c>
    </row>
    <row r="5" s="1" customFormat="1" ht="38" customHeight="1" spans="1:16">
      <c r="A5" s="12">
        <v>3</v>
      </c>
      <c r="B5" s="8" t="s">
        <v>21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65+0+0</f>
        <v>65</v>
      </c>
      <c r="H5" s="10">
        <v>4950</v>
      </c>
      <c r="I5" s="10">
        <f>H5-G5-G7-G6</f>
        <v>4885</v>
      </c>
      <c r="J5" s="14"/>
      <c r="K5" s="10"/>
      <c r="L5" s="10"/>
      <c r="M5" s="10"/>
      <c r="N5" s="1"/>
      <c r="O5" s="33"/>
      <c r="P5" s="33"/>
    </row>
    <row r="6" s="1" customFormat="1" ht="38" customHeight="1" spans="1:16">
      <c r="A6" s="15"/>
      <c r="B6" s="8" t="s">
        <v>23</v>
      </c>
      <c r="C6" s="10">
        <v>0</v>
      </c>
      <c r="D6" s="10">
        <v>0</v>
      </c>
      <c r="E6" s="10">
        <f t="shared" si="0"/>
        <v>0</v>
      </c>
      <c r="F6" s="10" t="s">
        <v>14</v>
      </c>
      <c r="G6" s="10">
        <f>0+0+0</f>
        <v>0</v>
      </c>
      <c r="H6" s="15"/>
      <c r="I6" s="15"/>
      <c r="J6" s="11"/>
      <c r="K6" s="10"/>
      <c r="L6" s="10"/>
      <c r="M6" s="10"/>
      <c r="N6" s="1"/>
      <c r="O6" s="33"/>
      <c r="P6" s="33"/>
    </row>
    <row r="7" s="1" customFormat="1" ht="38" customHeight="1" spans="1:16">
      <c r="A7" s="15"/>
      <c r="B7" s="8" t="s">
        <v>25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0+0+0</f>
        <v>0</v>
      </c>
      <c r="H7" s="15"/>
      <c r="I7" s="15"/>
      <c r="J7" s="11"/>
      <c r="K7" s="10"/>
      <c r="L7" s="10"/>
      <c r="M7" s="10"/>
      <c r="N7" s="33"/>
      <c r="O7" s="33"/>
      <c r="P7" s="33"/>
    </row>
    <row r="8" s="1" customFormat="1" ht="38" customHeight="1" spans="1:16">
      <c r="A8" s="15"/>
      <c r="B8" s="8" t="s">
        <v>27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</f>
        <v>0</v>
      </c>
      <c r="H8" s="17"/>
      <c r="I8" s="17"/>
      <c r="J8" s="11"/>
      <c r="K8" s="10"/>
      <c r="L8" s="10"/>
      <c r="M8" s="10"/>
      <c r="O8" s="33"/>
      <c r="P8" s="33"/>
    </row>
    <row r="9" s="1" customFormat="1" ht="25" customHeight="1" spans="1:16">
      <c r="A9" s="12">
        <v>4</v>
      </c>
      <c r="B9" s="18" t="s">
        <v>29</v>
      </c>
      <c r="C9" s="13">
        <v>0</v>
      </c>
      <c r="D9" s="13"/>
      <c r="E9" s="10">
        <f t="shared" si="0"/>
        <v>0</v>
      </c>
      <c r="F9" s="13" t="s">
        <v>14</v>
      </c>
      <c r="G9" s="10">
        <f>0+31.23+0</f>
        <v>31.23</v>
      </c>
      <c r="H9" s="13">
        <v>6.08</v>
      </c>
      <c r="I9" s="13">
        <f>H9-K10</f>
        <v>5.811422</v>
      </c>
      <c r="J9" s="19" t="s">
        <v>30</v>
      </c>
      <c r="K9" s="13">
        <v>60</v>
      </c>
      <c r="L9" s="13">
        <v>0</v>
      </c>
      <c r="M9" s="20"/>
      <c r="O9" s="33"/>
      <c r="P9" s="33"/>
    </row>
    <row r="10" s="1" customFormat="1" ht="25" customHeight="1" spans="1:16">
      <c r="A10" s="7">
        <v>5</v>
      </c>
      <c r="B10" s="8" t="s">
        <v>31</v>
      </c>
      <c r="C10" s="10">
        <v>0</v>
      </c>
      <c r="D10" s="10">
        <v>0</v>
      </c>
      <c r="E10" s="10">
        <f t="shared" si="0"/>
        <v>0</v>
      </c>
      <c r="F10" s="10" t="s">
        <v>14</v>
      </c>
      <c r="G10" s="10">
        <f>6.831+0+0</f>
        <v>6.831</v>
      </c>
      <c r="H10" s="10"/>
      <c r="I10" s="10">
        <f>G10/(G3*0.1865)</f>
        <v>3.05227882037534</v>
      </c>
      <c r="J10" s="19" t="s">
        <v>32</v>
      </c>
      <c r="K10" s="20">
        <f>0+0.268578+0</f>
        <v>0.268578</v>
      </c>
      <c r="L10" s="10"/>
      <c r="M10" s="10">
        <f>C9*L9/100</f>
        <v>0</v>
      </c>
      <c r="O10" s="33"/>
      <c r="P10" s="33"/>
    </row>
    <row r="11" s="1" customFormat="1" ht="25" customHeight="1" spans="1:16">
      <c r="A11" s="7">
        <v>6</v>
      </c>
      <c r="B11" s="8" t="s">
        <v>33</v>
      </c>
      <c r="C11" s="10">
        <v>0</v>
      </c>
      <c r="D11" s="10">
        <v>0</v>
      </c>
      <c r="E11" s="10">
        <f t="shared" si="0"/>
        <v>0</v>
      </c>
      <c r="F11" s="10" t="s">
        <v>14</v>
      </c>
      <c r="G11" s="10">
        <f>14.352+0+0</f>
        <v>14.352</v>
      </c>
      <c r="H11" s="10"/>
      <c r="I11" s="10">
        <f>G11/(G3*0.1865)</f>
        <v>6.41286863270777</v>
      </c>
      <c r="J11" s="11"/>
      <c r="K11" s="10"/>
      <c r="L11" s="10"/>
      <c r="M11" s="21"/>
      <c r="O11" s="33"/>
      <c r="P11" s="33"/>
    </row>
    <row r="12" s="1" customFormat="1" ht="25" customHeight="1" spans="1:16">
      <c r="A12" s="7">
        <v>7</v>
      </c>
      <c r="B12" s="8" t="s">
        <v>34</v>
      </c>
      <c r="C12" s="10">
        <v>0</v>
      </c>
      <c r="D12" s="10">
        <v>0</v>
      </c>
      <c r="E12" s="10">
        <f t="shared" si="0"/>
        <v>0</v>
      </c>
      <c r="F12" s="10" t="s">
        <v>35</v>
      </c>
      <c r="G12" s="10">
        <f>472+11+0</f>
        <v>483</v>
      </c>
      <c r="H12" s="10">
        <f>G12*1.05</f>
        <v>507.15</v>
      </c>
      <c r="I12" s="10"/>
      <c r="J12" s="11"/>
      <c r="K12" s="10"/>
      <c r="L12" s="10"/>
      <c r="M12" s="21"/>
    </row>
    <row r="13" s="1" customFormat="1" ht="25" customHeight="1" spans="1:16">
      <c r="A13" s="12">
        <v>8</v>
      </c>
      <c r="B13" s="8" t="s">
        <v>36</v>
      </c>
      <c r="C13" s="10">
        <v>0</v>
      </c>
      <c r="D13" s="10">
        <v>0</v>
      </c>
      <c r="E13" s="10">
        <f t="shared" ref="E13:E21" si="1">D13+C13</f>
        <v>0</v>
      </c>
      <c r="F13" s="10" t="s">
        <v>35</v>
      </c>
      <c r="G13" s="10">
        <f>372+0+0</f>
        <v>372</v>
      </c>
      <c r="H13" s="10"/>
      <c r="I13" s="10"/>
      <c r="J13" s="14"/>
      <c r="K13" s="10"/>
      <c r="L13" s="10"/>
      <c r="M13" s="10"/>
      <c r="N13" s="33"/>
      <c r="O13" s="33"/>
      <c r="P13" s="33"/>
    </row>
    <row r="14" s="1" customFormat="1" ht="25" customHeight="1" spans="1:16">
      <c r="A14" s="7">
        <v>9</v>
      </c>
      <c r="B14" s="8" t="s">
        <v>37</v>
      </c>
      <c r="C14" s="10">
        <v>0</v>
      </c>
      <c r="D14" s="10">
        <v>0</v>
      </c>
      <c r="E14" s="10">
        <f t="shared" si="1"/>
        <v>0</v>
      </c>
      <c r="F14" s="10" t="s">
        <v>35</v>
      </c>
      <c r="G14" s="10">
        <f>209.75+0+0</f>
        <v>209.75</v>
      </c>
      <c r="H14" s="10"/>
      <c r="I14" s="10"/>
      <c r="J14" s="19" t="s">
        <v>38</v>
      </c>
      <c r="K14" s="10">
        <v>0</v>
      </c>
      <c r="L14" s="10">
        <v>0</v>
      </c>
      <c r="M14" s="10"/>
      <c r="N14" s="33"/>
      <c r="O14" s="33"/>
      <c r="P14" s="33"/>
    </row>
    <row r="15" s="1" customFormat="1" ht="25" customHeight="1" spans="1:16">
      <c r="A15" s="7">
        <v>10</v>
      </c>
      <c r="B15" s="8" t="s">
        <v>39</v>
      </c>
      <c r="C15" s="10">
        <v>0</v>
      </c>
      <c r="D15" s="10">
        <v>0</v>
      </c>
      <c r="E15" s="10">
        <f t="shared" si="1"/>
        <v>0</v>
      </c>
      <c r="F15" s="10" t="s">
        <v>14</v>
      </c>
      <c r="G15" s="10">
        <f>24+0+0</f>
        <v>24</v>
      </c>
      <c r="H15" s="10"/>
      <c r="I15" s="10">
        <f>G15/(G3*0.1865)</f>
        <v>10.7238605898123</v>
      </c>
      <c r="J15" s="19" t="s">
        <v>40</v>
      </c>
      <c r="K15" s="20">
        <f>0.641835+0+0</f>
        <v>0.641835</v>
      </c>
      <c r="L15" s="10"/>
      <c r="M15" s="10">
        <f>(C14*K14+L14*D14)/1000</f>
        <v>0</v>
      </c>
      <c r="N15" s="33"/>
      <c r="O15" s="33"/>
      <c r="P15" s="33"/>
    </row>
    <row r="16" s="1" customFormat="1" ht="25" customHeight="1" spans="1:16">
      <c r="A16" s="7">
        <v>11</v>
      </c>
      <c r="B16" s="8" t="s">
        <v>41</v>
      </c>
      <c r="C16" s="7">
        <v>0</v>
      </c>
      <c r="D16" s="7">
        <v>0</v>
      </c>
      <c r="E16" s="10">
        <f t="shared" si="1"/>
        <v>0</v>
      </c>
      <c r="F16" s="10" t="s">
        <v>14</v>
      </c>
      <c r="G16" s="10">
        <f>0+0+0</f>
        <v>0</v>
      </c>
      <c r="H16" s="22"/>
      <c r="I16" s="22"/>
      <c r="J16" s="11"/>
      <c r="K16" s="22"/>
      <c r="L16" s="22"/>
      <c r="M16" s="10"/>
      <c r="O16" s="33"/>
      <c r="P16" s="33"/>
    </row>
    <row r="17" s="1" customFormat="1" ht="25" customHeight="1" spans="1:13">
      <c r="A17" s="12">
        <v>12</v>
      </c>
      <c r="B17" s="8" t="s">
        <v>42</v>
      </c>
      <c r="C17" s="10">
        <v>0</v>
      </c>
      <c r="D17" s="7">
        <v>0</v>
      </c>
      <c r="E17" s="10">
        <f t="shared" si="1"/>
        <v>0</v>
      </c>
      <c r="F17" s="10" t="s">
        <v>14</v>
      </c>
      <c r="G17" s="10">
        <f>2+0+0</f>
        <v>2</v>
      </c>
      <c r="H17" s="22"/>
      <c r="I17" s="10">
        <f>G17/(G3*0.1865)</f>
        <v>0.893655049151028</v>
      </c>
      <c r="J17" s="11"/>
      <c r="K17" s="22"/>
      <c r="L17" s="22"/>
      <c r="M17" s="10"/>
    </row>
    <row r="18" s="1" customFormat="1" ht="25" customHeight="1" spans="1:13">
      <c r="A18" s="7">
        <v>13</v>
      </c>
      <c r="B18" s="8" t="s">
        <v>43</v>
      </c>
      <c r="C18" s="10">
        <v>0</v>
      </c>
      <c r="D18" s="7">
        <v>0</v>
      </c>
      <c r="E18" s="10">
        <f t="shared" si="1"/>
        <v>0</v>
      </c>
      <c r="F18" s="10" t="s">
        <v>14</v>
      </c>
      <c r="G18" s="10">
        <f>2+0+0</f>
        <v>2</v>
      </c>
      <c r="H18" s="22"/>
      <c r="I18" s="10">
        <f>G18/(G3*0.1865)</f>
        <v>0.893655049151028</v>
      </c>
      <c r="J18" s="11"/>
      <c r="K18" s="22"/>
      <c r="L18" s="22"/>
      <c r="M18" s="10"/>
    </row>
    <row r="19" s="1" customFormat="1" ht="25" customHeight="1" spans="1:13">
      <c r="A19" s="7">
        <v>14</v>
      </c>
      <c r="B19" s="8" t="s">
        <v>44</v>
      </c>
      <c r="C19" s="10">
        <v>0</v>
      </c>
      <c r="D19" s="7">
        <v>0</v>
      </c>
      <c r="E19" s="10">
        <f t="shared" si="1"/>
        <v>0</v>
      </c>
      <c r="F19" s="10" t="s">
        <v>45</v>
      </c>
      <c r="G19" s="10">
        <f>5+0+0</f>
        <v>5</v>
      </c>
      <c r="H19" s="22"/>
      <c r="I19" s="22"/>
      <c r="J19" s="11"/>
      <c r="K19" s="22"/>
      <c r="L19" s="22"/>
      <c r="M19" s="10"/>
    </row>
    <row r="20" s="1" customFormat="1" ht="25" customHeight="1" spans="1:13">
      <c r="A20" s="7">
        <v>15</v>
      </c>
      <c r="B20" s="8" t="s">
        <v>46</v>
      </c>
      <c r="C20" s="7">
        <v>0</v>
      </c>
      <c r="D20" s="7">
        <v>0</v>
      </c>
      <c r="E20" s="10">
        <f t="shared" si="1"/>
        <v>0</v>
      </c>
      <c r="F20" s="10" t="s">
        <v>35</v>
      </c>
      <c r="G20" s="10">
        <f>507+0+0</f>
        <v>507</v>
      </c>
      <c r="H20" s="23"/>
      <c r="I20" s="10" t="e">
        <f>E20/M20</f>
        <v>#DIV/0!</v>
      </c>
      <c r="J20" s="19" t="s">
        <v>47</v>
      </c>
      <c r="K20" s="10">
        <f>7.5+0+0</f>
        <v>7.5</v>
      </c>
      <c r="L20" s="10">
        <f>G20/K20</f>
        <v>67.6</v>
      </c>
      <c r="M20" s="10">
        <v>0</v>
      </c>
    </row>
    <row r="21" s="1" customFormat="1" ht="25" customHeight="1" spans="1:13">
      <c r="A21" s="12">
        <v>16</v>
      </c>
      <c r="B21" s="8" t="s">
        <v>48</v>
      </c>
      <c r="C21" s="7">
        <v>0</v>
      </c>
      <c r="D21" s="7">
        <v>0</v>
      </c>
      <c r="E21" s="10">
        <f t="shared" si="1"/>
        <v>0</v>
      </c>
      <c r="F21" s="10" t="s">
        <v>35</v>
      </c>
      <c r="G21" s="10">
        <f>547+0+0</f>
        <v>547</v>
      </c>
      <c r="H21" s="22"/>
      <c r="I21" s="10" t="e">
        <f>E21/M20</f>
        <v>#DIV/0!</v>
      </c>
      <c r="J21" s="11"/>
      <c r="K21" s="22"/>
      <c r="L21" s="22"/>
      <c r="M21" s="10"/>
    </row>
    <row r="22" s="1" customFormat="1" ht="25" customHeight="1" spans="1:13">
      <c r="A22" s="7">
        <v>17</v>
      </c>
      <c r="B22" s="8" t="s">
        <v>49</v>
      </c>
      <c r="C22" s="12">
        <v>0</v>
      </c>
      <c r="D22" s="12">
        <v>0</v>
      </c>
      <c r="E22" s="13"/>
      <c r="F22" s="13" t="s">
        <v>50</v>
      </c>
      <c r="G22" s="13"/>
      <c r="H22" s="24"/>
      <c r="I22" s="24"/>
      <c r="J22" s="25"/>
      <c r="K22" s="24"/>
      <c r="L22" s="24"/>
      <c r="M22" s="10"/>
    </row>
    <row r="23" s="1" customFormat="1" ht="80" customHeight="1" spans="1:13">
      <c r="A23" s="7">
        <v>18</v>
      </c>
      <c r="B23" s="26" t="s">
        <v>51</v>
      </c>
      <c r="C23" s="27" t="s">
        <v>52</v>
      </c>
      <c r="D23" s="28"/>
      <c r="E23" s="28"/>
      <c r="F23" s="28"/>
      <c r="G23" s="28"/>
      <c r="H23" s="28"/>
      <c r="I23" s="28"/>
      <c r="J23" s="28"/>
      <c r="K23" s="28"/>
      <c r="L23" s="29"/>
      <c r="M23" s="39"/>
    </row>
    <row r="24" s="1" customFormat="1" ht="120" customHeight="1" spans="1:13">
      <c r="A24" s="7">
        <v>19</v>
      </c>
      <c r="B24" s="31" t="s">
        <v>53</v>
      </c>
      <c r="C24" s="27" t="s">
        <v>78</v>
      </c>
      <c r="D24" s="28"/>
      <c r="E24" s="28"/>
      <c r="F24" s="28"/>
      <c r="G24" s="28"/>
      <c r="H24" s="28"/>
      <c r="I24" s="28"/>
      <c r="J24" s="28"/>
      <c r="K24" s="28"/>
      <c r="L24" s="29"/>
      <c r="M24" s="44"/>
    </row>
    <row r="25" s="1" customFormat="1" ht="80" customHeight="1" spans="1:13">
      <c r="A25" s="7">
        <v>20</v>
      </c>
      <c r="B25" s="31" t="s">
        <v>55</v>
      </c>
      <c r="C25" s="27" t="s">
        <v>75</v>
      </c>
      <c r="D25" s="28"/>
      <c r="E25" s="28"/>
      <c r="F25" s="28"/>
      <c r="G25" s="28"/>
      <c r="H25" s="28"/>
      <c r="I25" s="28"/>
      <c r="J25" s="28"/>
      <c r="K25" s="28"/>
      <c r="L25" s="29"/>
      <c r="M25" s="39"/>
    </row>
    <row r="26" s="1" customFormat="1" ht="14" customHeight="1" spans="1:13">
      <c r="C26" s="33"/>
      <c r="D26" s="33"/>
      <c r="J26" s="34"/>
    </row>
    <row r="27" s="1" customFormat="1" ht="45" customHeight="1" spans="1:13">
      <c r="A27" s="5" t="s">
        <v>79</v>
      </c>
    </row>
    <row r="28" s="1" customFormat="1" ht="30" customHeight="1" spans="1:13">
      <c r="A28" s="6" t="s">
        <v>58</v>
      </c>
      <c r="B28" s="6" t="s">
        <v>59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7">
        <v>1</v>
      </c>
      <c r="B29" s="8" t="s">
        <v>60</v>
      </c>
      <c r="C29" s="10">
        <v>0</v>
      </c>
      <c r="D29" s="10">
        <v>0</v>
      </c>
      <c r="E29" s="10">
        <f t="shared" ref="E29:E35" si="2">D29+C29</f>
        <v>0</v>
      </c>
      <c r="F29" s="10" t="s">
        <v>35</v>
      </c>
      <c r="G29" s="10">
        <f>0+0+0</f>
        <v>0</v>
      </c>
      <c r="H29" s="10"/>
      <c r="I29" s="10"/>
      <c r="J29" s="11"/>
      <c r="K29" s="22"/>
      <c r="L29" s="22"/>
      <c r="M29" s="10"/>
    </row>
    <row r="30" s="1" customFormat="1" ht="25" customHeight="1" spans="1:13">
      <c r="A30" s="7">
        <v>2</v>
      </c>
      <c r="B30" s="8" t="s">
        <v>61</v>
      </c>
      <c r="C30" s="10">
        <v>0</v>
      </c>
      <c r="D30" s="10">
        <v>0</v>
      </c>
      <c r="E30" s="10">
        <f t="shared" si="2"/>
        <v>0</v>
      </c>
      <c r="F30" s="10" t="s">
        <v>35</v>
      </c>
      <c r="G30" s="10">
        <f>0+0+0</f>
        <v>0</v>
      </c>
      <c r="H30" s="10"/>
      <c r="I30" s="10"/>
      <c r="J30" s="11"/>
      <c r="K30" s="22"/>
      <c r="L30" s="22"/>
      <c r="M30" s="21"/>
    </row>
    <row r="31" s="1" customFormat="1" ht="25" customHeight="1" spans="1:13">
      <c r="A31" s="7">
        <v>3</v>
      </c>
      <c r="B31" s="8" t="s">
        <v>62</v>
      </c>
      <c r="C31" s="10">
        <v>13</v>
      </c>
      <c r="D31" s="10">
        <v>0</v>
      </c>
      <c r="E31" s="10">
        <f t="shared" si="2"/>
        <v>13</v>
      </c>
      <c r="F31" s="10" t="s">
        <v>35</v>
      </c>
      <c r="G31" s="10">
        <f>9+33+13</f>
        <v>55</v>
      </c>
      <c r="H31" s="10"/>
      <c r="I31" s="10"/>
      <c r="J31" s="11"/>
      <c r="K31" s="22"/>
      <c r="L31" s="22"/>
      <c r="M31" s="21"/>
    </row>
    <row r="32" s="1" customFormat="1" ht="25" customHeight="1" spans="1:13">
      <c r="A32" s="7">
        <v>4</v>
      </c>
      <c r="B32" s="8" t="s">
        <v>31</v>
      </c>
      <c r="C32" s="10">
        <v>0</v>
      </c>
      <c r="D32" s="10">
        <v>0</v>
      </c>
      <c r="E32" s="10">
        <f t="shared" si="2"/>
        <v>0</v>
      </c>
      <c r="F32" s="10" t="s">
        <v>14</v>
      </c>
      <c r="G32" s="10">
        <f>0+0+0</f>
        <v>0</v>
      </c>
      <c r="H32" s="10"/>
      <c r="J32" s="11"/>
      <c r="K32" s="22"/>
      <c r="L32" s="22"/>
      <c r="M32" s="22"/>
    </row>
    <row r="33" s="1" customFormat="1" ht="25" customHeight="1" spans="1:13">
      <c r="A33" s="7">
        <v>5</v>
      </c>
      <c r="B33" s="8" t="s">
        <v>33</v>
      </c>
      <c r="C33" s="10">
        <v>0</v>
      </c>
      <c r="D33" s="10">
        <v>0</v>
      </c>
      <c r="E33" s="10">
        <f t="shared" si="2"/>
        <v>0</v>
      </c>
      <c r="F33" s="10" t="s">
        <v>14</v>
      </c>
      <c r="G33" s="10">
        <f>0+0+0</f>
        <v>0</v>
      </c>
      <c r="H33" s="10"/>
      <c r="I33" s="10"/>
      <c r="J33" s="14"/>
      <c r="K33" s="22"/>
      <c r="L33" s="22"/>
      <c r="M33" s="22"/>
    </row>
    <row r="34" s="1" customFormat="1" ht="25" customHeight="1" spans="1:13">
      <c r="A34" s="7">
        <v>6</v>
      </c>
      <c r="B34" s="8" t="s">
        <v>63</v>
      </c>
      <c r="C34" s="10">
        <v>0</v>
      </c>
      <c r="D34" s="10">
        <v>307</v>
      </c>
      <c r="E34" s="10">
        <f t="shared" si="2"/>
        <v>307</v>
      </c>
      <c r="F34" s="10" t="s">
        <v>35</v>
      </c>
      <c r="G34" s="10">
        <f>580+604+307</f>
        <v>1491</v>
      </c>
      <c r="H34" s="10"/>
      <c r="I34" s="10"/>
      <c r="J34" s="35"/>
      <c r="K34" s="22"/>
      <c r="L34" s="10"/>
      <c r="M34" s="22"/>
    </row>
    <row r="35" s="1" customFormat="1" ht="25" customHeight="1" spans="1:13">
      <c r="A35" s="7">
        <v>7</v>
      </c>
      <c r="B35" s="8" t="s">
        <v>64</v>
      </c>
      <c r="C35" s="10">
        <v>390</v>
      </c>
      <c r="D35" s="10">
        <v>386</v>
      </c>
      <c r="E35" s="10">
        <f t="shared" si="2"/>
        <v>776</v>
      </c>
      <c r="F35" s="10" t="s">
        <v>35</v>
      </c>
      <c r="G35" s="10">
        <f>1010+819+776</f>
        <v>2605</v>
      </c>
      <c r="H35" s="10"/>
      <c r="I35" s="10"/>
      <c r="J35" s="36"/>
      <c r="K35" s="22"/>
      <c r="L35" s="10"/>
      <c r="M35" s="22"/>
    </row>
    <row r="36" s="1" customFormat="1" ht="25" customHeight="1" spans="1:13">
      <c r="A36" s="7">
        <v>8</v>
      </c>
      <c r="B36" s="8" t="s">
        <v>65</v>
      </c>
      <c r="C36" s="10">
        <v>0</v>
      </c>
      <c r="D36" s="10">
        <v>0</v>
      </c>
      <c r="E36" s="10">
        <f>C36+D36</f>
        <v>0</v>
      </c>
      <c r="F36" s="10" t="s">
        <v>35</v>
      </c>
      <c r="G36" s="10">
        <f>0+0+0</f>
        <v>0</v>
      </c>
      <c r="H36" s="22"/>
      <c r="I36" s="7">
        <v>0</v>
      </c>
      <c r="J36" s="14"/>
      <c r="K36" s="37"/>
      <c r="L36" s="27"/>
      <c r="M36" s="38"/>
    </row>
    <row r="37" s="1" customFormat="1" ht="25" customHeight="1" spans="1:13">
      <c r="A37" s="7">
        <v>9</v>
      </c>
      <c r="B37" s="8" t="s">
        <v>66</v>
      </c>
      <c r="C37" s="10">
        <v>0</v>
      </c>
      <c r="D37" s="10">
        <v>0</v>
      </c>
      <c r="E37" s="10">
        <f>C37+D37</f>
        <v>0</v>
      </c>
      <c r="F37" s="10" t="s">
        <v>35</v>
      </c>
      <c r="G37" s="10">
        <f>0+0+0</f>
        <v>0</v>
      </c>
      <c r="H37" s="22"/>
      <c r="I37" s="7">
        <v>72.0938</v>
      </c>
      <c r="J37" s="35"/>
      <c r="K37" s="37"/>
      <c r="L37" s="27"/>
      <c r="M37" s="38"/>
    </row>
    <row r="38" s="1" customFormat="1" ht="25" customHeight="1" spans="1:13">
      <c r="A38" s="7">
        <v>10</v>
      </c>
      <c r="B38" s="8" t="s">
        <v>67</v>
      </c>
      <c r="C38" s="7">
        <v>2</v>
      </c>
      <c r="D38" s="7">
        <v>0</v>
      </c>
      <c r="E38" s="10">
        <f>D38+C38</f>
        <v>2</v>
      </c>
      <c r="F38" s="10" t="s">
        <v>45</v>
      </c>
      <c r="G38" s="10">
        <f>0+0+2</f>
        <v>2</v>
      </c>
      <c r="H38" s="22"/>
      <c r="I38" s="10">
        <v>0</v>
      </c>
      <c r="J38" s="35"/>
      <c r="K38" s="27"/>
      <c r="L38" s="19" t="s">
        <v>68</v>
      </c>
      <c r="M38" s="7">
        <v>2</v>
      </c>
    </row>
    <row r="39" s="1" customFormat="1" ht="80" customHeight="1" spans="1:13">
      <c r="A39" s="7">
        <v>11</v>
      </c>
      <c r="B39" s="32" t="s">
        <v>55</v>
      </c>
      <c r="C39" s="27" t="s">
        <v>69</v>
      </c>
      <c r="D39" s="28"/>
      <c r="E39" s="28"/>
      <c r="F39" s="28"/>
      <c r="G39" s="28"/>
      <c r="H39" s="28"/>
      <c r="I39" s="28"/>
      <c r="J39" s="28"/>
      <c r="K39" s="28"/>
      <c r="L39" s="29"/>
      <c r="M39" s="32"/>
    </row>
    <row r="47" s="1" customFormat="1" spans="1:13">
      <c r="C47" s="33"/>
      <c r="D47" s="33"/>
      <c r="J47" s="34"/>
    </row>
    <row r="48" spans="1:13">
      <c r="L48" s="1"/>
    </row>
  </sheetData>
  <mergeCells count="11">
    <mergeCell ref="A1:M1"/>
    <mergeCell ref="C23:L23"/>
    <mergeCell ref="C24:L24"/>
    <mergeCell ref="C25:L25"/>
    <mergeCell ref="A27:M27"/>
    <mergeCell ref="C39:L39"/>
    <mergeCell ref="A5:A8"/>
    <mergeCell ref="H5:H8"/>
    <mergeCell ref="I5:I8"/>
    <mergeCell ref="N7:N8"/>
    <mergeCell ref="N15:N16"/>
  </mergeCells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8"/>
  <sheetViews>
    <sheetView zoomScale="85" zoomScaleNormal="85" workbookViewId="0">
      <selection activeCell="J10" sqref="J10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9.7" style="2" customWidth="1"/>
    <col min="15" max="15" width="17.2" style="2" customWidth="1"/>
    <col min="16" max="16" width="15.4333333333333" style="2" customWidth="1"/>
    <col min="17" max="17" width="10.375" style="2" customWidth="1"/>
    <col min="18" max="16384" width="9" style="2" customWidth="1"/>
  </cols>
  <sheetData>
    <row r="1" s="1" customFormat="1" ht="45" customHeight="1" spans="1:16">
      <c r="A1" s="5" t="s">
        <v>80</v>
      </c>
    </row>
    <row r="2" s="1" customFormat="1" ht="30" customHeight="1" spans="1:16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41">
        <v>46176</v>
      </c>
      <c r="O2" s="42"/>
      <c r="P2" s="42"/>
    </row>
    <row r="3" s="1" customFormat="1" ht="38" customHeight="1" spans="1:16">
      <c r="A3" s="7">
        <v>1</v>
      </c>
      <c r="B3" s="8" t="s">
        <v>13</v>
      </c>
      <c r="C3" s="9">
        <v>0</v>
      </c>
      <c r="D3" s="9">
        <v>0</v>
      </c>
      <c r="E3" s="10">
        <f t="shared" ref="E3:E12" si="0">C3+D3</f>
        <v>0</v>
      </c>
      <c r="F3" s="10" t="s">
        <v>14</v>
      </c>
      <c r="G3" s="10">
        <f>12+0+0+0</f>
        <v>12</v>
      </c>
      <c r="H3" s="10">
        <v>330</v>
      </c>
      <c r="I3" s="10">
        <f>H3-G3</f>
        <v>318</v>
      </c>
      <c r="J3" s="11"/>
      <c r="K3" s="10"/>
      <c r="L3" s="10"/>
      <c r="M3" s="10">
        <f>I3/26</f>
        <v>12.2307692307692</v>
      </c>
      <c r="N3" s="43" t="s">
        <v>15</v>
      </c>
      <c r="O3" s="38" t="s">
        <v>16</v>
      </c>
      <c r="P3" s="38" t="s">
        <v>17</v>
      </c>
    </row>
    <row r="4" s="1" customFormat="1" ht="38" customHeight="1" spans="1:16">
      <c r="A4" s="12">
        <v>2</v>
      </c>
      <c r="B4" s="8" t="s">
        <v>18</v>
      </c>
      <c r="C4" s="9">
        <v>0</v>
      </c>
      <c r="D4" s="9"/>
      <c r="E4" s="10">
        <f t="shared" si="0"/>
        <v>0</v>
      </c>
      <c r="F4" s="10" t="s">
        <v>14</v>
      </c>
      <c r="G4" s="10">
        <f>12+8+0+0</f>
        <v>20</v>
      </c>
      <c r="H4" s="13"/>
      <c r="I4" s="13"/>
      <c r="J4" s="11"/>
      <c r="K4" s="10"/>
      <c r="L4" s="10"/>
      <c r="M4" s="10"/>
      <c r="N4" s="43" t="s">
        <v>71</v>
      </c>
      <c r="O4" s="38" t="s">
        <v>81</v>
      </c>
      <c r="P4" s="38" t="s">
        <v>82</v>
      </c>
    </row>
    <row r="5" s="1" customFormat="1" ht="38" customHeight="1" spans="1:16">
      <c r="A5" s="12">
        <v>3</v>
      </c>
      <c r="B5" s="8" t="s">
        <v>21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65+0+0+0</f>
        <v>65</v>
      </c>
      <c r="H5" s="10">
        <v>4950</v>
      </c>
      <c r="I5" s="10">
        <f>H5-G5-G7-G6</f>
        <v>4877</v>
      </c>
      <c r="J5" s="14"/>
      <c r="K5" s="10"/>
      <c r="L5" s="10"/>
      <c r="M5" s="10"/>
      <c r="O5" s="33"/>
      <c r="P5" s="33"/>
    </row>
    <row r="6" s="1" customFormat="1" ht="38" customHeight="1" spans="1:16">
      <c r="A6" s="15"/>
      <c r="B6" s="8" t="s">
        <v>23</v>
      </c>
      <c r="C6" s="10">
        <v>0</v>
      </c>
      <c r="D6" s="10">
        <v>0</v>
      </c>
      <c r="E6" s="10">
        <f t="shared" si="0"/>
        <v>0</v>
      </c>
      <c r="F6" s="10" t="s">
        <v>14</v>
      </c>
      <c r="G6" s="10">
        <f>0+0+0+0</f>
        <v>0</v>
      </c>
      <c r="H6" s="15"/>
      <c r="I6" s="15"/>
      <c r="J6" s="11"/>
      <c r="K6" s="10"/>
      <c r="L6" s="10"/>
      <c r="M6" s="10"/>
      <c r="O6" s="33"/>
      <c r="P6" s="33"/>
    </row>
    <row r="7" s="1" customFormat="1" ht="38" customHeight="1" spans="1:16">
      <c r="A7" s="15"/>
      <c r="B7" s="8" t="s">
        <v>25</v>
      </c>
      <c r="C7" s="10">
        <v>0</v>
      </c>
      <c r="D7" s="10">
        <v>8</v>
      </c>
      <c r="E7" s="10">
        <f t="shared" si="0"/>
        <v>8</v>
      </c>
      <c r="F7" s="10" t="s">
        <v>14</v>
      </c>
      <c r="G7" s="10">
        <f>0+0+0+8</f>
        <v>8</v>
      </c>
      <c r="H7" s="15"/>
      <c r="I7" s="15"/>
      <c r="J7" s="11"/>
      <c r="K7" s="10"/>
      <c r="L7" s="10"/>
      <c r="M7" s="10"/>
      <c r="N7" s="33"/>
      <c r="O7" s="33"/>
      <c r="P7" s="33"/>
    </row>
    <row r="8" s="1" customFormat="1" ht="38" customHeight="1" spans="1:16">
      <c r="A8" s="15"/>
      <c r="B8" s="8" t="s">
        <v>27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</f>
        <v>0</v>
      </c>
      <c r="H8" s="17"/>
      <c r="I8" s="17"/>
      <c r="J8" s="11"/>
      <c r="K8" s="10"/>
      <c r="L8" s="10"/>
      <c r="M8" s="10"/>
      <c r="O8" s="33"/>
      <c r="P8" s="33"/>
    </row>
    <row r="9" s="1" customFormat="1" ht="25" customHeight="1" spans="1:16">
      <c r="A9" s="12">
        <v>4</v>
      </c>
      <c r="B9" s="18" t="s">
        <v>29</v>
      </c>
      <c r="C9" s="13">
        <v>31.02</v>
      </c>
      <c r="D9" s="13"/>
      <c r="E9" s="10">
        <f t="shared" si="0"/>
        <v>31.02</v>
      </c>
      <c r="F9" s="13" t="s">
        <v>14</v>
      </c>
      <c r="G9" s="10">
        <f>0+31.23+0+31.02</f>
        <v>62.25</v>
      </c>
      <c r="H9" s="13">
        <v>6.08</v>
      </c>
      <c r="I9" s="13">
        <f>H9-K10</f>
        <v>5.553956</v>
      </c>
      <c r="J9" s="19" t="s">
        <v>30</v>
      </c>
      <c r="K9" s="13">
        <v>60</v>
      </c>
      <c r="L9" s="13">
        <v>0.83</v>
      </c>
      <c r="M9" s="20"/>
      <c r="O9" s="33"/>
      <c r="P9" s="33"/>
    </row>
    <row r="10" s="1" customFormat="1" ht="25" customHeight="1" spans="1:16">
      <c r="A10" s="7">
        <v>5</v>
      </c>
      <c r="B10" s="8" t="s">
        <v>31</v>
      </c>
      <c r="C10" s="10">
        <v>0</v>
      </c>
      <c r="D10" s="10">
        <v>0</v>
      </c>
      <c r="E10" s="10">
        <f t="shared" si="0"/>
        <v>0</v>
      </c>
      <c r="F10" s="10" t="s">
        <v>14</v>
      </c>
      <c r="G10" s="10">
        <f>6.831+0+0+0</f>
        <v>6.831</v>
      </c>
      <c r="H10" s="10"/>
      <c r="I10" s="10">
        <f>G10/(G3*0.1865)</f>
        <v>3.05227882037534</v>
      </c>
      <c r="J10" s="19" t="s">
        <v>32</v>
      </c>
      <c r="K10" s="20">
        <f>0+0.268578+0+0.257466</f>
        <v>0.526044</v>
      </c>
      <c r="L10" s="10"/>
      <c r="M10" s="10">
        <f>C9*L9/100</f>
        <v>0.257466</v>
      </c>
      <c r="O10" s="33"/>
      <c r="P10" s="33"/>
    </row>
    <row r="11" s="1" customFormat="1" ht="25" customHeight="1" spans="1:16">
      <c r="A11" s="7">
        <v>6</v>
      </c>
      <c r="B11" s="8" t="s">
        <v>33</v>
      </c>
      <c r="C11" s="10">
        <v>0</v>
      </c>
      <c r="D11" s="10">
        <v>0</v>
      </c>
      <c r="E11" s="10">
        <f t="shared" si="0"/>
        <v>0</v>
      </c>
      <c r="F11" s="10" t="s">
        <v>14</v>
      </c>
      <c r="G11" s="10">
        <f>14.352+0+0+0</f>
        <v>14.352</v>
      </c>
      <c r="H11" s="10"/>
      <c r="I11" s="10">
        <f>G11/(G3*0.1865)</f>
        <v>6.41286863270777</v>
      </c>
      <c r="J11" s="11"/>
      <c r="K11" s="10"/>
      <c r="L11" s="10"/>
      <c r="M11" s="21"/>
      <c r="O11" s="33"/>
      <c r="P11" s="33"/>
    </row>
    <row r="12" s="1" customFormat="1" ht="25" customHeight="1" spans="1:16">
      <c r="A12" s="7">
        <v>7</v>
      </c>
      <c r="B12" s="8" t="s">
        <v>34</v>
      </c>
      <c r="C12" s="10">
        <v>4</v>
      </c>
      <c r="D12" s="10">
        <v>12</v>
      </c>
      <c r="E12" s="10">
        <f t="shared" si="0"/>
        <v>16</v>
      </c>
      <c r="F12" s="10" t="s">
        <v>35</v>
      </c>
      <c r="G12" s="10">
        <f>472+11+0+16</f>
        <v>499</v>
      </c>
      <c r="H12" s="10">
        <f>G12*1.05</f>
        <v>523.95</v>
      </c>
      <c r="I12" s="10"/>
      <c r="J12" s="11"/>
      <c r="K12" s="10"/>
      <c r="L12" s="10"/>
      <c r="M12" s="21"/>
    </row>
    <row r="13" s="1" customFormat="1" ht="25" customHeight="1" spans="1:16">
      <c r="A13" s="12">
        <v>8</v>
      </c>
      <c r="B13" s="8" t="s">
        <v>36</v>
      </c>
      <c r="C13" s="10">
        <v>0</v>
      </c>
      <c r="D13" s="10">
        <v>0</v>
      </c>
      <c r="E13" s="10">
        <f t="shared" ref="E13:E21" si="1">D13+C13</f>
        <v>0</v>
      </c>
      <c r="F13" s="10" t="s">
        <v>35</v>
      </c>
      <c r="G13" s="10">
        <f>372+0+0+0</f>
        <v>372</v>
      </c>
      <c r="H13" s="10"/>
      <c r="I13" s="10"/>
      <c r="J13" s="14"/>
      <c r="K13" s="10"/>
      <c r="L13" s="10"/>
      <c r="M13" s="10"/>
      <c r="N13" s="33"/>
      <c r="O13" s="33"/>
      <c r="P13" s="33"/>
    </row>
    <row r="14" s="1" customFormat="1" ht="25" customHeight="1" spans="1:16">
      <c r="A14" s="7">
        <v>9</v>
      </c>
      <c r="B14" s="8" t="s">
        <v>37</v>
      </c>
      <c r="C14" s="10">
        <v>0</v>
      </c>
      <c r="D14" s="10">
        <v>0</v>
      </c>
      <c r="E14" s="10">
        <f t="shared" si="1"/>
        <v>0</v>
      </c>
      <c r="F14" s="10" t="s">
        <v>35</v>
      </c>
      <c r="G14" s="10">
        <f>209.75+0+0+0</f>
        <v>209.75</v>
      </c>
      <c r="H14" s="10"/>
      <c r="I14" s="10"/>
      <c r="J14" s="19" t="s">
        <v>38</v>
      </c>
      <c r="K14" s="10">
        <v>0</v>
      </c>
      <c r="L14" s="10">
        <v>0</v>
      </c>
      <c r="M14" s="10"/>
      <c r="N14" s="33"/>
      <c r="O14" s="33"/>
      <c r="P14" s="33"/>
    </row>
    <row r="15" s="1" customFormat="1" ht="25" customHeight="1" spans="1:16">
      <c r="A15" s="7">
        <v>10</v>
      </c>
      <c r="B15" s="8" t="s">
        <v>39</v>
      </c>
      <c r="C15" s="10">
        <v>0</v>
      </c>
      <c r="D15" s="10">
        <v>0</v>
      </c>
      <c r="E15" s="10">
        <f t="shared" si="1"/>
        <v>0</v>
      </c>
      <c r="F15" s="10" t="s">
        <v>14</v>
      </c>
      <c r="G15" s="10">
        <f>24+0+0+0</f>
        <v>24</v>
      </c>
      <c r="H15" s="10"/>
      <c r="I15" s="10">
        <f>G15/(G3*0.1865)</f>
        <v>10.7238605898123</v>
      </c>
      <c r="J15" s="19" t="s">
        <v>40</v>
      </c>
      <c r="K15" s="20">
        <f>0.641835+0+0+0</f>
        <v>0.641835</v>
      </c>
      <c r="L15" s="10"/>
      <c r="M15" s="10">
        <f>(C14*K14+L14*D14)/1000</f>
        <v>0</v>
      </c>
      <c r="N15" s="33"/>
      <c r="O15" s="33"/>
      <c r="P15" s="33"/>
    </row>
    <row r="16" s="1" customFormat="1" ht="25" customHeight="1" spans="1:16">
      <c r="A16" s="7">
        <v>11</v>
      </c>
      <c r="B16" s="8" t="s">
        <v>41</v>
      </c>
      <c r="C16" s="7">
        <v>0</v>
      </c>
      <c r="D16" s="7">
        <v>0</v>
      </c>
      <c r="E16" s="10">
        <f t="shared" si="1"/>
        <v>0</v>
      </c>
      <c r="F16" s="10" t="s">
        <v>14</v>
      </c>
      <c r="G16" s="10">
        <f>0+0+0+0</f>
        <v>0</v>
      </c>
      <c r="H16" s="22"/>
      <c r="I16" s="22"/>
      <c r="J16" s="11"/>
      <c r="K16" s="22"/>
      <c r="L16" s="22"/>
      <c r="M16" s="10"/>
      <c r="O16" s="33"/>
      <c r="P16" s="33"/>
    </row>
    <row r="17" s="1" customFormat="1" ht="25" customHeight="1" spans="1:13">
      <c r="A17" s="12">
        <v>12</v>
      </c>
      <c r="B17" s="8" t="s">
        <v>42</v>
      </c>
      <c r="C17" s="10">
        <v>0</v>
      </c>
      <c r="D17" s="7">
        <v>0</v>
      </c>
      <c r="E17" s="10">
        <f t="shared" si="1"/>
        <v>0</v>
      </c>
      <c r="F17" s="10" t="s">
        <v>14</v>
      </c>
      <c r="G17" s="10">
        <f>2+0+0+0</f>
        <v>2</v>
      </c>
      <c r="H17" s="22"/>
      <c r="I17" s="10">
        <f>G17/(G3*0.1865)</f>
        <v>0.893655049151028</v>
      </c>
      <c r="J17" s="11"/>
      <c r="K17" s="22"/>
      <c r="L17" s="22"/>
      <c r="M17" s="10"/>
    </row>
    <row r="18" s="1" customFormat="1" ht="25" customHeight="1" spans="1:13">
      <c r="A18" s="7">
        <v>13</v>
      </c>
      <c r="B18" s="8" t="s">
        <v>43</v>
      </c>
      <c r="C18" s="10">
        <v>0</v>
      </c>
      <c r="D18" s="7">
        <v>0</v>
      </c>
      <c r="E18" s="10">
        <f t="shared" si="1"/>
        <v>0</v>
      </c>
      <c r="F18" s="10" t="s">
        <v>14</v>
      </c>
      <c r="G18" s="10">
        <f>2+0+0+0</f>
        <v>2</v>
      </c>
      <c r="H18" s="22"/>
      <c r="I18" s="10">
        <f>G18/(G3*0.1865)</f>
        <v>0.893655049151028</v>
      </c>
      <c r="J18" s="11"/>
      <c r="K18" s="22"/>
      <c r="L18" s="22"/>
      <c r="M18" s="10"/>
    </row>
    <row r="19" s="1" customFormat="1" ht="25" customHeight="1" spans="1:13">
      <c r="A19" s="7">
        <v>14</v>
      </c>
      <c r="B19" s="8" t="s">
        <v>44</v>
      </c>
      <c r="C19" s="10">
        <v>0</v>
      </c>
      <c r="D19" s="7">
        <v>0</v>
      </c>
      <c r="E19" s="10">
        <f t="shared" si="1"/>
        <v>0</v>
      </c>
      <c r="F19" s="10" t="s">
        <v>45</v>
      </c>
      <c r="G19" s="10">
        <f>5+0+0+0</f>
        <v>5</v>
      </c>
      <c r="H19" s="22"/>
      <c r="I19" s="22"/>
      <c r="J19" s="11"/>
      <c r="K19" s="22"/>
      <c r="L19" s="22"/>
      <c r="M19" s="10"/>
    </row>
    <row r="20" s="1" customFormat="1" ht="25" customHeight="1" spans="1:13">
      <c r="A20" s="7">
        <v>15</v>
      </c>
      <c r="B20" s="8" t="s">
        <v>46</v>
      </c>
      <c r="C20" s="7">
        <v>29</v>
      </c>
      <c r="D20" s="7">
        <v>310</v>
      </c>
      <c r="E20" s="10">
        <f t="shared" si="1"/>
        <v>339</v>
      </c>
      <c r="F20" s="10" t="s">
        <v>35</v>
      </c>
      <c r="G20" s="10">
        <f>507+0+0+339</f>
        <v>846</v>
      </c>
      <c r="H20" s="23"/>
      <c r="I20" s="10">
        <f>E20/M20</f>
        <v>56.5</v>
      </c>
      <c r="J20" s="19" t="s">
        <v>47</v>
      </c>
      <c r="K20" s="10">
        <f>7.5+0+0+6</f>
        <v>13.5</v>
      </c>
      <c r="L20" s="10">
        <f>G20/K20</f>
        <v>62.6666666666667</v>
      </c>
      <c r="M20" s="10">
        <v>6</v>
      </c>
    </row>
    <row r="21" s="1" customFormat="1" ht="25" customHeight="1" spans="1:13">
      <c r="A21" s="12">
        <v>16</v>
      </c>
      <c r="B21" s="8" t="s">
        <v>48</v>
      </c>
      <c r="C21" s="7">
        <v>378</v>
      </c>
      <c r="D21" s="7">
        <v>284</v>
      </c>
      <c r="E21" s="10">
        <f t="shared" si="1"/>
        <v>662</v>
      </c>
      <c r="F21" s="10" t="s">
        <v>35</v>
      </c>
      <c r="G21" s="10">
        <f>547+0+0+662</f>
        <v>1209</v>
      </c>
      <c r="H21" s="22"/>
      <c r="I21" s="10">
        <f>E21/M20</f>
        <v>110.333333333333</v>
      </c>
      <c r="J21" s="11"/>
      <c r="K21" s="22"/>
      <c r="L21" s="22"/>
      <c r="M21" s="10"/>
    </row>
    <row r="22" s="1" customFormat="1" ht="25" customHeight="1" spans="1:13">
      <c r="A22" s="7">
        <v>17</v>
      </c>
      <c r="B22" s="8" t="s">
        <v>49</v>
      </c>
      <c r="C22" s="12">
        <v>0</v>
      </c>
      <c r="D22" s="12">
        <v>25.17</v>
      </c>
      <c r="E22" s="13"/>
      <c r="F22" s="13" t="s">
        <v>50</v>
      </c>
      <c r="G22" s="13"/>
      <c r="H22" s="24"/>
      <c r="I22" s="24"/>
      <c r="J22" s="25"/>
      <c r="K22" s="24"/>
      <c r="L22" s="24"/>
      <c r="M22" s="10"/>
    </row>
    <row r="23" s="1" customFormat="1" ht="80" customHeight="1" spans="1:13">
      <c r="A23" s="7">
        <v>18</v>
      </c>
      <c r="B23" s="26" t="s">
        <v>51</v>
      </c>
      <c r="C23" s="27" t="s">
        <v>83</v>
      </c>
      <c r="D23" s="28"/>
      <c r="E23" s="28"/>
      <c r="F23" s="28"/>
      <c r="G23" s="28"/>
      <c r="H23" s="28"/>
      <c r="I23" s="28"/>
      <c r="J23" s="28"/>
      <c r="K23" s="28"/>
      <c r="L23" s="29"/>
      <c r="M23" s="39"/>
    </row>
    <row r="24" s="1" customFormat="1" ht="120" customHeight="1" spans="1:13">
      <c r="A24" s="7">
        <v>19</v>
      </c>
      <c r="B24" s="31" t="s">
        <v>53</v>
      </c>
      <c r="C24" s="27" t="s">
        <v>84</v>
      </c>
      <c r="D24" s="28"/>
      <c r="E24" s="28"/>
      <c r="F24" s="28"/>
      <c r="G24" s="28"/>
      <c r="H24" s="28"/>
      <c r="I24" s="28"/>
      <c r="J24" s="28"/>
      <c r="K24" s="28"/>
      <c r="L24" s="29"/>
      <c r="M24" s="44"/>
    </row>
    <row r="25" s="1" customFormat="1" ht="80" customHeight="1" spans="1:13">
      <c r="A25" s="7">
        <v>20</v>
      </c>
      <c r="B25" s="31" t="s">
        <v>55</v>
      </c>
      <c r="C25" s="27" t="s">
        <v>85</v>
      </c>
      <c r="D25" s="28"/>
      <c r="E25" s="28"/>
      <c r="F25" s="28"/>
      <c r="G25" s="28"/>
      <c r="H25" s="28"/>
      <c r="I25" s="28"/>
      <c r="J25" s="28"/>
      <c r="K25" s="28"/>
      <c r="L25" s="29"/>
      <c r="M25" s="39"/>
    </row>
    <row r="26" s="1" customFormat="1" ht="14" customHeight="1" spans="1:13">
      <c r="C26" s="33"/>
      <c r="D26" s="33"/>
      <c r="J26" s="34"/>
    </row>
    <row r="27" s="1" customFormat="1" ht="45" customHeight="1" spans="1:13">
      <c r="A27" s="5" t="s">
        <v>86</v>
      </c>
    </row>
    <row r="28" s="1" customFormat="1" ht="30" customHeight="1" spans="1:13">
      <c r="A28" s="6" t="s">
        <v>58</v>
      </c>
      <c r="B28" s="6" t="s">
        <v>59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7">
        <v>1</v>
      </c>
      <c r="B29" s="8" t="s">
        <v>60</v>
      </c>
      <c r="C29" s="10">
        <v>0</v>
      </c>
      <c r="D29" s="10">
        <v>0</v>
      </c>
      <c r="E29" s="10">
        <f t="shared" ref="E29:E35" si="2">D29+C29</f>
        <v>0</v>
      </c>
      <c r="F29" s="10" t="s">
        <v>35</v>
      </c>
      <c r="G29" s="10">
        <f>0+0+0+0</f>
        <v>0</v>
      </c>
      <c r="H29" s="10"/>
      <c r="I29" s="10"/>
      <c r="J29" s="11"/>
      <c r="K29" s="22"/>
      <c r="L29" s="22"/>
      <c r="M29" s="10"/>
    </row>
    <row r="30" s="1" customFormat="1" ht="25" customHeight="1" spans="1:13">
      <c r="A30" s="7">
        <v>2</v>
      </c>
      <c r="B30" s="8" t="s">
        <v>61</v>
      </c>
      <c r="C30" s="10">
        <v>0</v>
      </c>
      <c r="D30" s="10">
        <v>0</v>
      </c>
      <c r="E30" s="10">
        <f t="shared" si="2"/>
        <v>0</v>
      </c>
      <c r="F30" s="10" t="s">
        <v>35</v>
      </c>
      <c r="G30" s="10">
        <f>0+0+0+0</f>
        <v>0</v>
      </c>
      <c r="H30" s="10"/>
      <c r="I30" s="10"/>
      <c r="J30" s="11"/>
      <c r="K30" s="22"/>
      <c r="L30" s="22"/>
      <c r="M30" s="21"/>
    </row>
    <row r="31" s="1" customFormat="1" ht="25" customHeight="1" spans="1:13">
      <c r="A31" s="7">
        <v>3</v>
      </c>
      <c r="B31" s="8" t="s">
        <v>62</v>
      </c>
      <c r="C31" s="10">
        <v>10</v>
      </c>
      <c r="D31" s="10">
        <v>14</v>
      </c>
      <c r="E31" s="10">
        <f t="shared" si="2"/>
        <v>24</v>
      </c>
      <c r="F31" s="10" t="s">
        <v>35</v>
      </c>
      <c r="G31" s="10">
        <f>9+33+13+24</f>
        <v>79</v>
      </c>
      <c r="H31" s="10"/>
      <c r="I31" s="10"/>
      <c r="J31" s="11"/>
      <c r="K31" s="22"/>
      <c r="L31" s="22"/>
      <c r="M31" s="21"/>
    </row>
    <row r="32" s="1" customFormat="1" ht="25" customHeight="1" spans="1:13">
      <c r="A32" s="7">
        <v>4</v>
      </c>
      <c r="B32" s="8" t="s">
        <v>31</v>
      </c>
      <c r="C32" s="10">
        <v>0</v>
      </c>
      <c r="D32" s="10">
        <v>0</v>
      </c>
      <c r="E32" s="10">
        <f t="shared" si="2"/>
        <v>0</v>
      </c>
      <c r="F32" s="10" t="s">
        <v>14</v>
      </c>
      <c r="G32" s="10">
        <f>0+0+0+0</f>
        <v>0</v>
      </c>
      <c r="H32" s="10"/>
      <c r="J32" s="11"/>
      <c r="K32" s="22"/>
      <c r="L32" s="22"/>
      <c r="M32" s="22"/>
    </row>
    <row r="33" s="1" customFormat="1" ht="25" customHeight="1" spans="1:13">
      <c r="A33" s="7">
        <v>5</v>
      </c>
      <c r="B33" s="8" t="s">
        <v>33</v>
      </c>
      <c r="C33" s="10">
        <v>0</v>
      </c>
      <c r="D33" s="10">
        <v>0</v>
      </c>
      <c r="E33" s="10">
        <f t="shared" si="2"/>
        <v>0</v>
      </c>
      <c r="F33" s="10" t="s">
        <v>14</v>
      </c>
      <c r="G33" s="10">
        <f>0+0+0+0</f>
        <v>0</v>
      </c>
      <c r="H33" s="10"/>
      <c r="I33" s="10"/>
      <c r="J33" s="14"/>
      <c r="K33" s="22"/>
      <c r="L33" s="22"/>
      <c r="M33" s="22"/>
    </row>
    <row r="34" s="1" customFormat="1" ht="25" customHeight="1" spans="1:13">
      <c r="A34" s="7">
        <v>6</v>
      </c>
      <c r="B34" s="8" t="s">
        <v>63</v>
      </c>
      <c r="C34" s="10">
        <v>100</v>
      </c>
      <c r="D34" s="10">
        <v>308</v>
      </c>
      <c r="E34" s="10">
        <f t="shared" si="2"/>
        <v>408</v>
      </c>
      <c r="F34" s="10" t="s">
        <v>35</v>
      </c>
      <c r="G34" s="10">
        <f>580+604+307+408</f>
        <v>1899</v>
      </c>
      <c r="H34" s="10"/>
      <c r="I34" s="10"/>
      <c r="J34" s="35"/>
      <c r="K34" s="22"/>
      <c r="L34" s="10"/>
      <c r="M34" s="22"/>
    </row>
    <row r="35" s="1" customFormat="1" ht="25" customHeight="1" spans="1:13">
      <c r="A35" s="7">
        <v>7</v>
      </c>
      <c r="B35" s="8" t="s">
        <v>64</v>
      </c>
      <c r="C35" s="10">
        <v>0</v>
      </c>
      <c r="D35" s="10">
        <v>499</v>
      </c>
      <c r="E35" s="10">
        <f t="shared" si="2"/>
        <v>499</v>
      </c>
      <c r="F35" s="10" t="s">
        <v>35</v>
      </c>
      <c r="G35" s="10">
        <f>1010+819+776+499</f>
        <v>3104</v>
      </c>
      <c r="H35" s="10"/>
      <c r="I35" s="10"/>
      <c r="J35" s="36"/>
      <c r="K35" s="22"/>
      <c r="L35" s="10"/>
      <c r="M35" s="22"/>
    </row>
    <row r="36" s="1" customFormat="1" ht="25" customHeight="1" spans="1:13">
      <c r="A36" s="7">
        <v>8</v>
      </c>
      <c r="B36" s="8" t="s">
        <v>65</v>
      </c>
      <c r="C36" s="10">
        <v>0</v>
      </c>
      <c r="D36" s="10">
        <v>0</v>
      </c>
      <c r="E36" s="10">
        <f>C36+D36</f>
        <v>0</v>
      </c>
      <c r="F36" s="10" t="s">
        <v>35</v>
      </c>
      <c r="G36" s="10">
        <f>0+0+0+0</f>
        <v>0</v>
      </c>
      <c r="H36" s="22"/>
      <c r="I36" s="7">
        <v>0</v>
      </c>
      <c r="J36" s="14"/>
      <c r="K36" s="37"/>
      <c r="L36" s="27"/>
      <c r="M36" s="38"/>
    </row>
    <row r="37" s="1" customFormat="1" ht="25" customHeight="1" spans="1:13">
      <c r="A37" s="7">
        <v>9</v>
      </c>
      <c r="B37" s="8" t="s">
        <v>66</v>
      </c>
      <c r="C37" s="10">
        <v>0</v>
      </c>
      <c r="D37" s="10">
        <v>0</v>
      </c>
      <c r="E37" s="10">
        <f>C37+D37</f>
        <v>0</v>
      </c>
      <c r="F37" s="10" t="s">
        <v>35</v>
      </c>
      <c r="G37" s="10">
        <f>0+0+0+0</f>
        <v>0</v>
      </c>
      <c r="H37" s="22"/>
      <c r="I37" s="7">
        <v>67.7508</v>
      </c>
      <c r="J37" s="35"/>
      <c r="K37" s="37"/>
      <c r="L37" s="27"/>
      <c r="M37" s="38"/>
    </row>
    <row r="38" s="1" customFormat="1" ht="25" customHeight="1" spans="1:13">
      <c r="A38" s="7">
        <v>10</v>
      </c>
      <c r="B38" s="8" t="s">
        <v>67</v>
      </c>
      <c r="C38" s="7">
        <v>0</v>
      </c>
      <c r="D38" s="7">
        <v>0</v>
      </c>
      <c r="E38" s="10">
        <f>D38+C38</f>
        <v>0</v>
      </c>
      <c r="F38" s="10" t="s">
        <v>45</v>
      </c>
      <c r="G38" s="10">
        <f>0+0+2+0</f>
        <v>2</v>
      </c>
      <c r="H38" s="22"/>
      <c r="I38" s="10">
        <v>0</v>
      </c>
      <c r="J38" s="35"/>
      <c r="K38" s="27"/>
      <c r="L38" s="19" t="s">
        <v>68</v>
      </c>
      <c r="M38" s="7">
        <v>2</v>
      </c>
    </row>
    <row r="39" s="1" customFormat="1" ht="80" customHeight="1" spans="1:13">
      <c r="A39" s="7">
        <v>11</v>
      </c>
      <c r="B39" s="32" t="s">
        <v>55</v>
      </c>
      <c r="C39" s="27" t="s">
        <v>69</v>
      </c>
      <c r="D39" s="28"/>
      <c r="E39" s="28"/>
      <c r="F39" s="28"/>
      <c r="G39" s="28"/>
      <c r="H39" s="28"/>
      <c r="I39" s="28"/>
      <c r="J39" s="28"/>
      <c r="K39" s="28"/>
      <c r="L39" s="29"/>
      <c r="M39" s="32"/>
    </row>
    <row r="47" s="1" customFormat="1" spans="1:13">
      <c r="C47" s="33"/>
      <c r="D47" s="33"/>
      <c r="J47" s="34"/>
    </row>
    <row r="48" spans="1:13">
      <c r="L48" s="1"/>
    </row>
  </sheetData>
  <mergeCells count="11">
    <mergeCell ref="A1:M1"/>
    <mergeCell ref="C23:L23"/>
    <mergeCell ref="C24:L24"/>
    <mergeCell ref="C25:L25"/>
    <mergeCell ref="A27:M27"/>
    <mergeCell ref="C39:L39"/>
    <mergeCell ref="A5:A8"/>
    <mergeCell ref="H5:H8"/>
    <mergeCell ref="I5:I8"/>
    <mergeCell ref="N7:N8"/>
    <mergeCell ref="N15:N16"/>
  </mergeCells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8"/>
  <sheetViews>
    <sheetView zoomScale="85" zoomScaleNormal="85" workbookViewId="0">
      <selection activeCell="J10" sqref="J10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9.7" style="2" customWidth="1"/>
    <col min="15" max="15" width="17.2" style="2" customWidth="1"/>
    <col min="16" max="16" width="15.4333333333333" style="2" customWidth="1"/>
    <col min="17" max="17" width="10.375" style="2" customWidth="1"/>
    <col min="18" max="16384" width="9" style="2" customWidth="1"/>
  </cols>
  <sheetData>
    <row r="1" s="1" customFormat="1" ht="45" customHeight="1" spans="1:16">
      <c r="A1" s="5" t="s">
        <v>87</v>
      </c>
    </row>
    <row r="2" s="1" customFormat="1" ht="30" customHeight="1" spans="1:16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41">
        <v>46177</v>
      </c>
      <c r="O2" s="42"/>
      <c r="P2" s="42"/>
    </row>
    <row r="3" s="1" customFormat="1" ht="38" customHeight="1" spans="1:16">
      <c r="A3" s="7">
        <v>1</v>
      </c>
      <c r="B3" s="8" t="s">
        <v>13</v>
      </c>
      <c r="C3" s="9">
        <v>1</v>
      </c>
      <c r="D3" s="9">
        <v>5</v>
      </c>
      <c r="E3" s="10">
        <f t="shared" ref="E3:E12" si="0">C3+D3</f>
        <v>6</v>
      </c>
      <c r="F3" s="10" t="s">
        <v>14</v>
      </c>
      <c r="G3" s="10">
        <f>12+0+0+0+6</f>
        <v>18</v>
      </c>
      <c r="H3" s="10">
        <v>330</v>
      </c>
      <c r="I3" s="10">
        <f>H3-G3</f>
        <v>312</v>
      </c>
      <c r="J3" s="11"/>
      <c r="K3" s="10"/>
      <c r="L3" s="10"/>
      <c r="M3" s="10">
        <f>I3/25</f>
        <v>12.48</v>
      </c>
      <c r="N3" s="43" t="s">
        <v>15</v>
      </c>
      <c r="O3" s="38" t="s">
        <v>16</v>
      </c>
      <c r="P3" s="38" t="s">
        <v>17</v>
      </c>
    </row>
    <row r="4" s="1" customFormat="1" ht="38" customHeight="1" spans="1:16">
      <c r="A4" s="12">
        <v>2</v>
      </c>
      <c r="B4" s="8" t="s">
        <v>18</v>
      </c>
      <c r="C4" s="9">
        <v>0</v>
      </c>
      <c r="D4" s="9"/>
      <c r="E4" s="10">
        <f t="shared" si="0"/>
        <v>0</v>
      </c>
      <c r="F4" s="10" t="s">
        <v>14</v>
      </c>
      <c r="G4" s="10">
        <f>12+8+0+0+0</f>
        <v>20</v>
      </c>
      <c r="H4" s="13"/>
      <c r="I4" s="13"/>
      <c r="J4" s="11"/>
      <c r="K4" s="10"/>
      <c r="L4" s="10"/>
      <c r="M4" s="10"/>
      <c r="N4" s="38" t="s">
        <v>2</v>
      </c>
      <c r="O4" s="38" t="s">
        <v>88</v>
      </c>
      <c r="P4" s="38" t="s">
        <v>20</v>
      </c>
    </row>
    <row r="5" s="1" customFormat="1" ht="38" customHeight="1" spans="1:16">
      <c r="A5" s="12">
        <v>3</v>
      </c>
      <c r="B5" s="8" t="s">
        <v>21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65+0+0+0+0</f>
        <v>65</v>
      </c>
      <c r="H5" s="10">
        <v>4950</v>
      </c>
      <c r="I5" s="10">
        <f>H5-G5-G7-G6</f>
        <v>4693</v>
      </c>
      <c r="J5" s="14"/>
      <c r="K5" s="10"/>
      <c r="L5" s="10"/>
      <c r="M5" s="10"/>
      <c r="N5" s="17"/>
      <c r="O5" s="38" t="s">
        <v>89</v>
      </c>
      <c r="P5" s="38" t="s">
        <v>20</v>
      </c>
    </row>
    <row r="6" s="1" customFormat="1" ht="38" customHeight="1" spans="1:16">
      <c r="A6" s="15"/>
      <c r="B6" s="8" t="s">
        <v>23</v>
      </c>
      <c r="C6" s="10">
        <v>75</v>
      </c>
      <c r="D6" s="10">
        <v>108</v>
      </c>
      <c r="E6" s="10">
        <f t="shared" si="0"/>
        <v>183</v>
      </c>
      <c r="F6" s="10" t="s">
        <v>14</v>
      </c>
      <c r="G6" s="10">
        <f>0+0+0+0+183</f>
        <v>183</v>
      </c>
      <c r="H6" s="15"/>
      <c r="I6" s="15"/>
      <c r="J6" s="11"/>
      <c r="K6" s="10"/>
      <c r="L6" s="10"/>
      <c r="M6" s="10"/>
      <c r="N6" s="38" t="s">
        <v>3</v>
      </c>
      <c r="O6" s="38" t="s">
        <v>90</v>
      </c>
      <c r="P6" s="38" t="s">
        <v>20</v>
      </c>
    </row>
    <row r="7" s="1" customFormat="1" ht="38" customHeight="1" spans="1:16">
      <c r="A7" s="15"/>
      <c r="B7" s="8" t="s">
        <v>25</v>
      </c>
      <c r="C7" s="10">
        <v>1</v>
      </c>
      <c r="D7" s="10">
        <v>0</v>
      </c>
      <c r="E7" s="10">
        <f t="shared" si="0"/>
        <v>1</v>
      </c>
      <c r="F7" s="10" t="s">
        <v>14</v>
      </c>
      <c r="G7" s="10">
        <f>0+0+0+8+1</f>
        <v>9</v>
      </c>
      <c r="H7" s="15"/>
      <c r="I7" s="15"/>
      <c r="J7" s="11"/>
      <c r="K7" s="10"/>
      <c r="L7" s="10"/>
      <c r="M7" s="10"/>
      <c r="N7" s="15"/>
      <c r="O7" s="38" t="s">
        <v>91</v>
      </c>
      <c r="P7" s="38" t="s">
        <v>20</v>
      </c>
    </row>
    <row r="8" s="1" customFormat="1" ht="38" customHeight="1" spans="1:16">
      <c r="A8" s="15"/>
      <c r="B8" s="8" t="s">
        <v>27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</f>
        <v>0</v>
      </c>
      <c r="H8" s="17"/>
      <c r="I8" s="17"/>
      <c r="J8" s="11"/>
      <c r="K8" s="10"/>
      <c r="L8" s="10"/>
      <c r="M8" s="10"/>
      <c r="N8" s="17"/>
      <c r="O8" s="38" t="s">
        <v>92</v>
      </c>
      <c r="P8" s="38" t="s">
        <v>20</v>
      </c>
    </row>
    <row r="9" s="1" customFormat="1" ht="25" customHeight="1" spans="1:16">
      <c r="A9" s="12">
        <v>4</v>
      </c>
      <c r="B9" s="18" t="s">
        <v>29</v>
      </c>
      <c r="C9" s="13">
        <v>0</v>
      </c>
      <c r="D9" s="13"/>
      <c r="E9" s="10">
        <f t="shared" si="0"/>
        <v>0</v>
      </c>
      <c r="F9" s="13" t="s">
        <v>14</v>
      </c>
      <c r="G9" s="10">
        <f>0+31.23+0+31.02+0</f>
        <v>62.25</v>
      </c>
      <c r="H9" s="13">
        <v>6.08</v>
      </c>
      <c r="I9" s="13">
        <f>H9-K10</f>
        <v>5.553956</v>
      </c>
      <c r="J9" s="19" t="s">
        <v>30</v>
      </c>
      <c r="K9" s="13">
        <v>60</v>
      </c>
      <c r="L9" s="13">
        <v>0</v>
      </c>
      <c r="M9" s="20"/>
      <c r="O9" s="33"/>
      <c r="P9" s="33"/>
    </row>
    <row r="10" s="1" customFormat="1" ht="25" customHeight="1" spans="1:16">
      <c r="A10" s="7">
        <v>5</v>
      </c>
      <c r="B10" s="8" t="s">
        <v>31</v>
      </c>
      <c r="C10" s="10">
        <v>3.4695</v>
      </c>
      <c r="D10" s="10">
        <v>3.186</v>
      </c>
      <c r="E10" s="10">
        <f t="shared" si="0"/>
        <v>6.6555</v>
      </c>
      <c r="F10" s="10" t="s">
        <v>14</v>
      </c>
      <c r="G10" s="10">
        <f>6.831+0+0+0+6.6555</f>
        <v>13.4865</v>
      </c>
      <c r="H10" s="10"/>
      <c r="I10" s="10">
        <f>G10/(G3*0.1865)</f>
        <v>4.01742627345844</v>
      </c>
      <c r="J10" s="19" t="s">
        <v>32</v>
      </c>
      <c r="K10" s="20">
        <f>0+0.268578+0+0.257466+0</f>
        <v>0.526044</v>
      </c>
      <c r="L10" s="10"/>
      <c r="M10" s="10">
        <f>C9*L9/100</f>
        <v>0</v>
      </c>
      <c r="O10" s="33"/>
      <c r="P10" s="33"/>
    </row>
    <row r="11" s="1" customFormat="1" ht="25" customHeight="1" spans="1:16">
      <c r="A11" s="7">
        <v>6</v>
      </c>
      <c r="B11" s="8" t="s">
        <v>33</v>
      </c>
      <c r="C11" s="10">
        <v>6.7344</v>
      </c>
      <c r="D11" s="10">
        <v>0</v>
      </c>
      <c r="E11" s="10">
        <f t="shared" si="0"/>
        <v>6.7344</v>
      </c>
      <c r="F11" s="10" t="s">
        <v>14</v>
      </c>
      <c r="G11" s="10">
        <f>14.352+0+0+0+6.7344</f>
        <v>21.0864</v>
      </c>
      <c r="H11" s="10"/>
      <c r="I11" s="10">
        <f>G11/(G3*0.1865)</f>
        <v>6.28132260947274</v>
      </c>
      <c r="J11" s="11"/>
      <c r="K11" s="10"/>
      <c r="L11" s="10"/>
      <c r="M11" s="21"/>
      <c r="O11" s="33"/>
      <c r="P11" s="33"/>
    </row>
    <row r="12" s="1" customFormat="1" ht="25" customHeight="1" spans="1:16">
      <c r="A12" s="7">
        <v>7</v>
      </c>
      <c r="B12" s="8" t="s">
        <v>34</v>
      </c>
      <c r="C12" s="10">
        <v>40</v>
      </c>
      <c r="D12" s="10">
        <v>166</v>
      </c>
      <c r="E12" s="10">
        <f t="shared" si="0"/>
        <v>206</v>
      </c>
      <c r="F12" s="10" t="s">
        <v>35</v>
      </c>
      <c r="G12" s="10">
        <f>472+11+0+16+206</f>
        <v>705</v>
      </c>
      <c r="H12" s="10">
        <f>G12*1.05</f>
        <v>740.25</v>
      </c>
      <c r="I12" s="10"/>
      <c r="J12" s="11"/>
      <c r="K12" s="10"/>
      <c r="L12" s="10"/>
      <c r="M12" s="21"/>
    </row>
    <row r="13" s="1" customFormat="1" ht="25" customHeight="1" spans="1:16">
      <c r="A13" s="12">
        <v>8</v>
      </c>
      <c r="B13" s="8" t="s">
        <v>36</v>
      </c>
      <c r="C13" s="10">
        <v>15</v>
      </c>
      <c r="D13" s="10">
        <v>180</v>
      </c>
      <c r="E13" s="10">
        <f t="shared" ref="E13:E21" si="1">D13+C13</f>
        <v>195</v>
      </c>
      <c r="F13" s="10" t="s">
        <v>35</v>
      </c>
      <c r="G13" s="10">
        <f>372+0+0+0+195</f>
        <v>567</v>
      </c>
      <c r="H13" s="10"/>
      <c r="I13" s="10"/>
      <c r="J13" s="14"/>
      <c r="K13" s="10"/>
      <c r="L13" s="10"/>
      <c r="M13" s="10"/>
      <c r="N13" s="33"/>
      <c r="O13" s="33"/>
      <c r="P13" s="33"/>
    </row>
    <row r="14" s="1" customFormat="1" ht="25" customHeight="1" spans="1:16">
      <c r="A14" s="7">
        <v>9</v>
      </c>
      <c r="B14" s="8" t="s">
        <v>37</v>
      </c>
      <c r="C14" s="10">
        <v>0</v>
      </c>
      <c r="D14" s="10">
        <v>370.64</v>
      </c>
      <c r="E14" s="10">
        <f t="shared" si="1"/>
        <v>370.64</v>
      </c>
      <c r="F14" s="10" t="s">
        <v>35</v>
      </c>
      <c r="G14" s="10">
        <f>209.75+0+0+0+370.64</f>
        <v>580.39</v>
      </c>
      <c r="H14" s="10"/>
      <c r="I14" s="10"/>
      <c r="J14" s="19" t="s">
        <v>38</v>
      </c>
      <c r="K14" s="10">
        <v>0</v>
      </c>
      <c r="L14" s="10">
        <v>2.96</v>
      </c>
      <c r="M14" s="10"/>
      <c r="N14" s="33"/>
      <c r="O14" s="33"/>
      <c r="P14" s="33"/>
    </row>
    <row r="15" s="1" customFormat="1" ht="25" customHeight="1" spans="1:16">
      <c r="A15" s="7">
        <v>10</v>
      </c>
      <c r="B15" s="8" t="s">
        <v>39</v>
      </c>
      <c r="C15" s="10">
        <v>6</v>
      </c>
      <c r="D15" s="10">
        <v>15</v>
      </c>
      <c r="E15" s="10">
        <f t="shared" si="1"/>
        <v>21</v>
      </c>
      <c r="F15" s="10" t="s">
        <v>14</v>
      </c>
      <c r="G15" s="10">
        <f>24+0+0+0+21</f>
        <v>45</v>
      </c>
      <c r="H15" s="10"/>
      <c r="I15" s="10">
        <f>G15/(G3*0.1865)</f>
        <v>13.4048257372654</v>
      </c>
      <c r="J15" s="19" t="s">
        <v>40</v>
      </c>
      <c r="K15" s="20">
        <f>0.641835+0+0+0+1.0970944</f>
        <v>1.7389294</v>
      </c>
      <c r="L15" s="10"/>
      <c r="M15" s="10">
        <f>(C14*K14+L14*D14)/1000</f>
        <v>1.0970944</v>
      </c>
      <c r="N15" s="33"/>
      <c r="O15" s="33"/>
      <c r="P15" s="33"/>
    </row>
    <row r="16" s="1" customFormat="1" ht="25" customHeight="1" spans="1:16">
      <c r="A16" s="7">
        <v>11</v>
      </c>
      <c r="B16" s="8" t="s">
        <v>41</v>
      </c>
      <c r="C16" s="7">
        <v>0</v>
      </c>
      <c r="D16" s="7">
        <v>0</v>
      </c>
      <c r="E16" s="10">
        <f t="shared" si="1"/>
        <v>0</v>
      </c>
      <c r="F16" s="10" t="s">
        <v>14</v>
      </c>
      <c r="G16" s="10">
        <f>0+0+0+0+0</f>
        <v>0</v>
      </c>
      <c r="H16" s="22"/>
      <c r="I16" s="22"/>
      <c r="J16" s="11"/>
      <c r="K16" s="22"/>
      <c r="L16" s="22"/>
      <c r="M16" s="10"/>
      <c r="O16" s="33"/>
      <c r="P16" s="33"/>
    </row>
    <row r="17" s="1" customFormat="1" ht="25" customHeight="1" spans="1:13">
      <c r="A17" s="12">
        <v>12</v>
      </c>
      <c r="B17" s="8" t="s">
        <v>42</v>
      </c>
      <c r="C17" s="10">
        <v>0</v>
      </c>
      <c r="D17" s="7">
        <v>0</v>
      </c>
      <c r="E17" s="10">
        <f t="shared" si="1"/>
        <v>0</v>
      </c>
      <c r="F17" s="10" t="s">
        <v>14</v>
      </c>
      <c r="G17" s="10">
        <f>2+0+0+0+0</f>
        <v>2</v>
      </c>
      <c r="H17" s="22"/>
      <c r="I17" s="10">
        <f>G17/(G3*0.1865)</f>
        <v>0.595770032767352</v>
      </c>
      <c r="J17" s="11"/>
      <c r="K17" s="22"/>
      <c r="L17" s="22"/>
      <c r="M17" s="10"/>
    </row>
    <row r="18" s="1" customFormat="1" ht="25" customHeight="1" spans="1:13">
      <c r="A18" s="7">
        <v>13</v>
      </c>
      <c r="B18" s="8" t="s">
        <v>43</v>
      </c>
      <c r="C18" s="10">
        <v>0</v>
      </c>
      <c r="D18" s="7">
        <v>0</v>
      </c>
      <c r="E18" s="10">
        <f t="shared" si="1"/>
        <v>0</v>
      </c>
      <c r="F18" s="10" t="s">
        <v>14</v>
      </c>
      <c r="G18" s="10">
        <f>2+0+0+0+0</f>
        <v>2</v>
      </c>
      <c r="H18" s="22"/>
      <c r="I18" s="10">
        <f>G18/(G3*0.1865)</f>
        <v>0.595770032767352</v>
      </c>
      <c r="J18" s="11"/>
      <c r="K18" s="22"/>
      <c r="L18" s="22"/>
      <c r="M18" s="10"/>
    </row>
    <row r="19" s="1" customFormat="1" ht="25" customHeight="1" spans="1:13">
      <c r="A19" s="7">
        <v>14</v>
      </c>
      <c r="B19" s="8" t="s">
        <v>44</v>
      </c>
      <c r="C19" s="10">
        <v>2</v>
      </c>
      <c r="D19" s="7">
        <v>1</v>
      </c>
      <c r="E19" s="10">
        <f t="shared" si="1"/>
        <v>3</v>
      </c>
      <c r="F19" s="10" t="s">
        <v>45</v>
      </c>
      <c r="G19" s="10">
        <f>5+0+0+0+3</f>
        <v>8</v>
      </c>
      <c r="H19" s="22"/>
      <c r="I19" s="22"/>
      <c r="J19" s="11"/>
      <c r="K19" s="22"/>
      <c r="L19" s="22"/>
      <c r="M19" s="10"/>
    </row>
    <row r="20" s="1" customFormat="1" ht="25" customHeight="1" spans="1:13">
      <c r="A20" s="7">
        <v>15</v>
      </c>
      <c r="B20" s="8" t="s">
        <v>46</v>
      </c>
      <c r="C20" s="7">
        <v>534</v>
      </c>
      <c r="D20" s="7">
        <v>472</v>
      </c>
      <c r="E20" s="10">
        <f t="shared" si="1"/>
        <v>1006</v>
      </c>
      <c r="F20" s="10" t="s">
        <v>35</v>
      </c>
      <c r="G20" s="10">
        <f>507+0+0+339+1006</f>
        <v>1852</v>
      </c>
      <c r="H20" s="23"/>
      <c r="I20" s="10">
        <f>E20/M20</f>
        <v>41.9166666666667</v>
      </c>
      <c r="J20" s="19" t="s">
        <v>47</v>
      </c>
      <c r="K20" s="10">
        <f>7.5+0+0+6+24</f>
        <v>37.5</v>
      </c>
      <c r="L20" s="10">
        <f>G20/K20</f>
        <v>49.3866666666667</v>
      </c>
      <c r="M20" s="10">
        <v>24</v>
      </c>
    </row>
    <row r="21" s="1" customFormat="1" ht="25" customHeight="1" spans="1:13">
      <c r="A21" s="12">
        <v>16</v>
      </c>
      <c r="B21" s="8" t="s">
        <v>48</v>
      </c>
      <c r="C21" s="7">
        <v>539</v>
      </c>
      <c r="D21" s="7">
        <v>585</v>
      </c>
      <c r="E21" s="10">
        <f t="shared" si="1"/>
        <v>1124</v>
      </c>
      <c r="F21" s="10" t="s">
        <v>35</v>
      </c>
      <c r="G21" s="10">
        <f>547+0+0+662+1124</f>
        <v>2333</v>
      </c>
      <c r="H21" s="22"/>
      <c r="I21" s="10">
        <f>E21/M20</f>
        <v>46.8333333333333</v>
      </c>
      <c r="J21" s="11"/>
      <c r="K21" s="22"/>
      <c r="L21" s="22"/>
      <c r="M21" s="10"/>
    </row>
    <row r="22" s="1" customFormat="1" ht="25" customHeight="1" spans="1:13">
      <c r="A22" s="7">
        <v>17</v>
      </c>
      <c r="B22" s="8" t="s">
        <v>49</v>
      </c>
      <c r="C22" s="12">
        <v>26.07</v>
      </c>
      <c r="D22" s="12">
        <v>27.5</v>
      </c>
      <c r="E22" s="13"/>
      <c r="F22" s="13" t="s">
        <v>50</v>
      </c>
      <c r="G22" s="13"/>
      <c r="H22" s="24"/>
      <c r="I22" s="24"/>
      <c r="J22" s="25"/>
      <c r="K22" s="24"/>
      <c r="L22" s="24"/>
      <c r="M22" s="10"/>
    </row>
    <row r="23" s="1" customFormat="1" ht="80" customHeight="1" spans="1:13">
      <c r="A23" s="7">
        <v>18</v>
      </c>
      <c r="B23" s="26" t="s">
        <v>51</v>
      </c>
      <c r="C23" s="27" t="s">
        <v>93</v>
      </c>
      <c r="D23" s="28"/>
      <c r="E23" s="28"/>
      <c r="F23" s="28"/>
      <c r="G23" s="28"/>
      <c r="H23" s="28"/>
      <c r="I23" s="28"/>
      <c r="J23" s="28"/>
      <c r="K23" s="28"/>
      <c r="L23" s="29"/>
      <c r="M23" s="39"/>
    </row>
    <row r="24" s="1" customFormat="1" ht="120" customHeight="1" spans="1:13">
      <c r="A24" s="7">
        <v>19</v>
      </c>
      <c r="B24" s="31" t="s">
        <v>53</v>
      </c>
      <c r="C24" s="27" t="s">
        <v>94</v>
      </c>
      <c r="D24" s="28"/>
      <c r="E24" s="28"/>
      <c r="F24" s="28"/>
      <c r="G24" s="28"/>
      <c r="H24" s="28"/>
      <c r="I24" s="28"/>
      <c r="J24" s="28"/>
      <c r="K24" s="28"/>
      <c r="L24" s="29"/>
      <c r="M24" s="44"/>
    </row>
    <row r="25" s="1" customFormat="1" ht="80" customHeight="1" spans="1:13">
      <c r="A25" s="7">
        <v>20</v>
      </c>
      <c r="B25" s="31" t="s">
        <v>55</v>
      </c>
      <c r="C25" s="27" t="s">
        <v>85</v>
      </c>
      <c r="D25" s="28"/>
      <c r="E25" s="28"/>
      <c r="F25" s="28"/>
      <c r="G25" s="28"/>
      <c r="H25" s="28"/>
      <c r="I25" s="28"/>
      <c r="J25" s="28"/>
      <c r="K25" s="28"/>
      <c r="L25" s="29"/>
      <c r="M25" s="39"/>
    </row>
    <row r="26" s="1" customFormat="1" ht="14" customHeight="1" spans="1:13">
      <c r="C26" s="33"/>
      <c r="D26" s="33"/>
      <c r="J26" s="34"/>
    </row>
    <row r="27" s="1" customFormat="1" ht="45" customHeight="1" spans="1:13">
      <c r="A27" s="5" t="s">
        <v>95</v>
      </c>
    </row>
    <row r="28" s="1" customFormat="1" ht="30" customHeight="1" spans="1:13">
      <c r="A28" s="6" t="s">
        <v>58</v>
      </c>
      <c r="B28" s="6" t="s">
        <v>59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7">
        <v>1</v>
      </c>
      <c r="B29" s="8" t="s">
        <v>60</v>
      </c>
      <c r="C29" s="10">
        <v>0</v>
      </c>
      <c r="D29" s="10">
        <v>0</v>
      </c>
      <c r="E29" s="10">
        <f t="shared" ref="E29:E35" si="2">D29+C29</f>
        <v>0</v>
      </c>
      <c r="F29" s="10" t="s">
        <v>35</v>
      </c>
      <c r="G29" s="10">
        <f>0+0+0+0+0</f>
        <v>0</v>
      </c>
      <c r="H29" s="10"/>
      <c r="I29" s="10"/>
      <c r="J29" s="11"/>
      <c r="K29" s="22"/>
      <c r="L29" s="22"/>
      <c r="M29" s="10"/>
    </row>
    <row r="30" s="1" customFormat="1" ht="25" customHeight="1" spans="1:13">
      <c r="A30" s="7">
        <v>2</v>
      </c>
      <c r="B30" s="8" t="s">
        <v>61</v>
      </c>
      <c r="C30" s="10">
        <v>0</v>
      </c>
      <c r="D30" s="10">
        <v>0</v>
      </c>
      <c r="E30" s="10">
        <f t="shared" si="2"/>
        <v>0</v>
      </c>
      <c r="F30" s="10" t="s">
        <v>35</v>
      </c>
      <c r="G30" s="10">
        <f>0+0+0+0+0</f>
        <v>0</v>
      </c>
      <c r="H30" s="10"/>
      <c r="I30" s="10"/>
      <c r="J30" s="11"/>
      <c r="K30" s="22"/>
      <c r="L30" s="22"/>
      <c r="M30" s="21"/>
    </row>
    <row r="31" s="1" customFormat="1" ht="25" customHeight="1" spans="1:13">
      <c r="A31" s="7">
        <v>3</v>
      </c>
      <c r="B31" s="8" t="s">
        <v>62</v>
      </c>
      <c r="C31" s="10">
        <v>43.31</v>
      </c>
      <c r="D31" s="10">
        <v>0</v>
      </c>
      <c r="E31" s="10">
        <f t="shared" si="2"/>
        <v>43.31</v>
      </c>
      <c r="F31" s="10" t="s">
        <v>35</v>
      </c>
      <c r="G31" s="10">
        <f>9+33+13+24+43.31</f>
        <v>122.31</v>
      </c>
      <c r="H31" s="10"/>
      <c r="I31" s="10"/>
      <c r="J31" s="11"/>
      <c r="K31" s="22"/>
      <c r="L31" s="22"/>
      <c r="M31" s="21"/>
    </row>
    <row r="32" s="1" customFormat="1" ht="25" customHeight="1" spans="1:13">
      <c r="A32" s="7">
        <v>4</v>
      </c>
      <c r="B32" s="8" t="s">
        <v>31</v>
      </c>
      <c r="C32" s="10">
        <v>0</v>
      </c>
      <c r="D32" s="10">
        <v>0</v>
      </c>
      <c r="E32" s="10">
        <f t="shared" si="2"/>
        <v>0</v>
      </c>
      <c r="F32" s="10" t="s">
        <v>14</v>
      </c>
      <c r="G32" s="10">
        <f>0+0+0+0+0</f>
        <v>0</v>
      </c>
      <c r="H32" s="10"/>
      <c r="J32" s="11"/>
      <c r="K32" s="22"/>
      <c r="L32" s="22"/>
      <c r="M32" s="22"/>
    </row>
    <row r="33" s="1" customFormat="1" ht="25" customHeight="1" spans="1:13">
      <c r="A33" s="7">
        <v>5</v>
      </c>
      <c r="B33" s="8" t="s">
        <v>33</v>
      </c>
      <c r="C33" s="10">
        <v>0</v>
      </c>
      <c r="D33" s="10">
        <v>0</v>
      </c>
      <c r="E33" s="10">
        <f t="shared" si="2"/>
        <v>0</v>
      </c>
      <c r="F33" s="10" t="s">
        <v>14</v>
      </c>
      <c r="G33" s="10">
        <f>0+0+0+0+0</f>
        <v>0</v>
      </c>
      <c r="H33" s="10"/>
      <c r="I33" s="10"/>
      <c r="J33" s="14"/>
      <c r="K33" s="22"/>
      <c r="L33" s="22"/>
      <c r="M33" s="22"/>
    </row>
    <row r="34" s="1" customFormat="1" ht="25" customHeight="1" spans="1:13">
      <c r="A34" s="7">
        <v>6</v>
      </c>
      <c r="B34" s="8" t="s">
        <v>63</v>
      </c>
      <c r="C34" s="10">
        <v>270</v>
      </c>
      <c r="D34" s="10">
        <v>160</v>
      </c>
      <c r="E34" s="10">
        <f t="shared" si="2"/>
        <v>430</v>
      </c>
      <c r="F34" s="10" t="s">
        <v>35</v>
      </c>
      <c r="G34" s="10">
        <f>580+604+307+408+430</f>
        <v>2329</v>
      </c>
      <c r="H34" s="10"/>
      <c r="I34" s="10"/>
      <c r="J34" s="35"/>
      <c r="K34" s="22"/>
      <c r="L34" s="10"/>
      <c r="M34" s="22"/>
    </row>
    <row r="35" s="1" customFormat="1" ht="25" customHeight="1" spans="1:13">
      <c r="A35" s="7">
        <v>7</v>
      </c>
      <c r="B35" s="8" t="s">
        <v>64</v>
      </c>
      <c r="C35" s="10">
        <v>463</v>
      </c>
      <c r="D35" s="10">
        <v>503</v>
      </c>
      <c r="E35" s="10">
        <f t="shared" si="2"/>
        <v>966</v>
      </c>
      <c r="F35" s="10" t="s">
        <v>35</v>
      </c>
      <c r="G35" s="10">
        <f>1010+819+776+499+966</f>
        <v>4070</v>
      </c>
      <c r="H35" s="10"/>
      <c r="I35" s="10"/>
      <c r="J35" s="36"/>
      <c r="K35" s="22"/>
      <c r="L35" s="10"/>
      <c r="M35" s="22"/>
    </row>
    <row r="36" s="1" customFormat="1" ht="25" customHeight="1" spans="1:13">
      <c r="A36" s="7">
        <v>8</v>
      </c>
      <c r="B36" s="8" t="s">
        <v>65</v>
      </c>
      <c r="C36" s="10">
        <v>0</v>
      </c>
      <c r="D36" s="10">
        <v>0</v>
      </c>
      <c r="E36" s="10">
        <f>C36+D36</f>
        <v>0</v>
      </c>
      <c r="F36" s="10" t="s">
        <v>35</v>
      </c>
      <c r="G36" s="10">
        <f>0+0+0+0+0</f>
        <v>0</v>
      </c>
      <c r="H36" s="22"/>
      <c r="I36" s="7">
        <v>1320</v>
      </c>
      <c r="J36" s="14"/>
      <c r="K36" s="37"/>
      <c r="L36" s="27"/>
      <c r="M36" s="38"/>
    </row>
    <row r="37" s="1" customFormat="1" ht="25" customHeight="1" spans="1:13">
      <c r="A37" s="7">
        <v>9</v>
      </c>
      <c r="B37" s="8" t="s">
        <v>66</v>
      </c>
      <c r="C37" s="10">
        <v>0</v>
      </c>
      <c r="D37" s="10">
        <v>0</v>
      </c>
      <c r="E37" s="10">
        <f>C37+D37</f>
        <v>0</v>
      </c>
      <c r="F37" s="10" t="s">
        <v>35</v>
      </c>
      <c r="G37" s="10">
        <f>0+0+0+0+0</f>
        <v>0</v>
      </c>
      <c r="H37" s="22"/>
      <c r="I37" s="7">
        <v>64.2764</v>
      </c>
      <c r="J37" s="35"/>
      <c r="K37" s="37"/>
      <c r="L37" s="27"/>
      <c r="M37" s="38"/>
    </row>
    <row r="38" s="1" customFormat="1" ht="25" customHeight="1" spans="1:13">
      <c r="A38" s="7">
        <v>10</v>
      </c>
      <c r="B38" s="8" t="s">
        <v>67</v>
      </c>
      <c r="C38" s="7">
        <v>0</v>
      </c>
      <c r="D38" s="7">
        <v>0</v>
      </c>
      <c r="E38" s="10">
        <f>D38+C38</f>
        <v>0</v>
      </c>
      <c r="F38" s="10" t="s">
        <v>45</v>
      </c>
      <c r="G38" s="10">
        <f>0+0+2+0+0</f>
        <v>2</v>
      </c>
      <c r="H38" s="22"/>
      <c r="I38" s="10">
        <v>0</v>
      </c>
      <c r="J38" s="35"/>
      <c r="K38" s="27"/>
      <c r="L38" s="19" t="s">
        <v>68</v>
      </c>
      <c r="M38" s="7">
        <v>2</v>
      </c>
    </row>
    <row r="39" s="1" customFormat="1" ht="80" customHeight="1" spans="1:13">
      <c r="A39" s="7">
        <v>11</v>
      </c>
      <c r="B39" s="32" t="s">
        <v>55</v>
      </c>
      <c r="C39" s="27" t="s">
        <v>69</v>
      </c>
      <c r="D39" s="28"/>
      <c r="E39" s="28"/>
      <c r="F39" s="28"/>
      <c r="G39" s="28"/>
      <c r="H39" s="28"/>
      <c r="I39" s="28"/>
      <c r="J39" s="28"/>
      <c r="K39" s="28"/>
      <c r="L39" s="29"/>
      <c r="M39" s="32"/>
    </row>
    <row r="47" s="1" customFormat="1" spans="1:13">
      <c r="C47" s="33"/>
      <c r="D47" s="33"/>
      <c r="J47" s="34"/>
    </row>
    <row r="48" spans="1:13">
      <c r="L48" s="1"/>
    </row>
  </sheetData>
  <mergeCells count="12">
    <mergeCell ref="A1:M1"/>
    <mergeCell ref="C23:L23"/>
    <mergeCell ref="C24:L24"/>
    <mergeCell ref="C25:L25"/>
    <mergeCell ref="A27:M27"/>
    <mergeCell ref="C39:L39"/>
    <mergeCell ref="A5:A8"/>
    <mergeCell ref="H5:H8"/>
    <mergeCell ref="I5:I8"/>
    <mergeCell ref="N4:N5"/>
    <mergeCell ref="N6:N8"/>
    <mergeCell ref="N15:N16"/>
  </mergeCells>
  <pageMargins left="0.75" right="0.75" top="1" bottom="1" header="0.5" footer="0.5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8"/>
  <sheetViews>
    <sheetView zoomScale="85" zoomScaleNormal="85" workbookViewId="0">
      <selection activeCell="J10" sqref="J10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9.7" style="2" customWidth="1"/>
    <col min="15" max="15" width="17.2" style="2" customWidth="1"/>
    <col min="16" max="16" width="15.4333333333333" style="2" customWidth="1"/>
    <col min="17" max="17" width="10.375" style="2" customWidth="1"/>
    <col min="18" max="16384" width="9" style="2" customWidth="1"/>
  </cols>
  <sheetData>
    <row r="1" s="1" customFormat="1" ht="45" customHeight="1" spans="1:16">
      <c r="A1" s="5" t="s">
        <v>96</v>
      </c>
    </row>
    <row r="2" s="1" customFormat="1" ht="30" customHeight="1" spans="1:16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41">
        <v>46178</v>
      </c>
      <c r="O2" s="42"/>
      <c r="P2" s="42"/>
    </row>
    <row r="3" s="1" customFormat="1" ht="38" customHeight="1" spans="1:16">
      <c r="A3" s="7">
        <v>1</v>
      </c>
      <c r="B3" s="8" t="s">
        <v>13</v>
      </c>
      <c r="C3" s="9">
        <v>7</v>
      </c>
      <c r="D3" s="9">
        <v>6</v>
      </c>
      <c r="E3" s="10">
        <f t="shared" ref="E3:E12" si="0">C3+D3</f>
        <v>13</v>
      </c>
      <c r="F3" s="10" t="s">
        <v>14</v>
      </c>
      <c r="G3" s="10">
        <f>12+0+0+0+6+13</f>
        <v>31</v>
      </c>
      <c r="H3" s="10">
        <v>330</v>
      </c>
      <c r="I3" s="10">
        <f>H3-G3</f>
        <v>299</v>
      </c>
      <c r="J3" s="11"/>
      <c r="K3" s="10"/>
      <c r="L3" s="10"/>
      <c r="M3" s="10">
        <f>I3/24</f>
        <v>12.4583333333333</v>
      </c>
      <c r="N3" s="43" t="s">
        <v>15</v>
      </c>
      <c r="O3" s="38" t="s">
        <v>16</v>
      </c>
      <c r="P3" s="38" t="s">
        <v>17</v>
      </c>
    </row>
    <row r="4" s="1" customFormat="1" ht="38" customHeight="1" spans="1:16">
      <c r="A4" s="12">
        <v>2</v>
      </c>
      <c r="B4" s="8" t="s">
        <v>18</v>
      </c>
      <c r="C4" s="9">
        <v>6</v>
      </c>
      <c r="D4" s="9"/>
      <c r="E4" s="10">
        <f t="shared" si="0"/>
        <v>6</v>
      </c>
      <c r="F4" s="10" t="s">
        <v>14</v>
      </c>
      <c r="G4" s="10">
        <f>12+8+0+0+0+6</f>
        <v>26</v>
      </c>
      <c r="H4" s="13"/>
      <c r="I4" s="13"/>
      <c r="J4" s="11"/>
      <c r="K4" s="10"/>
      <c r="L4" s="10"/>
      <c r="M4" s="10"/>
      <c r="N4" s="38" t="s">
        <v>2</v>
      </c>
      <c r="O4" s="38" t="s">
        <v>97</v>
      </c>
      <c r="P4" s="38" t="s">
        <v>20</v>
      </c>
    </row>
    <row r="5" s="1" customFormat="1" ht="38" customHeight="1" spans="1:16">
      <c r="A5" s="12">
        <v>3</v>
      </c>
      <c r="B5" s="8" t="s">
        <v>21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65+0+0+0+0+0</f>
        <v>65</v>
      </c>
      <c r="H5" s="10">
        <v>4950</v>
      </c>
      <c r="I5" s="10">
        <f>H5-G5-G7-G6</f>
        <v>4499</v>
      </c>
      <c r="J5" s="14"/>
      <c r="K5" s="10"/>
      <c r="L5" s="10"/>
      <c r="M5" s="10"/>
      <c r="N5" s="17"/>
      <c r="O5" s="38" t="s">
        <v>98</v>
      </c>
      <c r="P5" s="38" t="s">
        <v>20</v>
      </c>
    </row>
    <row r="6" s="1" customFormat="1" ht="38" customHeight="1" spans="1:16">
      <c r="A6" s="15"/>
      <c r="B6" s="8" t="s">
        <v>23</v>
      </c>
      <c r="C6" s="10">
        <v>90</v>
      </c>
      <c r="D6" s="10">
        <v>104</v>
      </c>
      <c r="E6" s="10">
        <f t="shared" si="0"/>
        <v>194</v>
      </c>
      <c r="F6" s="10" t="s">
        <v>14</v>
      </c>
      <c r="G6" s="10">
        <f>0+0+0+0+183+194</f>
        <v>377</v>
      </c>
      <c r="H6" s="15"/>
      <c r="I6" s="15"/>
      <c r="J6" s="11"/>
      <c r="K6" s="10"/>
      <c r="L6" s="10"/>
      <c r="M6" s="10"/>
      <c r="N6" s="43" t="s">
        <v>3</v>
      </c>
      <c r="O6" s="38" t="s">
        <v>99</v>
      </c>
      <c r="P6" s="38" t="s">
        <v>20</v>
      </c>
    </row>
    <row r="7" s="1" customFormat="1" ht="38" customHeight="1" spans="1:16">
      <c r="A7" s="15"/>
      <c r="B7" s="8" t="s">
        <v>25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0+0+0+8+1+0</f>
        <v>9</v>
      </c>
      <c r="H7" s="15"/>
      <c r="I7" s="15"/>
      <c r="J7" s="11"/>
      <c r="K7" s="10"/>
      <c r="L7" s="10"/>
      <c r="M7" s="10"/>
      <c r="N7" s="45"/>
      <c r="O7" s="38" t="s">
        <v>100</v>
      </c>
      <c r="P7" s="38" t="s">
        <v>20</v>
      </c>
    </row>
    <row r="8" s="1" customFormat="1" ht="38" customHeight="1" spans="1:16">
      <c r="A8" s="15"/>
      <c r="B8" s="8" t="s">
        <v>27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</f>
        <v>0</v>
      </c>
      <c r="H8" s="17"/>
      <c r="I8" s="17"/>
      <c r="J8" s="11"/>
      <c r="K8" s="10"/>
      <c r="L8" s="10"/>
      <c r="M8" s="10"/>
    </row>
    <row r="9" s="1" customFormat="1" ht="25" customHeight="1" spans="1:16">
      <c r="A9" s="12">
        <v>4</v>
      </c>
      <c r="B9" s="18" t="s">
        <v>29</v>
      </c>
      <c r="C9" s="13">
        <v>30.93</v>
      </c>
      <c r="D9" s="13"/>
      <c r="E9" s="10">
        <f t="shared" si="0"/>
        <v>30.93</v>
      </c>
      <c r="F9" s="13" t="s">
        <v>14</v>
      </c>
      <c r="G9" s="10">
        <f>0+31.23+0+31.02+0+30.93</f>
        <v>93.18</v>
      </c>
      <c r="H9" s="13">
        <v>6.08</v>
      </c>
      <c r="I9" s="13">
        <f>H9-K10</f>
        <v>5.297237</v>
      </c>
      <c r="J9" s="19" t="s">
        <v>30</v>
      </c>
      <c r="K9" s="10">
        <v>90</v>
      </c>
      <c r="L9" s="10">
        <v>0.83</v>
      </c>
      <c r="M9" s="20"/>
      <c r="O9" s="33"/>
      <c r="P9" s="33"/>
    </row>
    <row r="10" s="1" customFormat="1" ht="25" customHeight="1" spans="1:16">
      <c r="A10" s="7">
        <v>5</v>
      </c>
      <c r="B10" s="8" t="s">
        <v>31</v>
      </c>
      <c r="C10" s="10">
        <v>7.614</v>
      </c>
      <c r="D10" s="10">
        <v>0</v>
      </c>
      <c r="E10" s="10">
        <f t="shared" si="0"/>
        <v>7.614</v>
      </c>
      <c r="F10" s="10" t="s">
        <v>14</v>
      </c>
      <c r="G10" s="10">
        <f>6.831+0+0+0+6.6555+7.614</f>
        <v>21.1005</v>
      </c>
      <c r="H10" s="10"/>
      <c r="I10" s="10">
        <f>G10/(G3*0.1865)</f>
        <v>3.64965839315057</v>
      </c>
      <c r="J10" s="19" t="s">
        <v>32</v>
      </c>
      <c r="K10" s="20">
        <f>0+0.268578+0+0.257466+0+0.256719</f>
        <v>0.782763</v>
      </c>
      <c r="L10" s="10"/>
      <c r="M10" s="10">
        <f>C9*L9/100</f>
        <v>0.256719</v>
      </c>
      <c r="O10" s="33"/>
      <c r="P10" s="33"/>
    </row>
    <row r="11" s="1" customFormat="1" ht="25" customHeight="1" spans="1:16">
      <c r="A11" s="7">
        <v>6</v>
      </c>
      <c r="B11" s="8" t="s">
        <v>33</v>
      </c>
      <c r="C11" s="10">
        <v>17.5536</v>
      </c>
      <c r="D11" s="10">
        <v>0</v>
      </c>
      <c r="E11" s="10">
        <f t="shared" si="0"/>
        <v>17.5536</v>
      </c>
      <c r="F11" s="10" t="s">
        <v>14</v>
      </c>
      <c r="G11" s="10">
        <f>14.352+0+0+0+6.7344+17.5536</f>
        <v>38.64</v>
      </c>
      <c r="H11" s="10"/>
      <c r="I11" s="10">
        <f>G11/(G3*0.1865)</f>
        <v>6.68338666436046</v>
      </c>
      <c r="J11" s="11"/>
      <c r="K11" s="10"/>
      <c r="L11" s="10"/>
      <c r="M11" s="21"/>
      <c r="O11" s="33"/>
      <c r="P11" s="33"/>
    </row>
    <row r="12" s="1" customFormat="1" ht="25" customHeight="1" spans="1:16">
      <c r="A12" s="7">
        <v>7</v>
      </c>
      <c r="B12" s="8" t="s">
        <v>34</v>
      </c>
      <c r="C12" s="10">
        <v>217</v>
      </c>
      <c r="D12" s="10">
        <v>234</v>
      </c>
      <c r="E12" s="10">
        <f t="shared" si="0"/>
        <v>451</v>
      </c>
      <c r="F12" s="10" t="s">
        <v>35</v>
      </c>
      <c r="G12" s="10">
        <f>472+11+0+16+206+451</f>
        <v>1156</v>
      </c>
      <c r="H12" s="10">
        <f>G12*1.05</f>
        <v>1213.8</v>
      </c>
      <c r="I12" s="10"/>
      <c r="J12" s="11"/>
      <c r="K12" s="10"/>
      <c r="L12" s="10"/>
      <c r="M12" s="21"/>
    </row>
    <row r="13" s="1" customFormat="1" ht="25" customHeight="1" spans="1:16">
      <c r="A13" s="12">
        <v>8</v>
      </c>
      <c r="B13" s="8" t="s">
        <v>36</v>
      </c>
      <c r="C13" s="10">
        <v>198</v>
      </c>
      <c r="D13" s="10">
        <v>222</v>
      </c>
      <c r="E13" s="10">
        <f t="shared" ref="E13:E21" si="1">D13+C13</f>
        <v>420</v>
      </c>
      <c r="F13" s="10" t="s">
        <v>35</v>
      </c>
      <c r="G13" s="10">
        <f>372+0+0+0+195+420</f>
        <v>987</v>
      </c>
      <c r="H13" s="10"/>
      <c r="I13" s="10"/>
      <c r="J13" s="14"/>
      <c r="K13" s="10"/>
      <c r="L13" s="10"/>
      <c r="M13" s="10"/>
      <c r="N13" s="33"/>
      <c r="O13" s="33"/>
      <c r="P13" s="33"/>
    </row>
    <row r="14" s="1" customFormat="1" ht="25" customHeight="1" spans="1:16">
      <c r="A14" s="7">
        <v>9</v>
      </c>
      <c r="B14" s="8" t="s">
        <v>37</v>
      </c>
      <c r="C14" s="10">
        <v>376.92</v>
      </c>
      <c r="D14" s="10">
        <v>356.3</v>
      </c>
      <c r="E14" s="10">
        <f t="shared" si="1"/>
        <v>733.22</v>
      </c>
      <c r="F14" s="10" t="s">
        <v>35</v>
      </c>
      <c r="G14" s="10">
        <f>209.75+0+0+0+370.64+733.22</f>
        <v>1313.61</v>
      </c>
      <c r="H14" s="10"/>
      <c r="I14" s="10"/>
      <c r="J14" s="19" t="s">
        <v>38</v>
      </c>
      <c r="K14" s="10">
        <v>2.99</v>
      </c>
      <c r="L14" s="10">
        <v>3.19</v>
      </c>
      <c r="M14" s="10"/>
      <c r="N14" s="33"/>
      <c r="O14" s="33"/>
      <c r="P14" s="33"/>
    </row>
    <row r="15" s="1" customFormat="1" ht="25" customHeight="1" spans="1:16">
      <c r="A15" s="7">
        <v>10</v>
      </c>
      <c r="B15" s="8" t="s">
        <v>39</v>
      </c>
      <c r="C15" s="10">
        <v>12</v>
      </c>
      <c r="D15" s="10">
        <v>15</v>
      </c>
      <c r="E15" s="10">
        <f t="shared" si="1"/>
        <v>27</v>
      </c>
      <c r="F15" s="10" t="s">
        <v>14</v>
      </c>
      <c r="G15" s="10">
        <f>24+0+0+0+21+27</f>
        <v>72</v>
      </c>
      <c r="H15" s="10"/>
      <c r="I15" s="10">
        <f>G15/(G3*0.1865)</f>
        <v>12.453515523653</v>
      </c>
      <c r="J15" s="19" t="s">
        <v>40</v>
      </c>
      <c r="K15" s="20">
        <f>0.641835+0+0+0+1.0970944+2.2635878</f>
        <v>4.0025172</v>
      </c>
      <c r="L15" s="10"/>
      <c r="M15" s="10">
        <f>(C14*K14+L14*D14)/1000</f>
        <v>2.2635878</v>
      </c>
      <c r="N15" s="33"/>
      <c r="O15" s="33"/>
      <c r="P15" s="33"/>
    </row>
    <row r="16" s="1" customFormat="1" ht="25" customHeight="1" spans="1:16">
      <c r="A16" s="7">
        <v>11</v>
      </c>
      <c r="B16" s="8" t="s">
        <v>41</v>
      </c>
      <c r="C16" s="7">
        <v>0.0875</v>
      </c>
      <c r="D16" s="7">
        <v>0</v>
      </c>
      <c r="E16" s="10">
        <f t="shared" si="1"/>
        <v>0.0875</v>
      </c>
      <c r="F16" s="10" t="s">
        <v>14</v>
      </c>
      <c r="G16" s="10">
        <f>0+0+0+0+0+0.0875</f>
        <v>0.0875</v>
      </c>
      <c r="H16" s="22"/>
      <c r="I16" s="22"/>
      <c r="J16" s="11"/>
      <c r="K16" s="22"/>
      <c r="L16" s="22"/>
      <c r="M16" s="10"/>
      <c r="O16" s="33"/>
      <c r="P16" s="33"/>
    </row>
    <row r="17" s="1" customFormat="1" ht="25" customHeight="1" spans="1:13">
      <c r="A17" s="12">
        <v>12</v>
      </c>
      <c r="B17" s="8" t="s">
        <v>42</v>
      </c>
      <c r="C17" s="10">
        <v>2</v>
      </c>
      <c r="D17" s="7">
        <v>0</v>
      </c>
      <c r="E17" s="10">
        <f t="shared" si="1"/>
        <v>2</v>
      </c>
      <c r="F17" s="10" t="s">
        <v>14</v>
      </c>
      <c r="G17" s="10">
        <f>2+0+0+0+0+2</f>
        <v>4</v>
      </c>
      <c r="H17" s="22"/>
      <c r="I17" s="10">
        <f>G17/(G3*0.1865)</f>
        <v>0.691861973536279</v>
      </c>
      <c r="J17" s="11"/>
      <c r="K17" s="22"/>
      <c r="L17" s="22"/>
      <c r="M17" s="10"/>
    </row>
    <row r="18" s="1" customFormat="1" ht="25" customHeight="1" spans="1:13">
      <c r="A18" s="7">
        <v>13</v>
      </c>
      <c r="B18" s="8" t="s">
        <v>43</v>
      </c>
      <c r="C18" s="10">
        <v>2</v>
      </c>
      <c r="D18" s="7">
        <v>0</v>
      </c>
      <c r="E18" s="10">
        <f t="shared" si="1"/>
        <v>2</v>
      </c>
      <c r="F18" s="10" t="s">
        <v>14</v>
      </c>
      <c r="G18" s="10">
        <f>2+0+0+0+0+2</f>
        <v>4</v>
      </c>
      <c r="H18" s="22"/>
      <c r="I18" s="10">
        <f>G18/(G3*0.1865)</f>
        <v>0.691861973536279</v>
      </c>
      <c r="J18" s="11"/>
      <c r="K18" s="22"/>
      <c r="L18" s="22"/>
      <c r="M18" s="10"/>
    </row>
    <row r="19" s="1" customFormat="1" ht="25" customHeight="1" spans="1:13">
      <c r="A19" s="7">
        <v>14</v>
      </c>
      <c r="B19" s="8" t="s">
        <v>44</v>
      </c>
      <c r="C19" s="10">
        <v>7</v>
      </c>
      <c r="D19" s="7">
        <v>0</v>
      </c>
      <c r="E19" s="10">
        <f t="shared" si="1"/>
        <v>7</v>
      </c>
      <c r="F19" s="10" t="s">
        <v>45</v>
      </c>
      <c r="G19" s="10">
        <f>5+0+0+0+3+7</f>
        <v>15</v>
      </c>
      <c r="H19" s="22"/>
      <c r="I19" s="22"/>
      <c r="J19" s="11"/>
      <c r="K19" s="22"/>
      <c r="L19" s="22"/>
      <c r="M19" s="10"/>
    </row>
    <row r="20" s="1" customFormat="1" ht="25" customHeight="1" spans="1:13">
      <c r="A20" s="7">
        <v>15</v>
      </c>
      <c r="B20" s="8" t="s">
        <v>46</v>
      </c>
      <c r="C20" s="7">
        <v>491</v>
      </c>
      <c r="D20" s="7">
        <v>560</v>
      </c>
      <c r="E20" s="10">
        <f t="shared" si="1"/>
        <v>1051</v>
      </c>
      <c r="F20" s="10" t="s">
        <v>35</v>
      </c>
      <c r="G20" s="10">
        <f>507+0+0+339+1006+1051</f>
        <v>2903</v>
      </c>
      <c r="H20" s="23"/>
      <c r="I20" s="10">
        <f>E20/M20</f>
        <v>43.7916666666667</v>
      </c>
      <c r="J20" s="19" t="s">
        <v>47</v>
      </c>
      <c r="K20" s="10">
        <f>7.5+0+0+6+24+24</f>
        <v>61.5</v>
      </c>
      <c r="L20" s="10">
        <f>G20/K20</f>
        <v>47.2032520325203</v>
      </c>
      <c r="M20" s="10">
        <v>24</v>
      </c>
    </row>
    <row r="21" s="1" customFormat="1" ht="25" customHeight="1" spans="1:13">
      <c r="A21" s="12">
        <v>16</v>
      </c>
      <c r="B21" s="8" t="s">
        <v>48</v>
      </c>
      <c r="C21" s="7">
        <v>646</v>
      </c>
      <c r="D21" s="7">
        <v>746</v>
      </c>
      <c r="E21" s="10">
        <f t="shared" si="1"/>
        <v>1392</v>
      </c>
      <c r="F21" s="10" t="s">
        <v>35</v>
      </c>
      <c r="G21" s="10">
        <f>547+0+0+662+1124+1392</f>
        <v>3725</v>
      </c>
      <c r="H21" s="22"/>
      <c r="I21" s="10">
        <f>E21/M20</f>
        <v>58</v>
      </c>
      <c r="J21" s="11"/>
      <c r="K21" s="22"/>
      <c r="L21" s="22"/>
      <c r="M21" s="10"/>
    </row>
    <row r="22" s="1" customFormat="1" ht="25" customHeight="1" spans="1:13">
      <c r="A22" s="7">
        <v>17</v>
      </c>
      <c r="B22" s="8" t="s">
        <v>49</v>
      </c>
      <c r="C22" s="12">
        <v>32.87</v>
      </c>
      <c r="D22" s="12">
        <v>30.24</v>
      </c>
      <c r="E22" s="13"/>
      <c r="F22" s="13" t="s">
        <v>50</v>
      </c>
      <c r="G22" s="13"/>
      <c r="H22" s="24"/>
      <c r="I22" s="24"/>
      <c r="J22" s="25"/>
      <c r="K22" s="24"/>
      <c r="L22" s="24"/>
      <c r="M22" s="10"/>
    </row>
    <row r="23" s="1" customFormat="1" ht="80" customHeight="1" spans="1:13">
      <c r="A23" s="7">
        <v>18</v>
      </c>
      <c r="B23" s="26" t="s">
        <v>51</v>
      </c>
      <c r="C23" s="27" t="s">
        <v>52</v>
      </c>
      <c r="D23" s="28"/>
      <c r="E23" s="28"/>
      <c r="F23" s="28"/>
      <c r="G23" s="28"/>
      <c r="H23" s="28"/>
      <c r="I23" s="28"/>
      <c r="J23" s="28"/>
      <c r="K23" s="28"/>
      <c r="L23" s="29"/>
      <c r="M23" s="39"/>
    </row>
    <row r="24" s="1" customFormat="1" ht="120" customHeight="1" spans="1:13">
      <c r="A24" s="7">
        <v>19</v>
      </c>
      <c r="B24" s="31" t="s">
        <v>53</v>
      </c>
      <c r="C24" s="27" t="s">
        <v>101</v>
      </c>
      <c r="D24" s="28"/>
      <c r="E24" s="28"/>
      <c r="F24" s="28"/>
      <c r="G24" s="28"/>
      <c r="H24" s="28"/>
      <c r="I24" s="28"/>
      <c r="J24" s="28"/>
      <c r="K24" s="28"/>
      <c r="L24" s="29"/>
      <c r="M24" s="44"/>
    </row>
    <row r="25" s="1" customFormat="1" ht="80" customHeight="1" spans="1:13">
      <c r="A25" s="7">
        <v>20</v>
      </c>
      <c r="B25" s="31" t="s">
        <v>55</v>
      </c>
      <c r="C25" s="27" t="s">
        <v>85</v>
      </c>
      <c r="D25" s="28"/>
      <c r="E25" s="28"/>
      <c r="F25" s="28"/>
      <c r="G25" s="28"/>
      <c r="H25" s="28"/>
      <c r="I25" s="28"/>
      <c r="J25" s="28"/>
      <c r="K25" s="28"/>
      <c r="L25" s="29"/>
      <c r="M25" s="39"/>
    </row>
    <row r="26" s="1" customFormat="1" ht="14" customHeight="1" spans="1:13">
      <c r="C26" s="33"/>
      <c r="D26" s="33"/>
      <c r="J26" s="34"/>
    </row>
    <row r="27" s="1" customFormat="1" ht="45" customHeight="1" spans="1:13">
      <c r="A27" s="5" t="s">
        <v>102</v>
      </c>
    </row>
    <row r="28" s="1" customFormat="1" ht="30" customHeight="1" spans="1:13">
      <c r="A28" s="6" t="s">
        <v>58</v>
      </c>
      <c r="B28" s="6" t="s">
        <v>59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7">
        <v>1</v>
      </c>
      <c r="B29" s="8" t="s">
        <v>60</v>
      </c>
      <c r="C29" s="10">
        <v>0</v>
      </c>
      <c r="D29" s="10">
        <v>0</v>
      </c>
      <c r="E29" s="10">
        <f t="shared" ref="E29:E35" si="2">D29+C29</f>
        <v>0</v>
      </c>
      <c r="F29" s="10" t="s">
        <v>35</v>
      </c>
      <c r="G29" s="10">
        <f>0+0+0+0+0+0</f>
        <v>0</v>
      </c>
      <c r="H29" s="10"/>
      <c r="I29" s="10"/>
      <c r="J29" s="11"/>
      <c r="K29" s="22"/>
      <c r="L29" s="22"/>
      <c r="M29" s="10"/>
    </row>
    <row r="30" s="1" customFormat="1" ht="25" customHeight="1" spans="1:13">
      <c r="A30" s="7">
        <v>2</v>
      </c>
      <c r="B30" s="8" t="s">
        <v>61</v>
      </c>
      <c r="C30" s="10">
        <v>0</v>
      </c>
      <c r="D30" s="10">
        <v>0</v>
      </c>
      <c r="E30" s="10">
        <f t="shared" si="2"/>
        <v>0</v>
      </c>
      <c r="F30" s="10" t="s">
        <v>35</v>
      </c>
      <c r="G30" s="10">
        <f>0+0+0+0+0+0</f>
        <v>0</v>
      </c>
      <c r="H30" s="10"/>
      <c r="I30" s="10"/>
      <c r="J30" s="11"/>
      <c r="K30" s="22"/>
      <c r="L30" s="22"/>
      <c r="M30" s="21"/>
    </row>
    <row r="31" s="1" customFormat="1" ht="25" customHeight="1" spans="1:13">
      <c r="A31" s="7">
        <v>3</v>
      </c>
      <c r="B31" s="8" t="s">
        <v>62</v>
      </c>
      <c r="C31" s="10">
        <v>28</v>
      </c>
      <c r="D31" s="10">
        <v>10</v>
      </c>
      <c r="E31" s="10">
        <f t="shared" si="2"/>
        <v>38</v>
      </c>
      <c r="F31" s="10" t="s">
        <v>35</v>
      </c>
      <c r="G31" s="10">
        <f>9+33+13+24+43.31+38</f>
        <v>160.31</v>
      </c>
      <c r="H31" s="10"/>
      <c r="I31" s="10"/>
      <c r="J31" s="11"/>
      <c r="K31" s="22"/>
      <c r="L31" s="22"/>
      <c r="M31" s="21"/>
    </row>
    <row r="32" s="1" customFormat="1" ht="25" customHeight="1" spans="1:13">
      <c r="A32" s="7">
        <v>4</v>
      </c>
      <c r="B32" s="8" t="s">
        <v>31</v>
      </c>
      <c r="C32" s="10">
        <v>0</v>
      </c>
      <c r="D32" s="10">
        <v>0</v>
      </c>
      <c r="E32" s="10">
        <f t="shared" si="2"/>
        <v>0</v>
      </c>
      <c r="F32" s="10" t="s">
        <v>14</v>
      </c>
      <c r="G32" s="10">
        <f>0+0+0+0+0+0</f>
        <v>0</v>
      </c>
      <c r="H32" s="10"/>
      <c r="J32" s="11"/>
      <c r="K32" s="22"/>
      <c r="L32" s="22"/>
      <c r="M32" s="22"/>
    </row>
    <row r="33" s="1" customFormat="1" ht="25" customHeight="1" spans="1:13">
      <c r="A33" s="7">
        <v>5</v>
      </c>
      <c r="B33" s="8" t="s">
        <v>33</v>
      </c>
      <c r="C33" s="10">
        <v>0</v>
      </c>
      <c r="D33" s="10">
        <v>0</v>
      </c>
      <c r="E33" s="10">
        <f t="shared" si="2"/>
        <v>0</v>
      </c>
      <c r="F33" s="10" t="s">
        <v>14</v>
      </c>
      <c r="G33" s="10">
        <f>0+0+0+0+0+0</f>
        <v>0</v>
      </c>
      <c r="H33" s="10"/>
      <c r="I33" s="10"/>
      <c r="J33" s="14"/>
      <c r="K33" s="22"/>
      <c r="L33" s="22"/>
      <c r="M33" s="22"/>
    </row>
    <row r="34" s="1" customFormat="1" ht="25" customHeight="1" spans="1:13">
      <c r="A34" s="7">
        <v>6</v>
      </c>
      <c r="B34" s="8" t="s">
        <v>63</v>
      </c>
      <c r="C34" s="10">
        <v>105</v>
      </c>
      <c r="D34" s="10">
        <v>110</v>
      </c>
      <c r="E34" s="10">
        <f t="shared" si="2"/>
        <v>215</v>
      </c>
      <c r="F34" s="10" t="s">
        <v>35</v>
      </c>
      <c r="G34" s="10">
        <f>580+604+307+408+430+215</f>
        <v>2544</v>
      </c>
      <c r="H34" s="10"/>
      <c r="I34" s="10"/>
      <c r="J34" s="35"/>
      <c r="K34" s="22"/>
      <c r="L34" s="10"/>
      <c r="M34" s="22"/>
    </row>
    <row r="35" s="1" customFormat="1" ht="25" customHeight="1" spans="1:13">
      <c r="A35" s="7">
        <v>7</v>
      </c>
      <c r="B35" s="8" t="s">
        <v>64</v>
      </c>
      <c r="C35" s="10">
        <v>504</v>
      </c>
      <c r="D35" s="10">
        <v>504</v>
      </c>
      <c r="E35" s="10">
        <f t="shared" si="2"/>
        <v>1008</v>
      </c>
      <c r="F35" s="10" t="s">
        <v>35</v>
      </c>
      <c r="G35" s="10">
        <f>1010+819+776+499+966+1008</f>
        <v>5078</v>
      </c>
      <c r="H35" s="10"/>
      <c r="I35" s="10"/>
      <c r="J35" s="36"/>
      <c r="K35" s="22"/>
      <c r="L35" s="10"/>
      <c r="M35" s="22"/>
    </row>
    <row r="36" s="1" customFormat="1" ht="25" customHeight="1" spans="1:13">
      <c r="A36" s="7">
        <v>8</v>
      </c>
      <c r="B36" s="8" t="s">
        <v>65</v>
      </c>
      <c r="C36" s="10">
        <v>0</v>
      </c>
      <c r="D36" s="10">
        <v>0</v>
      </c>
      <c r="E36" s="10">
        <f>C36+D36</f>
        <v>0</v>
      </c>
      <c r="F36" s="10" t="s">
        <v>35</v>
      </c>
      <c r="G36" s="10">
        <f>0+0+0+0+0+0</f>
        <v>0</v>
      </c>
      <c r="H36" s="22"/>
      <c r="I36" s="7">
        <v>765</v>
      </c>
      <c r="J36" s="14"/>
      <c r="K36" s="37"/>
      <c r="L36" s="27"/>
      <c r="M36" s="38"/>
    </row>
    <row r="37" s="1" customFormat="1" ht="25" customHeight="1" spans="1:13">
      <c r="A37" s="7">
        <v>9</v>
      </c>
      <c r="B37" s="8" t="s">
        <v>66</v>
      </c>
      <c r="C37" s="10">
        <v>0</v>
      </c>
      <c r="D37" s="10">
        <v>0</v>
      </c>
      <c r="E37" s="10">
        <f>C37+D37</f>
        <v>0</v>
      </c>
      <c r="F37" s="10" t="s">
        <v>35</v>
      </c>
      <c r="G37" s="10">
        <f>0+0+0+0+0+0</f>
        <v>0</v>
      </c>
      <c r="H37" s="22"/>
      <c r="I37" s="7">
        <v>64.2764</v>
      </c>
      <c r="J37" s="35"/>
      <c r="K37" s="37"/>
      <c r="L37" s="27"/>
      <c r="M37" s="38"/>
    </row>
    <row r="38" s="1" customFormat="1" ht="25" customHeight="1" spans="1:13">
      <c r="A38" s="7">
        <v>10</v>
      </c>
      <c r="B38" s="8" t="s">
        <v>67</v>
      </c>
      <c r="C38" s="7">
        <v>0</v>
      </c>
      <c r="D38" s="7">
        <v>0</v>
      </c>
      <c r="E38" s="10">
        <f>D38+C38</f>
        <v>0</v>
      </c>
      <c r="F38" s="10" t="s">
        <v>45</v>
      </c>
      <c r="G38" s="10">
        <f>0+0+2+0+0+0</f>
        <v>2</v>
      </c>
      <c r="H38" s="22"/>
      <c r="I38" s="10">
        <v>0</v>
      </c>
      <c r="J38" s="35"/>
      <c r="K38" s="27"/>
      <c r="L38" s="19" t="s">
        <v>68</v>
      </c>
      <c r="M38" s="7">
        <v>2</v>
      </c>
    </row>
    <row r="39" s="1" customFormat="1" ht="80" customHeight="1" spans="1:13">
      <c r="A39" s="7">
        <v>11</v>
      </c>
      <c r="B39" s="32" t="s">
        <v>55</v>
      </c>
      <c r="C39" s="27" t="s">
        <v>69</v>
      </c>
      <c r="D39" s="28"/>
      <c r="E39" s="28"/>
      <c r="F39" s="28"/>
      <c r="G39" s="28"/>
      <c r="H39" s="28"/>
      <c r="I39" s="28"/>
      <c r="J39" s="28"/>
      <c r="K39" s="28"/>
      <c r="L39" s="29"/>
      <c r="M39" s="32"/>
    </row>
    <row r="47" s="1" customFormat="1" spans="1:13">
      <c r="C47" s="33"/>
      <c r="D47" s="33"/>
      <c r="J47" s="34"/>
    </row>
    <row r="48" spans="1:13">
      <c r="L48" s="1"/>
    </row>
  </sheetData>
  <mergeCells count="12">
    <mergeCell ref="A1:M1"/>
    <mergeCell ref="C23:L23"/>
    <mergeCell ref="C24:L24"/>
    <mergeCell ref="C25:L25"/>
    <mergeCell ref="A27:M27"/>
    <mergeCell ref="C39:L39"/>
    <mergeCell ref="A5:A8"/>
    <mergeCell ref="H5:H8"/>
    <mergeCell ref="I5:I8"/>
    <mergeCell ref="N4:N5"/>
    <mergeCell ref="N6:N7"/>
    <mergeCell ref="N15:N16"/>
  </mergeCells>
  <pageMargins left="0.75" right="0.75" top="1" bottom="1" header="0.5" footer="0.5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8"/>
  <sheetViews>
    <sheetView zoomScale="85" zoomScaleNormal="85" workbookViewId="0">
      <selection activeCell="J10" sqref="J10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9.7" style="2" customWidth="1"/>
    <col min="15" max="15" width="17.2" style="2" customWidth="1"/>
    <col min="16" max="16" width="15.4333333333333" style="2" customWidth="1"/>
    <col min="17" max="17" width="10.375" style="2" customWidth="1"/>
    <col min="18" max="16384" width="9" style="2" customWidth="1"/>
  </cols>
  <sheetData>
    <row r="1" s="1" customFormat="1" ht="45" customHeight="1" spans="1:16">
      <c r="A1" s="5" t="s">
        <v>103</v>
      </c>
    </row>
    <row r="2" s="1" customFormat="1" ht="30" customHeight="1" spans="1:16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41">
        <v>46179</v>
      </c>
      <c r="O2" s="42"/>
      <c r="P2" s="42"/>
    </row>
    <row r="3" s="1" customFormat="1" ht="38" customHeight="1" spans="1:16">
      <c r="A3" s="7">
        <v>1</v>
      </c>
      <c r="B3" s="8" t="s">
        <v>13</v>
      </c>
      <c r="C3" s="9">
        <v>6</v>
      </c>
      <c r="D3" s="9">
        <v>7</v>
      </c>
      <c r="E3" s="10">
        <f t="shared" ref="E3:E12" si="0">C3+D3</f>
        <v>13</v>
      </c>
      <c r="F3" s="10" t="s">
        <v>14</v>
      </c>
      <c r="G3" s="10">
        <f>12+0+0+0+6+13+13</f>
        <v>44</v>
      </c>
      <c r="H3" s="10">
        <v>330</v>
      </c>
      <c r="I3" s="10">
        <f>H3-G3</f>
        <v>286</v>
      </c>
      <c r="J3" s="11"/>
      <c r="K3" s="10"/>
      <c r="L3" s="10"/>
      <c r="M3" s="10">
        <f>I3/23</f>
        <v>12.4347826086957</v>
      </c>
      <c r="N3" s="43" t="s">
        <v>15</v>
      </c>
      <c r="O3" s="38" t="s">
        <v>16</v>
      </c>
      <c r="P3" s="38" t="s">
        <v>17</v>
      </c>
    </row>
    <row r="4" s="1" customFormat="1" ht="38" customHeight="1" spans="1:16">
      <c r="A4" s="12">
        <v>2</v>
      </c>
      <c r="B4" s="8" t="s">
        <v>18</v>
      </c>
      <c r="C4" s="9">
        <v>14</v>
      </c>
      <c r="D4" s="9"/>
      <c r="E4" s="10">
        <f t="shared" si="0"/>
        <v>14</v>
      </c>
      <c r="F4" s="10" t="s">
        <v>14</v>
      </c>
      <c r="G4" s="10">
        <f>12+8+0+0+0+6+14</f>
        <v>40</v>
      </c>
      <c r="H4" s="13"/>
      <c r="I4" s="13"/>
      <c r="J4" s="11"/>
      <c r="K4" s="10"/>
      <c r="L4" s="10"/>
      <c r="M4" s="10"/>
      <c r="N4" s="38" t="s">
        <v>2</v>
      </c>
      <c r="O4" s="38" t="s">
        <v>104</v>
      </c>
      <c r="P4" s="38" t="s">
        <v>20</v>
      </c>
    </row>
    <row r="5" s="1" customFormat="1" ht="38" customHeight="1" spans="1:16">
      <c r="A5" s="12">
        <v>3</v>
      </c>
      <c r="B5" s="8" t="s">
        <v>21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65+0+0+0+0+0+0</f>
        <v>65</v>
      </c>
      <c r="H5" s="10">
        <v>4950</v>
      </c>
      <c r="I5" s="10">
        <f>H5-G5-G7-G6</f>
        <v>4325</v>
      </c>
      <c r="J5" s="14"/>
      <c r="K5" s="10"/>
      <c r="L5" s="10"/>
      <c r="M5" s="10"/>
      <c r="N5" s="17"/>
      <c r="O5" s="38" t="s">
        <v>105</v>
      </c>
      <c r="P5" s="38" t="s">
        <v>20</v>
      </c>
    </row>
    <row r="6" s="1" customFormat="1" ht="38" customHeight="1" spans="1:16">
      <c r="A6" s="15"/>
      <c r="B6" s="8" t="s">
        <v>23</v>
      </c>
      <c r="C6" s="10">
        <v>77</v>
      </c>
      <c r="D6" s="10">
        <v>97</v>
      </c>
      <c r="E6" s="10">
        <f t="shared" si="0"/>
        <v>174</v>
      </c>
      <c r="F6" s="10" t="s">
        <v>14</v>
      </c>
      <c r="G6" s="10">
        <f>0+0+0+0+183+194+174</f>
        <v>551</v>
      </c>
      <c r="H6" s="15"/>
      <c r="I6" s="15"/>
      <c r="J6" s="11"/>
      <c r="K6" s="10"/>
      <c r="L6" s="10"/>
      <c r="M6" s="10"/>
      <c r="N6" s="43" t="s">
        <v>3</v>
      </c>
      <c r="O6" s="38" t="s">
        <v>106</v>
      </c>
      <c r="P6" s="38" t="s">
        <v>20</v>
      </c>
    </row>
    <row r="7" s="1" customFormat="1" ht="38" customHeight="1" spans="1:16">
      <c r="A7" s="15"/>
      <c r="B7" s="8" t="s">
        <v>25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0+0+0+8+1+0+0</f>
        <v>9</v>
      </c>
      <c r="H7" s="15"/>
      <c r="I7" s="15"/>
      <c r="J7" s="11"/>
      <c r="K7" s="10"/>
      <c r="L7" s="10"/>
      <c r="M7" s="10"/>
      <c r="N7" s="45"/>
      <c r="O7" s="38" t="s">
        <v>107</v>
      </c>
      <c r="P7" s="38" t="s">
        <v>20</v>
      </c>
    </row>
    <row r="8" s="1" customFormat="1" ht="38" customHeight="1" spans="1:16">
      <c r="A8" s="15"/>
      <c r="B8" s="8" t="s">
        <v>27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</f>
        <v>0</v>
      </c>
      <c r="H8" s="17"/>
      <c r="I8" s="17"/>
      <c r="J8" s="11"/>
      <c r="K8" s="10"/>
      <c r="L8" s="10"/>
      <c r="M8" s="10"/>
    </row>
    <row r="9" s="1" customFormat="1" ht="25" customHeight="1" spans="1:16">
      <c r="A9" s="12">
        <v>4</v>
      </c>
      <c r="B9" s="18" t="s">
        <v>29</v>
      </c>
      <c r="C9" s="13">
        <v>30.89</v>
      </c>
      <c r="D9" s="13"/>
      <c r="E9" s="10">
        <f t="shared" si="0"/>
        <v>30.89</v>
      </c>
      <c r="F9" s="13" t="s">
        <v>14</v>
      </c>
      <c r="G9" s="10">
        <f>0+31.23+0+31.02+0+30.93+30.89</f>
        <v>124.07</v>
      </c>
      <c r="H9" s="13">
        <v>6.08</v>
      </c>
      <c r="I9" s="13">
        <f>H9-K10</f>
        <v>5.043939</v>
      </c>
      <c r="J9" s="19" t="s">
        <v>30</v>
      </c>
      <c r="K9" s="10">
        <v>25</v>
      </c>
      <c r="L9" s="10">
        <v>0.82</v>
      </c>
      <c r="M9" s="20"/>
      <c r="O9" s="33"/>
      <c r="P9" s="33"/>
    </row>
    <row r="10" s="1" customFormat="1" ht="25" customHeight="1" spans="1:16">
      <c r="A10" s="7">
        <v>5</v>
      </c>
      <c r="B10" s="8" t="s">
        <v>31</v>
      </c>
      <c r="C10" s="10">
        <v>11.556</v>
      </c>
      <c r="D10" s="10">
        <v>3.402</v>
      </c>
      <c r="E10" s="10">
        <f t="shared" si="0"/>
        <v>14.958</v>
      </c>
      <c r="F10" s="10" t="s">
        <v>14</v>
      </c>
      <c r="G10" s="10">
        <f>6.831+0+0+0+6.6555+7.614+14.958</f>
        <v>36.0585</v>
      </c>
      <c r="H10" s="10"/>
      <c r="I10" s="10">
        <f>G10/(G3*0.1865)</f>
        <v>4.39416280770168</v>
      </c>
      <c r="J10" s="19" t="s">
        <v>32</v>
      </c>
      <c r="K10" s="20">
        <f>0+0.268578+0+0.257466+0+0.256719+0.253298</f>
        <v>1.036061</v>
      </c>
      <c r="L10" s="10"/>
      <c r="M10" s="10">
        <f>C9*L9/100</f>
        <v>0.253298</v>
      </c>
      <c r="O10" s="33"/>
      <c r="P10" s="33"/>
    </row>
    <row r="11" s="1" customFormat="1" ht="25" customHeight="1" spans="1:16">
      <c r="A11" s="7">
        <v>6</v>
      </c>
      <c r="B11" s="8" t="s">
        <v>33</v>
      </c>
      <c r="C11" s="10">
        <v>13.2664</v>
      </c>
      <c r="D11" s="10">
        <v>0</v>
      </c>
      <c r="E11" s="10">
        <f t="shared" si="0"/>
        <v>13.2664</v>
      </c>
      <c r="F11" s="10" t="s">
        <v>14</v>
      </c>
      <c r="G11" s="10">
        <f>14.352+0+0+0+6.7344+17.5536+13.2664</f>
        <v>51.9064</v>
      </c>
      <c r="H11" s="10"/>
      <c r="I11" s="10">
        <f>G11/(G3*0.1865)</f>
        <v>6.32542042407994</v>
      </c>
      <c r="J11" s="11"/>
      <c r="K11" s="10"/>
      <c r="L11" s="10"/>
      <c r="M11" s="21"/>
      <c r="O11" s="33"/>
      <c r="P11" s="33"/>
    </row>
    <row r="12" s="1" customFormat="1" ht="25" customHeight="1" spans="1:16">
      <c r="A12" s="7">
        <v>7</v>
      </c>
      <c r="B12" s="8" t="s">
        <v>34</v>
      </c>
      <c r="C12" s="10">
        <v>234</v>
      </c>
      <c r="D12" s="10">
        <v>220</v>
      </c>
      <c r="E12" s="10">
        <f t="shared" si="0"/>
        <v>454</v>
      </c>
      <c r="F12" s="10" t="s">
        <v>35</v>
      </c>
      <c r="G12" s="10">
        <f>472+11+0+16+206+451+454</f>
        <v>1610</v>
      </c>
      <c r="H12" s="10">
        <f>G12*1.05</f>
        <v>1690.5</v>
      </c>
      <c r="I12" s="10"/>
      <c r="J12" s="11"/>
      <c r="K12" s="10"/>
      <c r="L12" s="10"/>
      <c r="M12" s="21"/>
    </row>
    <row r="13" s="1" customFormat="1" ht="25" customHeight="1" spans="1:16">
      <c r="A13" s="12">
        <v>8</v>
      </c>
      <c r="B13" s="8" t="s">
        <v>36</v>
      </c>
      <c r="C13" s="10">
        <v>201</v>
      </c>
      <c r="D13" s="10">
        <v>216</v>
      </c>
      <c r="E13" s="10">
        <f t="shared" ref="E13:E21" si="1">D13+C13</f>
        <v>417</v>
      </c>
      <c r="F13" s="10" t="s">
        <v>35</v>
      </c>
      <c r="G13" s="10">
        <f>372+0+0+0+195+420+417</f>
        <v>1404</v>
      </c>
      <c r="H13" s="10"/>
      <c r="I13" s="10"/>
      <c r="J13" s="14"/>
      <c r="K13" s="10"/>
      <c r="L13" s="10"/>
      <c r="M13" s="10"/>
      <c r="N13" s="33"/>
      <c r="O13" s="33"/>
      <c r="P13" s="33"/>
    </row>
    <row r="14" s="1" customFormat="1" ht="25" customHeight="1" spans="1:16">
      <c r="A14" s="7">
        <v>9</v>
      </c>
      <c r="B14" s="8" t="s">
        <v>37</v>
      </c>
      <c r="C14" s="10">
        <v>449.89</v>
      </c>
      <c r="D14" s="10">
        <v>436.55</v>
      </c>
      <c r="E14" s="10">
        <f t="shared" si="1"/>
        <v>886.44</v>
      </c>
      <c r="F14" s="10" t="s">
        <v>35</v>
      </c>
      <c r="G14" s="10">
        <f>209.75+0+0+0+370.64+733.22+886.44</f>
        <v>2200.05</v>
      </c>
      <c r="H14" s="10"/>
      <c r="I14" s="10"/>
      <c r="J14" s="19" t="s">
        <v>38</v>
      </c>
      <c r="K14" s="10">
        <v>3.1</v>
      </c>
      <c r="L14" s="10">
        <v>3.45</v>
      </c>
      <c r="M14" s="10"/>
      <c r="N14" s="33"/>
      <c r="O14" s="33"/>
      <c r="P14" s="33"/>
    </row>
    <row r="15" s="1" customFormat="1" ht="25" customHeight="1" spans="1:16">
      <c r="A15" s="7">
        <v>10</v>
      </c>
      <c r="B15" s="8" t="s">
        <v>39</v>
      </c>
      <c r="C15" s="10">
        <v>18</v>
      </c>
      <c r="D15" s="10">
        <v>15</v>
      </c>
      <c r="E15" s="10">
        <f t="shared" si="1"/>
        <v>33</v>
      </c>
      <c r="F15" s="10" t="s">
        <v>14</v>
      </c>
      <c r="G15" s="10">
        <f>24+0+0+0+21+27+33</f>
        <v>105</v>
      </c>
      <c r="H15" s="10"/>
      <c r="I15" s="10">
        <f>G15/(G3*0.1865)</f>
        <v>12.7955154764806</v>
      </c>
      <c r="J15" s="19" t="s">
        <v>40</v>
      </c>
      <c r="K15" s="20">
        <f>0.641835+0+0+0+1.0970944+2.2635878+2.9007565</f>
        <v>6.9032737</v>
      </c>
      <c r="L15" s="10"/>
      <c r="M15" s="10">
        <f>(C14*K14+L14*D14)/1000</f>
        <v>2.9007565</v>
      </c>
      <c r="N15" s="33"/>
      <c r="O15" s="33"/>
      <c r="P15" s="33"/>
    </row>
    <row r="16" s="1" customFormat="1" ht="25" customHeight="1" spans="1:16">
      <c r="A16" s="7">
        <v>11</v>
      </c>
      <c r="B16" s="8" t="s">
        <v>41</v>
      </c>
      <c r="C16" s="7">
        <v>0</v>
      </c>
      <c r="D16" s="7">
        <v>0</v>
      </c>
      <c r="E16" s="10">
        <f t="shared" si="1"/>
        <v>0</v>
      </c>
      <c r="F16" s="10" t="s">
        <v>14</v>
      </c>
      <c r="G16" s="10">
        <f>0+0+0+0+0+0.0875+0</f>
        <v>0.0875</v>
      </c>
      <c r="H16" s="22"/>
      <c r="I16" s="22"/>
      <c r="J16" s="11"/>
      <c r="K16" s="22"/>
      <c r="L16" s="22"/>
      <c r="M16" s="10"/>
      <c r="O16" s="33"/>
      <c r="P16" s="33"/>
    </row>
    <row r="17" s="1" customFormat="1" ht="25" customHeight="1" spans="1:13">
      <c r="A17" s="12">
        <v>12</v>
      </c>
      <c r="B17" s="8" t="s">
        <v>42</v>
      </c>
      <c r="C17" s="10">
        <v>0</v>
      </c>
      <c r="D17" s="7">
        <v>0</v>
      </c>
      <c r="E17" s="10">
        <f t="shared" si="1"/>
        <v>0</v>
      </c>
      <c r="F17" s="10" t="s">
        <v>14</v>
      </c>
      <c r="G17" s="10">
        <f>2+0+0+0+0+2+0</f>
        <v>4</v>
      </c>
      <c r="H17" s="22"/>
      <c r="I17" s="10">
        <f>G17/(G3*0.1865)</f>
        <v>0.487448208627833</v>
      </c>
      <c r="J17" s="11"/>
      <c r="K17" s="22"/>
      <c r="L17" s="22"/>
      <c r="M17" s="10"/>
    </row>
    <row r="18" s="1" customFormat="1" ht="25" customHeight="1" spans="1:13">
      <c r="A18" s="7">
        <v>13</v>
      </c>
      <c r="B18" s="8" t="s">
        <v>43</v>
      </c>
      <c r="C18" s="10">
        <v>0</v>
      </c>
      <c r="D18" s="7">
        <v>0</v>
      </c>
      <c r="E18" s="10">
        <f t="shared" si="1"/>
        <v>0</v>
      </c>
      <c r="F18" s="10" t="s">
        <v>14</v>
      </c>
      <c r="G18" s="10">
        <f>2+0+0+0+0+2+0</f>
        <v>4</v>
      </c>
      <c r="H18" s="22"/>
      <c r="I18" s="10">
        <f>G18/(G3*0.1865)</f>
        <v>0.487448208627833</v>
      </c>
      <c r="J18" s="11"/>
      <c r="K18" s="22"/>
      <c r="L18" s="22"/>
      <c r="M18" s="10"/>
    </row>
    <row r="19" s="1" customFormat="1" ht="25" customHeight="1" spans="1:13">
      <c r="A19" s="7">
        <v>14</v>
      </c>
      <c r="B19" s="8" t="s">
        <v>44</v>
      </c>
      <c r="C19" s="10">
        <v>5</v>
      </c>
      <c r="D19" s="7">
        <v>3</v>
      </c>
      <c r="E19" s="10">
        <f t="shared" si="1"/>
        <v>8</v>
      </c>
      <c r="F19" s="10" t="s">
        <v>45</v>
      </c>
      <c r="G19" s="10">
        <f>5+0+0+0+3+7+8</f>
        <v>23</v>
      </c>
      <c r="H19" s="22"/>
      <c r="I19" s="22"/>
      <c r="J19" s="11"/>
      <c r="K19" s="22"/>
      <c r="L19" s="22"/>
      <c r="M19" s="10"/>
    </row>
    <row r="20" s="1" customFormat="1" ht="25" customHeight="1" spans="1:13">
      <c r="A20" s="7">
        <v>15</v>
      </c>
      <c r="B20" s="8" t="s">
        <v>46</v>
      </c>
      <c r="C20" s="7">
        <v>523</v>
      </c>
      <c r="D20" s="7">
        <v>533</v>
      </c>
      <c r="E20" s="10">
        <f t="shared" si="1"/>
        <v>1056</v>
      </c>
      <c r="F20" s="10" t="s">
        <v>35</v>
      </c>
      <c r="G20" s="10">
        <f>507+0+0+339+1006+1051+1056</f>
        <v>3959</v>
      </c>
      <c r="H20" s="23"/>
      <c r="I20" s="10">
        <f>E20/M20</f>
        <v>44</v>
      </c>
      <c r="J20" s="19" t="s">
        <v>47</v>
      </c>
      <c r="K20" s="10">
        <f>7.5+0+0+6+24+24+24</f>
        <v>85.5</v>
      </c>
      <c r="L20" s="10">
        <f>G20/K20</f>
        <v>46.3040935672515</v>
      </c>
      <c r="M20" s="10">
        <v>24</v>
      </c>
    </row>
    <row r="21" s="1" customFormat="1" ht="25" customHeight="1" spans="1:13">
      <c r="A21" s="12">
        <v>16</v>
      </c>
      <c r="B21" s="8" t="s">
        <v>48</v>
      </c>
      <c r="C21" s="7">
        <v>690</v>
      </c>
      <c r="D21" s="7">
        <v>694</v>
      </c>
      <c r="E21" s="10">
        <f t="shared" si="1"/>
        <v>1384</v>
      </c>
      <c r="F21" s="10" t="s">
        <v>35</v>
      </c>
      <c r="G21" s="10">
        <f>547+0+0+662+1124+1392+1384</f>
        <v>5109</v>
      </c>
      <c r="H21" s="22"/>
      <c r="I21" s="10">
        <f>E21/M20</f>
        <v>57.6666666666667</v>
      </c>
      <c r="J21" s="11"/>
      <c r="K21" s="22"/>
      <c r="L21" s="22"/>
      <c r="M21" s="10"/>
    </row>
    <row r="22" s="1" customFormat="1" ht="25" customHeight="1" spans="1:13">
      <c r="A22" s="7">
        <v>17</v>
      </c>
      <c r="B22" s="8" t="s">
        <v>49</v>
      </c>
      <c r="C22" s="12">
        <v>29.63</v>
      </c>
      <c r="D22" s="12">
        <v>28.35</v>
      </c>
      <c r="E22" s="13"/>
      <c r="F22" s="13" t="s">
        <v>50</v>
      </c>
      <c r="G22" s="13"/>
      <c r="H22" s="24"/>
      <c r="I22" s="24"/>
      <c r="J22" s="25"/>
      <c r="K22" s="24"/>
      <c r="L22" s="24"/>
      <c r="M22" s="10"/>
    </row>
    <row r="23" s="1" customFormat="1" ht="80" customHeight="1" spans="1:13">
      <c r="A23" s="7">
        <v>18</v>
      </c>
      <c r="B23" s="26" t="s">
        <v>51</v>
      </c>
      <c r="C23" s="27" t="s">
        <v>52</v>
      </c>
      <c r="D23" s="28"/>
      <c r="E23" s="28"/>
      <c r="F23" s="28"/>
      <c r="G23" s="28"/>
      <c r="H23" s="28"/>
      <c r="I23" s="28"/>
      <c r="J23" s="28"/>
      <c r="K23" s="28"/>
      <c r="L23" s="29"/>
      <c r="M23" s="39"/>
    </row>
    <row r="24" s="1" customFormat="1" ht="120" customHeight="1" spans="1:13">
      <c r="A24" s="7">
        <v>19</v>
      </c>
      <c r="B24" s="31" t="s">
        <v>53</v>
      </c>
      <c r="C24" s="27" t="s">
        <v>108</v>
      </c>
      <c r="D24" s="28"/>
      <c r="E24" s="28"/>
      <c r="F24" s="28"/>
      <c r="G24" s="28"/>
      <c r="H24" s="28"/>
      <c r="I24" s="28"/>
      <c r="J24" s="28"/>
      <c r="K24" s="28"/>
      <c r="L24" s="29"/>
      <c r="M24" s="44"/>
    </row>
    <row r="25" s="1" customFormat="1" ht="80" customHeight="1" spans="1:13">
      <c r="A25" s="7">
        <v>20</v>
      </c>
      <c r="B25" s="31" t="s">
        <v>55</v>
      </c>
      <c r="C25" s="27" t="s">
        <v>85</v>
      </c>
      <c r="D25" s="28"/>
      <c r="E25" s="28"/>
      <c r="F25" s="28"/>
      <c r="G25" s="28"/>
      <c r="H25" s="28"/>
      <c r="I25" s="28"/>
      <c r="J25" s="28"/>
      <c r="K25" s="28"/>
      <c r="L25" s="29"/>
      <c r="M25" s="39"/>
    </row>
    <row r="26" s="1" customFormat="1" ht="14" customHeight="1" spans="1:13">
      <c r="C26" s="33"/>
      <c r="D26" s="33"/>
      <c r="J26" s="34"/>
    </row>
    <row r="27" s="1" customFormat="1" ht="45" customHeight="1" spans="1:13">
      <c r="A27" s="5" t="s">
        <v>109</v>
      </c>
    </row>
    <row r="28" s="1" customFormat="1" ht="30" customHeight="1" spans="1:13">
      <c r="A28" s="6" t="s">
        <v>58</v>
      </c>
      <c r="B28" s="6" t="s">
        <v>59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7">
        <v>1</v>
      </c>
      <c r="B29" s="8" t="s">
        <v>60</v>
      </c>
      <c r="C29" s="10">
        <v>0</v>
      </c>
      <c r="D29" s="10">
        <v>0</v>
      </c>
      <c r="E29" s="10">
        <f t="shared" ref="E29:E35" si="2">D29+C29</f>
        <v>0</v>
      </c>
      <c r="F29" s="10" t="s">
        <v>35</v>
      </c>
      <c r="G29" s="10">
        <f>0+0+0+0+0+0+0</f>
        <v>0</v>
      </c>
      <c r="H29" s="10"/>
      <c r="I29" s="10"/>
      <c r="J29" s="11"/>
      <c r="K29" s="22"/>
      <c r="L29" s="22"/>
      <c r="M29" s="10"/>
    </row>
    <row r="30" s="1" customFormat="1" ht="25" customHeight="1" spans="1:13">
      <c r="A30" s="7">
        <v>2</v>
      </c>
      <c r="B30" s="8" t="s">
        <v>61</v>
      </c>
      <c r="C30" s="10">
        <v>6.28</v>
      </c>
      <c r="D30" s="10">
        <v>6.32</v>
      </c>
      <c r="E30" s="10">
        <f t="shared" si="2"/>
        <v>12.6</v>
      </c>
      <c r="F30" s="10" t="s">
        <v>35</v>
      </c>
      <c r="G30" s="10">
        <f>0+0+0+0+0+0+12.6</f>
        <v>12.6</v>
      </c>
      <c r="H30" s="10"/>
      <c r="I30" s="10"/>
      <c r="J30" s="11"/>
      <c r="K30" s="22"/>
      <c r="L30" s="22"/>
      <c r="M30" s="21"/>
    </row>
    <row r="31" s="1" customFormat="1" ht="25" customHeight="1" spans="1:13">
      <c r="A31" s="7">
        <v>3</v>
      </c>
      <c r="B31" s="8" t="s">
        <v>62</v>
      </c>
      <c r="C31" s="10">
        <v>9</v>
      </c>
      <c r="D31" s="10">
        <v>10</v>
      </c>
      <c r="E31" s="10">
        <f t="shared" si="2"/>
        <v>19</v>
      </c>
      <c r="F31" s="10" t="s">
        <v>35</v>
      </c>
      <c r="G31" s="10">
        <f>9+33+13+24+43.31+38+19</f>
        <v>179.31</v>
      </c>
      <c r="H31" s="10"/>
      <c r="I31" s="10"/>
      <c r="J31" s="11"/>
      <c r="K31" s="22"/>
      <c r="L31" s="22"/>
      <c r="M31" s="21"/>
    </row>
    <row r="32" s="1" customFormat="1" ht="25" customHeight="1" spans="1:13">
      <c r="A32" s="7">
        <v>4</v>
      </c>
      <c r="B32" s="8" t="s">
        <v>31</v>
      </c>
      <c r="C32" s="10">
        <v>0</v>
      </c>
      <c r="D32" s="10">
        <v>0</v>
      </c>
      <c r="E32" s="10">
        <f t="shared" si="2"/>
        <v>0</v>
      </c>
      <c r="F32" s="10" t="s">
        <v>14</v>
      </c>
      <c r="G32" s="10">
        <f>0+0+0+0+0+0+0</f>
        <v>0</v>
      </c>
      <c r="H32" s="10"/>
      <c r="J32" s="11"/>
      <c r="K32" s="22"/>
      <c r="L32" s="22"/>
      <c r="M32" s="22"/>
    </row>
    <row r="33" s="1" customFormat="1" ht="25" customHeight="1" spans="1:13">
      <c r="A33" s="7">
        <v>5</v>
      </c>
      <c r="B33" s="8" t="s">
        <v>33</v>
      </c>
      <c r="C33" s="10">
        <v>0</v>
      </c>
      <c r="D33" s="10">
        <v>0</v>
      </c>
      <c r="E33" s="10">
        <f t="shared" si="2"/>
        <v>0</v>
      </c>
      <c r="F33" s="10" t="s">
        <v>14</v>
      </c>
      <c r="G33" s="10">
        <f>0+0+0+0+0+0+0</f>
        <v>0</v>
      </c>
      <c r="H33" s="10"/>
      <c r="I33" s="10"/>
      <c r="J33" s="14"/>
      <c r="K33" s="22"/>
      <c r="L33" s="22"/>
      <c r="M33" s="22"/>
    </row>
    <row r="34" s="1" customFormat="1" ht="25" customHeight="1" spans="1:13">
      <c r="A34" s="7">
        <v>6</v>
      </c>
      <c r="B34" s="8" t="s">
        <v>63</v>
      </c>
      <c r="C34" s="10">
        <v>112</v>
      </c>
      <c r="D34" s="10">
        <v>126</v>
      </c>
      <c r="E34" s="10">
        <f t="shared" si="2"/>
        <v>238</v>
      </c>
      <c r="F34" s="10" t="s">
        <v>35</v>
      </c>
      <c r="G34" s="10">
        <f>580+604+307+408+430+215+238</f>
        <v>2782</v>
      </c>
      <c r="H34" s="10"/>
      <c r="I34" s="10"/>
      <c r="J34" s="35"/>
      <c r="K34" s="22"/>
      <c r="L34" s="10"/>
      <c r="M34" s="22"/>
    </row>
    <row r="35" s="1" customFormat="1" ht="25" customHeight="1" spans="1:13">
      <c r="A35" s="7">
        <v>7</v>
      </c>
      <c r="B35" s="8" t="s">
        <v>64</v>
      </c>
      <c r="C35" s="10">
        <v>503</v>
      </c>
      <c r="D35" s="10">
        <v>504</v>
      </c>
      <c r="E35" s="10">
        <f t="shared" si="2"/>
        <v>1007</v>
      </c>
      <c r="F35" s="10" t="s">
        <v>35</v>
      </c>
      <c r="G35" s="10">
        <f>1010+819+776+499+966+1008+1007</f>
        <v>6085</v>
      </c>
      <c r="H35" s="10"/>
      <c r="I35" s="10"/>
      <c r="J35" s="36"/>
      <c r="K35" s="22"/>
      <c r="L35" s="10"/>
      <c r="M35" s="22"/>
    </row>
    <row r="36" s="1" customFormat="1" ht="25" customHeight="1" spans="1:13">
      <c r="A36" s="7">
        <v>8</v>
      </c>
      <c r="B36" s="8" t="s">
        <v>65</v>
      </c>
      <c r="C36" s="10">
        <v>0</v>
      </c>
      <c r="D36" s="10">
        <v>0</v>
      </c>
      <c r="E36" s="10">
        <f>C36+D36</f>
        <v>0</v>
      </c>
      <c r="F36" s="10" t="s">
        <v>35</v>
      </c>
      <c r="G36" s="10">
        <f>0+0+0+0+0+0+0</f>
        <v>0</v>
      </c>
      <c r="H36" s="22"/>
      <c r="I36" s="7">
        <v>405</v>
      </c>
      <c r="J36" s="14"/>
      <c r="K36" s="37"/>
      <c r="L36" s="27"/>
      <c r="M36" s="38"/>
    </row>
    <row r="37" s="1" customFormat="1" ht="25" customHeight="1" spans="1:13">
      <c r="A37" s="7">
        <v>9</v>
      </c>
      <c r="B37" s="8" t="s">
        <v>66</v>
      </c>
      <c r="C37" s="10">
        <v>0</v>
      </c>
      <c r="D37" s="10">
        <v>0</v>
      </c>
      <c r="E37" s="10">
        <f>C37+D37</f>
        <v>0</v>
      </c>
      <c r="F37" s="10" t="s">
        <v>35</v>
      </c>
      <c r="G37" s="10">
        <f>0+0+0+0+0+0+0</f>
        <v>0</v>
      </c>
      <c r="H37" s="22"/>
      <c r="I37" s="7">
        <v>64.2764</v>
      </c>
      <c r="J37" s="35"/>
      <c r="K37" s="37"/>
      <c r="L37" s="27"/>
      <c r="M37" s="38"/>
    </row>
    <row r="38" s="1" customFormat="1" ht="25" customHeight="1" spans="1:13">
      <c r="A38" s="7">
        <v>10</v>
      </c>
      <c r="B38" s="8" t="s">
        <v>67</v>
      </c>
      <c r="C38" s="7">
        <v>2</v>
      </c>
      <c r="D38" s="7">
        <v>0</v>
      </c>
      <c r="E38" s="10">
        <f>D38+C38</f>
        <v>2</v>
      </c>
      <c r="F38" s="10" t="s">
        <v>45</v>
      </c>
      <c r="G38" s="10">
        <f>0+0+2+0+0+0+2</f>
        <v>4</v>
      </c>
      <c r="H38" s="22"/>
      <c r="I38" s="10">
        <v>0</v>
      </c>
      <c r="J38" s="35"/>
      <c r="K38" s="27"/>
      <c r="L38" s="19" t="s">
        <v>68</v>
      </c>
      <c r="M38" s="7">
        <v>5</v>
      </c>
    </row>
    <row r="39" s="1" customFormat="1" ht="80" customHeight="1" spans="1:13">
      <c r="A39" s="7">
        <v>11</v>
      </c>
      <c r="B39" s="32" t="s">
        <v>55</v>
      </c>
      <c r="C39" s="27" t="s">
        <v>69</v>
      </c>
      <c r="D39" s="28"/>
      <c r="E39" s="28"/>
      <c r="F39" s="28"/>
      <c r="G39" s="28"/>
      <c r="H39" s="28"/>
      <c r="I39" s="28"/>
      <c r="J39" s="28"/>
      <c r="K39" s="28"/>
      <c r="L39" s="29"/>
      <c r="M39" s="32"/>
    </row>
    <row r="47" s="1" customFormat="1" spans="1:13">
      <c r="C47" s="33"/>
      <c r="D47" s="33"/>
      <c r="J47" s="34"/>
    </row>
    <row r="48" spans="1:13">
      <c r="L48" s="1"/>
    </row>
  </sheetData>
  <mergeCells count="12">
    <mergeCell ref="A1:M1"/>
    <mergeCell ref="C23:L23"/>
    <mergeCell ref="C24:L24"/>
    <mergeCell ref="C25:L25"/>
    <mergeCell ref="A27:M27"/>
    <mergeCell ref="C39:L39"/>
    <mergeCell ref="A5:A8"/>
    <mergeCell ref="H5:H8"/>
    <mergeCell ref="I5:I8"/>
    <mergeCell ref="N4:N5"/>
    <mergeCell ref="N6:N7"/>
    <mergeCell ref="N15:N16"/>
  </mergeCells>
  <pageMargins left="0.75" right="0.75" top="1" bottom="1" header="0.5" footer="0.5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8"/>
  <sheetViews>
    <sheetView zoomScale="85" zoomScaleNormal="85" workbookViewId="0">
      <selection activeCell="J10" sqref="J10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9.7" style="2" customWidth="1"/>
    <col min="15" max="15" width="17.2" style="2" customWidth="1"/>
    <col min="16" max="16" width="15.4333333333333" style="2" customWidth="1"/>
    <col min="17" max="17" width="10.375" style="2" customWidth="1"/>
    <col min="18" max="16384" width="9" style="2" customWidth="1"/>
  </cols>
  <sheetData>
    <row r="1" s="1" customFormat="1" ht="45" customHeight="1" spans="1:16">
      <c r="A1" s="5" t="s">
        <v>110</v>
      </c>
    </row>
    <row r="2" s="1" customFormat="1" ht="30" customHeight="1" spans="1:16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41">
        <v>46180</v>
      </c>
      <c r="O2" s="42"/>
      <c r="P2" s="42"/>
    </row>
    <row r="3" s="1" customFormat="1" ht="38" customHeight="1" spans="1:16">
      <c r="A3" s="7">
        <v>1</v>
      </c>
      <c r="B3" s="8" t="s">
        <v>13</v>
      </c>
      <c r="C3" s="9">
        <v>6</v>
      </c>
      <c r="D3" s="9">
        <v>7</v>
      </c>
      <c r="E3" s="10">
        <f t="shared" ref="E3:E12" si="0">C3+D3</f>
        <v>13</v>
      </c>
      <c r="F3" s="10" t="s">
        <v>14</v>
      </c>
      <c r="G3" s="10">
        <f>12+0+0+0+6+13+13+13</f>
        <v>57</v>
      </c>
      <c r="H3" s="10">
        <v>330</v>
      </c>
      <c r="I3" s="10">
        <f>H3-G3</f>
        <v>273</v>
      </c>
      <c r="J3" s="11"/>
      <c r="K3" s="10"/>
      <c r="L3" s="10"/>
      <c r="M3" s="10">
        <f>I3/22</f>
        <v>12.4090909090909</v>
      </c>
      <c r="N3" s="43" t="s">
        <v>15</v>
      </c>
      <c r="O3" s="38" t="s">
        <v>16</v>
      </c>
      <c r="P3" s="38" t="s">
        <v>17</v>
      </c>
    </row>
    <row r="4" s="1" customFormat="1" ht="38" customHeight="1" spans="1:16">
      <c r="A4" s="12">
        <v>2</v>
      </c>
      <c r="B4" s="8" t="s">
        <v>18</v>
      </c>
      <c r="C4" s="9">
        <v>12</v>
      </c>
      <c r="D4" s="9"/>
      <c r="E4" s="10">
        <f t="shared" si="0"/>
        <v>12</v>
      </c>
      <c r="F4" s="10" t="s">
        <v>14</v>
      </c>
      <c r="G4" s="10">
        <f>12+8+0+0+0+6+14+12</f>
        <v>52</v>
      </c>
      <c r="H4" s="13"/>
      <c r="I4" s="13"/>
      <c r="J4" s="11"/>
      <c r="K4" s="10"/>
      <c r="L4" s="10"/>
      <c r="M4" s="10"/>
      <c r="N4" s="38" t="s">
        <v>2</v>
      </c>
      <c r="O4" s="38" t="s">
        <v>111</v>
      </c>
      <c r="P4" s="38" t="s">
        <v>20</v>
      </c>
    </row>
    <row r="5" s="1" customFormat="1" ht="38" customHeight="1" spans="1:16">
      <c r="A5" s="12">
        <v>3</v>
      </c>
      <c r="B5" s="8" t="s">
        <v>21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65+0+0+0+0+0+0+0</f>
        <v>65</v>
      </c>
      <c r="H5" s="10">
        <v>4950</v>
      </c>
      <c r="I5" s="10">
        <f>H5-G5-G7-G6</f>
        <v>4129</v>
      </c>
      <c r="J5" s="14"/>
      <c r="K5" s="10"/>
      <c r="L5" s="10"/>
      <c r="M5" s="10"/>
      <c r="N5" s="38" t="s">
        <v>3</v>
      </c>
      <c r="O5" s="38" t="s">
        <v>112</v>
      </c>
      <c r="P5" s="38" t="s">
        <v>20</v>
      </c>
    </row>
    <row r="6" s="1" customFormat="1" ht="38" customHeight="1" spans="1:16">
      <c r="A6" s="15"/>
      <c r="B6" s="8" t="s">
        <v>23</v>
      </c>
      <c r="C6" s="10">
        <v>106</v>
      </c>
      <c r="D6" s="10">
        <v>90</v>
      </c>
      <c r="E6" s="10">
        <f t="shared" si="0"/>
        <v>196</v>
      </c>
      <c r="F6" s="10" t="s">
        <v>14</v>
      </c>
      <c r="G6" s="10">
        <f>0+0+0+0+183+194+174+196</f>
        <v>747</v>
      </c>
      <c r="H6" s="15"/>
      <c r="I6" s="15"/>
      <c r="J6" s="11"/>
      <c r="K6" s="10"/>
      <c r="L6" s="10"/>
      <c r="M6" s="16"/>
      <c r="N6" s="1"/>
      <c r="O6" s="33"/>
      <c r="P6" s="33"/>
    </row>
    <row r="7" s="1" customFormat="1" ht="38" customHeight="1" spans="1:16">
      <c r="A7" s="15"/>
      <c r="B7" s="8" t="s">
        <v>25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0+0+0+8+1+0+0+0</f>
        <v>9</v>
      </c>
      <c r="H7" s="15"/>
      <c r="I7" s="15"/>
      <c r="J7" s="11"/>
      <c r="K7" s="10"/>
      <c r="L7" s="10"/>
      <c r="M7" s="10"/>
      <c r="N7" s="1"/>
      <c r="O7" s="33"/>
      <c r="P7" s="33"/>
    </row>
    <row r="8" s="1" customFormat="1" ht="38" customHeight="1" spans="1:16">
      <c r="A8" s="15"/>
      <c r="B8" s="8" t="s">
        <v>27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</f>
        <v>0</v>
      </c>
      <c r="H8" s="17"/>
      <c r="I8" s="17"/>
      <c r="J8" s="11"/>
      <c r="K8" s="10"/>
      <c r="L8" s="10"/>
      <c r="M8" s="10"/>
    </row>
    <row r="9" s="1" customFormat="1" ht="25" customHeight="1" spans="1:16">
      <c r="A9" s="12">
        <v>4</v>
      </c>
      <c r="B9" s="18" t="s">
        <v>29</v>
      </c>
      <c r="C9" s="13">
        <v>30.97</v>
      </c>
      <c r="D9" s="13"/>
      <c r="E9" s="10">
        <f t="shared" si="0"/>
        <v>30.97</v>
      </c>
      <c r="F9" s="13" t="s">
        <v>14</v>
      </c>
      <c r="G9" s="10">
        <f>0+31.23+0+31.02+0+30.93+30.89+30.97</f>
        <v>155.04</v>
      </c>
      <c r="H9" s="13">
        <v>6.08</v>
      </c>
      <c r="I9" s="13">
        <f>H9-K10</f>
        <v>4.765209</v>
      </c>
      <c r="J9" s="19" t="s">
        <v>30</v>
      </c>
      <c r="K9" s="10">
        <v>60</v>
      </c>
      <c r="L9" s="10">
        <v>0.9</v>
      </c>
      <c r="M9" s="20"/>
      <c r="O9" s="33"/>
      <c r="P9" s="33"/>
    </row>
    <row r="10" s="1" customFormat="1" ht="25" customHeight="1" spans="1:16">
      <c r="A10" s="7">
        <v>5</v>
      </c>
      <c r="B10" s="8" t="s">
        <v>31</v>
      </c>
      <c r="C10" s="10">
        <v>10.0035</v>
      </c>
      <c r="D10" s="10">
        <v>2.7405</v>
      </c>
      <c r="E10" s="10">
        <f t="shared" si="0"/>
        <v>12.744</v>
      </c>
      <c r="F10" s="10" t="s">
        <v>14</v>
      </c>
      <c r="G10" s="10">
        <f>6.831+0+0+0+6.6555+7.614+14.958+12.744</f>
        <v>48.8025</v>
      </c>
      <c r="H10" s="10"/>
      <c r="I10" s="10">
        <f>G10/(G3*0.1865)</f>
        <v>4.59080005644137</v>
      </c>
      <c r="J10" s="19" t="s">
        <v>32</v>
      </c>
      <c r="K10" s="20">
        <f>0+0.268578+0+0.257466+0+0.256719+0.253298+0.27873</f>
        <v>1.314791</v>
      </c>
      <c r="L10" s="10"/>
      <c r="M10" s="10">
        <f>C9*L9/100</f>
        <v>0.27873</v>
      </c>
      <c r="O10" s="33"/>
      <c r="P10" s="33"/>
    </row>
    <row r="11" s="1" customFormat="1" ht="25" customHeight="1" spans="1:16">
      <c r="A11" s="7">
        <v>6</v>
      </c>
      <c r="B11" s="8" t="s">
        <v>33</v>
      </c>
      <c r="C11" s="10">
        <v>17.664</v>
      </c>
      <c r="D11" s="10">
        <v>0</v>
      </c>
      <c r="E11" s="10">
        <f t="shared" si="0"/>
        <v>17.664</v>
      </c>
      <c r="F11" s="10" t="s">
        <v>14</v>
      </c>
      <c r="G11" s="10">
        <f>14.352+0+0+0+6.7344+17.5536+13.2664+17.664</f>
        <v>69.5704</v>
      </c>
      <c r="H11" s="10"/>
      <c r="I11" s="10">
        <f>G11/(G3*0.1865)</f>
        <v>6.54441465594281</v>
      </c>
      <c r="J11" s="11"/>
      <c r="K11" s="10"/>
      <c r="L11" s="10"/>
      <c r="M11" s="21"/>
      <c r="O11" s="33"/>
      <c r="P11" s="33"/>
    </row>
    <row r="12" s="1" customFormat="1" ht="25" customHeight="1" spans="1:16">
      <c r="A12" s="7">
        <v>7</v>
      </c>
      <c r="B12" s="8" t="s">
        <v>34</v>
      </c>
      <c r="C12" s="10">
        <v>237</v>
      </c>
      <c r="D12" s="10">
        <v>228</v>
      </c>
      <c r="E12" s="10">
        <f t="shared" si="0"/>
        <v>465</v>
      </c>
      <c r="F12" s="10" t="s">
        <v>35</v>
      </c>
      <c r="G12" s="10">
        <f>472+11+0+16+206+451+454+465</f>
        <v>2075</v>
      </c>
      <c r="H12" s="10">
        <f>G12*1.05</f>
        <v>2178.75</v>
      </c>
      <c r="I12" s="10"/>
      <c r="J12" s="11"/>
      <c r="K12" s="10"/>
      <c r="L12" s="10"/>
      <c r="M12" s="21"/>
    </row>
    <row r="13" s="1" customFormat="1" ht="25" customHeight="1" spans="1:16">
      <c r="A13" s="12">
        <v>8</v>
      </c>
      <c r="B13" s="8" t="s">
        <v>36</v>
      </c>
      <c r="C13" s="10">
        <v>156</v>
      </c>
      <c r="D13" s="10">
        <v>207</v>
      </c>
      <c r="E13" s="10">
        <f t="shared" ref="E13:E21" si="1">D13+C13</f>
        <v>363</v>
      </c>
      <c r="F13" s="10" t="s">
        <v>35</v>
      </c>
      <c r="G13" s="10">
        <f>372+0+0+0+195+420+417+363</f>
        <v>1767</v>
      </c>
      <c r="H13" s="10"/>
      <c r="I13" s="10"/>
      <c r="J13" s="14"/>
      <c r="K13" s="10"/>
      <c r="L13" s="10"/>
      <c r="M13" s="10"/>
      <c r="N13" s="33"/>
      <c r="O13" s="33"/>
      <c r="P13" s="33"/>
    </row>
    <row r="14" s="1" customFormat="1" ht="25" customHeight="1" spans="1:16">
      <c r="A14" s="7">
        <v>9</v>
      </c>
      <c r="B14" s="8" t="s">
        <v>37</v>
      </c>
      <c r="C14" s="10">
        <v>438.74</v>
      </c>
      <c r="D14" s="10">
        <v>407.84</v>
      </c>
      <c r="E14" s="10">
        <f t="shared" si="1"/>
        <v>846.58</v>
      </c>
      <c r="F14" s="10" t="s">
        <v>35</v>
      </c>
      <c r="G14" s="10">
        <f>209.75+0+0+0+370.64+733.22+886.44+846.58</f>
        <v>3046.63</v>
      </c>
      <c r="H14" s="10"/>
      <c r="I14" s="10"/>
      <c r="J14" s="19" t="s">
        <v>38</v>
      </c>
      <c r="K14" s="10">
        <v>3.08</v>
      </c>
      <c r="L14" s="10">
        <v>2.8</v>
      </c>
      <c r="M14" s="10"/>
      <c r="N14" s="33"/>
      <c r="O14" s="33"/>
      <c r="P14" s="33"/>
    </row>
    <row r="15" s="1" customFormat="1" ht="25" customHeight="1" spans="1:16">
      <c r="A15" s="7">
        <v>10</v>
      </c>
      <c r="B15" s="8" t="s">
        <v>39</v>
      </c>
      <c r="C15" s="10">
        <v>12</v>
      </c>
      <c r="D15" s="10">
        <v>18</v>
      </c>
      <c r="E15" s="10">
        <f t="shared" si="1"/>
        <v>30</v>
      </c>
      <c r="F15" s="10" t="s">
        <v>14</v>
      </c>
      <c r="G15" s="10">
        <f>24+0+0+0+21+27+33+30</f>
        <v>135</v>
      </c>
      <c r="H15" s="10"/>
      <c r="I15" s="10">
        <f>G15/(G3*0.1865)</f>
        <v>12.6993085931988</v>
      </c>
      <c r="J15" s="19" t="s">
        <v>40</v>
      </c>
      <c r="K15" s="20">
        <f>0.641835+0+0+0+1.0970944+2.2635878+2.9007565+2.4932712</f>
        <v>9.3965449</v>
      </c>
      <c r="L15" s="10"/>
      <c r="M15" s="10">
        <f>(C14*K14+L14*D14)/1000</f>
        <v>2.4932712</v>
      </c>
      <c r="N15" s="33"/>
      <c r="O15" s="33"/>
      <c r="P15" s="33"/>
    </row>
    <row r="16" s="1" customFormat="1" ht="25" customHeight="1" spans="1:16">
      <c r="A16" s="7">
        <v>11</v>
      </c>
      <c r="B16" s="8" t="s">
        <v>41</v>
      </c>
      <c r="C16" s="7">
        <v>0.075</v>
      </c>
      <c r="D16" s="7">
        <v>0</v>
      </c>
      <c r="E16" s="10">
        <f t="shared" si="1"/>
        <v>0.075</v>
      </c>
      <c r="F16" s="10" t="s">
        <v>14</v>
      </c>
      <c r="G16" s="10">
        <f>0+0+0+0+0+0.0875+0+0.075</f>
        <v>0.1625</v>
      </c>
      <c r="H16" s="22"/>
      <c r="I16" s="22"/>
      <c r="J16" s="11"/>
      <c r="K16" s="22"/>
      <c r="L16" s="22"/>
      <c r="M16" s="10"/>
      <c r="O16" s="33"/>
      <c r="P16" s="33"/>
    </row>
    <row r="17" s="1" customFormat="1" ht="25" customHeight="1" spans="1:13">
      <c r="A17" s="12">
        <v>12</v>
      </c>
      <c r="B17" s="8" t="s">
        <v>42</v>
      </c>
      <c r="C17" s="10">
        <v>2</v>
      </c>
      <c r="D17" s="7">
        <v>0</v>
      </c>
      <c r="E17" s="10">
        <f t="shared" si="1"/>
        <v>2</v>
      </c>
      <c r="F17" s="10" t="s">
        <v>14</v>
      </c>
      <c r="G17" s="10">
        <f>2+0+0+0+0+2+0+2</f>
        <v>6</v>
      </c>
      <c r="H17" s="22"/>
      <c r="I17" s="10">
        <f>G17/(G3*0.1865)</f>
        <v>0.564413715253281</v>
      </c>
      <c r="J17" s="11"/>
      <c r="K17" s="22"/>
      <c r="L17" s="22"/>
      <c r="M17" s="10"/>
    </row>
    <row r="18" s="1" customFormat="1" ht="25" customHeight="1" spans="1:13">
      <c r="A18" s="7">
        <v>13</v>
      </c>
      <c r="B18" s="8" t="s">
        <v>43</v>
      </c>
      <c r="C18" s="10">
        <v>2</v>
      </c>
      <c r="D18" s="7">
        <v>0</v>
      </c>
      <c r="E18" s="10">
        <f t="shared" si="1"/>
        <v>2</v>
      </c>
      <c r="F18" s="10" t="s">
        <v>14</v>
      </c>
      <c r="G18" s="10">
        <f>2+0+0+0+0+2+0+2</f>
        <v>6</v>
      </c>
      <c r="H18" s="22"/>
      <c r="I18" s="10">
        <f>G18/(G3*0.1865)</f>
        <v>0.564413715253281</v>
      </c>
      <c r="J18" s="11"/>
      <c r="K18" s="22"/>
      <c r="L18" s="22"/>
      <c r="M18" s="10"/>
    </row>
    <row r="19" s="1" customFormat="1" ht="25" customHeight="1" spans="1:13">
      <c r="A19" s="7">
        <v>14</v>
      </c>
      <c r="B19" s="8" t="s">
        <v>44</v>
      </c>
      <c r="C19" s="10">
        <v>1</v>
      </c>
      <c r="D19" s="7">
        <v>5</v>
      </c>
      <c r="E19" s="10">
        <f t="shared" si="1"/>
        <v>6</v>
      </c>
      <c r="F19" s="10" t="s">
        <v>45</v>
      </c>
      <c r="G19" s="10">
        <f>5+0+0+0+3+7+8+6</f>
        <v>29</v>
      </c>
      <c r="H19" s="22"/>
      <c r="I19" s="22"/>
      <c r="J19" s="11"/>
      <c r="K19" s="22"/>
      <c r="L19" s="22"/>
      <c r="M19" s="10"/>
    </row>
    <row r="20" s="1" customFormat="1" ht="25" customHeight="1" spans="1:13">
      <c r="A20" s="7">
        <v>15</v>
      </c>
      <c r="B20" s="8" t="s">
        <v>46</v>
      </c>
      <c r="C20" s="7">
        <v>592</v>
      </c>
      <c r="D20" s="7">
        <v>608</v>
      </c>
      <c r="E20" s="10">
        <f t="shared" si="1"/>
        <v>1200</v>
      </c>
      <c r="F20" s="10" t="s">
        <v>35</v>
      </c>
      <c r="G20" s="10">
        <f>507+0+0+339+1006+1051+1056+1200</f>
        <v>5159</v>
      </c>
      <c r="H20" s="23"/>
      <c r="I20" s="10">
        <f>E20/M20</f>
        <v>50</v>
      </c>
      <c r="J20" s="19" t="s">
        <v>47</v>
      </c>
      <c r="K20" s="10">
        <f>7.5+0+0+6+24+24+24+24</f>
        <v>109.5</v>
      </c>
      <c r="L20" s="10">
        <f>G20/K20</f>
        <v>47.1141552511416</v>
      </c>
      <c r="M20" s="10">
        <v>24</v>
      </c>
    </row>
    <row r="21" s="1" customFormat="1" ht="25" customHeight="1" spans="1:13">
      <c r="A21" s="12">
        <v>16</v>
      </c>
      <c r="B21" s="8" t="s">
        <v>48</v>
      </c>
      <c r="C21" s="7">
        <v>726</v>
      </c>
      <c r="D21" s="7">
        <v>757</v>
      </c>
      <c r="E21" s="10">
        <f t="shared" si="1"/>
        <v>1483</v>
      </c>
      <c r="F21" s="10" t="s">
        <v>35</v>
      </c>
      <c r="G21" s="10">
        <f>547+0+0+662+1124+1392+1384+1483</f>
        <v>6592</v>
      </c>
      <c r="H21" s="22"/>
      <c r="I21" s="10">
        <f>E21/M20</f>
        <v>61.7916666666667</v>
      </c>
      <c r="J21" s="11"/>
      <c r="K21" s="22"/>
      <c r="L21" s="22"/>
      <c r="M21" s="10"/>
    </row>
    <row r="22" s="1" customFormat="1" ht="25" customHeight="1" spans="1:13">
      <c r="A22" s="7">
        <v>17</v>
      </c>
      <c r="B22" s="8" t="s">
        <v>49</v>
      </c>
      <c r="C22" s="12">
        <v>30.43</v>
      </c>
      <c r="D22" s="12">
        <v>29.68</v>
      </c>
      <c r="E22" s="13"/>
      <c r="F22" s="13" t="s">
        <v>50</v>
      </c>
      <c r="G22" s="13"/>
      <c r="H22" s="24"/>
      <c r="I22" s="24"/>
      <c r="J22" s="25"/>
      <c r="K22" s="24"/>
      <c r="L22" s="24"/>
      <c r="M22" s="10"/>
    </row>
    <row r="23" s="1" customFormat="1" ht="80" customHeight="1" spans="1:13">
      <c r="A23" s="7">
        <v>18</v>
      </c>
      <c r="B23" s="26" t="s">
        <v>51</v>
      </c>
      <c r="C23" s="27" t="s">
        <v>52</v>
      </c>
      <c r="D23" s="28"/>
      <c r="E23" s="28"/>
      <c r="F23" s="28"/>
      <c r="G23" s="28"/>
      <c r="H23" s="28"/>
      <c r="I23" s="28"/>
      <c r="J23" s="28"/>
      <c r="K23" s="28"/>
      <c r="L23" s="29"/>
      <c r="M23" s="39"/>
    </row>
    <row r="24" s="1" customFormat="1" ht="120" customHeight="1" spans="1:13">
      <c r="A24" s="7">
        <v>19</v>
      </c>
      <c r="B24" s="31" t="s">
        <v>53</v>
      </c>
      <c r="C24" s="27" t="s">
        <v>113</v>
      </c>
      <c r="D24" s="28"/>
      <c r="E24" s="28"/>
      <c r="F24" s="28"/>
      <c r="G24" s="28"/>
      <c r="H24" s="28"/>
      <c r="I24" s="28"/>
      <c r="J24" s="28"/>
      <c r="K24" s="28"/>
      <c r="L24" s="29"/>
      <c r="M24" s="44"/>
    </row>
    <row r="25" s="1" customFormat="1" ht="80" customHeight="1" spans="1:13">
      <c r="A25" s="7">
        <v>20</v>
      </c>
      <c r="B25" s="31" t="s">
        <v>55</v>
      </c>
      <c r="C25" s="27" t="s">
        <v>85</v>
      </c>
      <c r="D25" s="28"/>
      <c r="E25" s="28"/>
      <c r="F25" s="28"/>
      <c r="G25" s="28"/>
      <c r="H25" s="28"/>
      <c r="I25" s="28"/>
      <c r="J25" s="28"/>
      <c r="K25" s="28"/>
      <c r="L25" s="29"/>
      <c r="M25" s="39"/>
    </row>
    <row r="26" s="1" customFormat="1" ht="14" customHeight="1" spans="1:13">
      <c r="C26" s="33"/>
      <c r="D26" s="33"/>
      <c r="J26" s="34"/>
    </row>
    <row r="27" s="1" customFormat="1" ht="45" customHeight="1" spans="1:13">
      <c r="A27" s="5" t="s">
        <v>114</v>
      </c>
    </row>
    <row r="28" s="1" customFormat="1" ht="30" customHeight="1" spans="1:13">
      <c r="A28" s="6" t="s">
        <v>58</v>
      </c>
      <c r="B28" s="6" t="s">
        <v>59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7">
        <v>1</v>
      </c>
      <c r="B29" s="8" t="s">
        <v>60</v>
      </c>
      <c r="C29" s="10">
        <v>0</v>
      </c>
      <c r="D29" s="10">
        <v>0</v>
      </c>
      <c r="E29" s="10">
        <f t="shared" ref="E29:E35" si="2">D29+C29</f>
        <v>0</v>
      </c>
      <c r="F29" s="10" t="s">
        <v>35</v>
      </c>
      <c r="G29" s="10">
        <f>0+0+0+0+0+0+0+0</f>
        <v>0</v>
      </c>
      <c r="H29" s="10"/>
      <c r="I29" s="10"/>
      <c r="J29" s="11"/>
      <c r="K29" s="22"/>
      <c r="L29" s="22"/>
      <c r="M29" s="10"/>
    </row>
    <row r="30" s="1" customFormat="1" ht="25" customHeight="1" spans="1:13">
      <c r="A30" s="7">
        <v>2</v>
      </c>
      <c r="B30" s="8" t="s">
        <v>61</v>
      </c>
      <c r="C30" s="10">
        <v>6.25</v>
      </c>
      <c r="D30" s="10">
        <v>6.34</v>
      </c>
      <c r="E30" s="10">
        <f t="shared" si="2"/>
        <v>12.59</v>
      </c>
      <c r="F30" s="10" t="s">
        <v>35</v>
      </c>
      <c r="G30" s="10">
        <f>0+0+0+0+0+0+12.6+12.59</f>
        <v>25.19</v>
      </c>
      <c r="H30" s="10"/>
      <c r="I30" s="10"/>
      <c r="J30" s="11"/>
      <c r="K30" s="22"/>
      <c r="L30" s="22"/>
      <c r="M30" s="21"/>
    </row>
    <row r="31" s="1" customFormat="1" ht="25" customHeight="1" spans="1:13">
      <c r="A31" s="7">
        <v>3</v>
      </c>
      <c r="B31" s="8" t="s">
        <v>62</v>
      </c>
      <c r="C31" s="10">
        <v>6</v>
      </c>
      <c r="D31" s="10">
        <v>11</v>
      </c>
      <c r="E31" s="10">
        <f t="shared" si="2"/>
        <v>17</v>
      </c>
      <c r="F31" s="10" t="s">
        <v>35</v>
      </c>
      <c r="G31" s="10">
        <f>9+33+13+24+43.31+38+19+17</f>
        <v>196.31</v>
      </c>
      <c r="H31" s="10"/>
      <c r="I31" s="10"/>
      <c r="J31" s="11"/>
      <c r="K31" s="22"/>
      <c r="L31" s="22"/>
      <c r="M31" s="21"/>
    </row>
    <row r="32" s="1" customFormat="1" ht="25" customHeight="1" spans="1:13">
      <c r="A32" s="7">
        <v>4</v>
      </c>
      <c r="B32" s="8" t="s">
        <v>31</v>
      </c>
      <c r="C32" s="10">
        <v>0</v>
      </c>
      <c r="D32" s="10">
        <v>0</v>
      </c>
      <c r="E32" s="10">
        <f t="shared" si="2"/>
        <v>0</v>
      </c>
      <c r="F32" s="10" t="s">
        <v>14</v>
      </c>
      <c r="G32" s="10">
        <f>0+0+0+0+0+0+0+0</f>
        <v>0</v>
      </c>
      <c r="H32" s="10"/>
      <c r="J32" s="11"/>
      <c r="K32" s="22"/>
      <c r="L32" s="22"/>
      <c r="M32" s="22"/>
    </row>
    <row r="33" s="1" customFormat="1" ht="25" customHeight="1" spans="1:13">
      <c r="A33" s="7">
        <v>5</v>
      </c>
      <c r="B33" s="8" t="s">
        <v>33</v>
      </c>
      <c r="C33" s="10">
        <v>0</v>
      </c>
      <c r="D33" s="10">
        <v>0</v>
      </c>
      <c r="E33" s="10">
        <f t="shared" si="2"/>
        <v>0</v>
      </c>
      <c r="F33" s="10" t="s">
        <v>14</v>
      </c>
      <c r="G33" s="10">
        <f>0+0+0+0+0+0+0+0</f>
        <v>0</v>
      </c>
      <c r="H33" s="10"/>
      <c r="I33" s="10"/>
      <c r="J33" s="14"/>
      <c r="K33" s="22"/>
      <c r="L33" s="22"/>
      <c r="M33" s="22"/>
    </row>
    <row r="34" s="1" customFormat="1" ht="25" customHeight="1" spans="1:13">
      <c r="A34" s="7">
        <v>6</v>
      </c>
      <c r="B34" s="8" t="s">
        <v>63</v>
      </c>
      <c r="C34" s="10">
        <v>124</v>
      </c>
      <c r="D34" s="10">
        <v>126</v>
      </c>
      <c r="E34" s="10">
        <f t="shared" si="2"/>
        <v>250</v>
      </c>
      <c r="F34" s="10" t="s">
        <v>35</v>
      </c>
      <c r="G34" s="10">
        <f>580+604+307+408+430+215+238+250</f>
        <v>3032</v>
      </c>
      <c r="H34" s="10"/>
      <c r="I34" s="10"/>
      <c r="J34" s="35"/>
      <c r="K34" s="22"/>
      <c r="L34" s="10"/>
      <c r="M34" s="22"/>
    </row>
    <row r="35" s="1" customFormat="1" ht="25" customHeight="1" spans="1:13">
      <c r="A35" s="7">
        <v>7</v>
      </c>
      <c r="B35" s="8" t="s">
        <v>64</v>
      </c>
      <c r="C35" s="10">
        <v>506</v>
      </c>
      <c r="D35" s="10">
        <v>504</v>
      </c>
      <c r="E35" s="10">
        <f t="shared" si="2"/>
        <v>1010</v>
      </c>
      <c r="F35" s="10" t="s">
        <v>35</v>
      </c>
      <c r="G35" s="10">
        <f>1010+819+776+499+966+1008+1007+1010</f>
        <v>7095</v>
      </c>
      <c r="H35" s="10"/>
      <c r="I35" s="10"/>
      <c r="J35" s="36"/>
      <c r="K35" s="22"/>
      <c r="L35" s="10"/>
      <c r="M35" s="22"/>
    </row>
    <row r="36" s="1" customFormat="1" ht="25" customHeight="1" spans="1:13">
      <c r="A36" s="7">
        <v>8</v>
      </c>
      <c r="B36" s="8" t="s">
        <v>65</v>
      </c>
      <c r="C36" s="10">
        <v>0</v>
      </c>
      <c r="D36" s="10">
        <v>0</v>
      </c>
      <c r="E36" s="10">
        <f>C36+D36</f>
        <v>0</v>
      </c>
      <c r="F36" s="10" t="s">
        <v>35</v>
      </c>
      <c r="G36" s="10">
        <f>0+0+0+0+0+0+0+0</f>
        <v>0</v>
      </c>
      <c r="H36" s="22"/>
      <c r="I36" s="7">
        <v>7.5</v>
      </c>
      <c r="J36" s="14"/>
      <c r="K36" s="37"/>
      <c r="L36" s="27"/>
      <c r="M36" s="38"/>
    </row>
    <row r="37" s="1" customFormat="1" ht="25" customHeight="1" spans="1:13">
      <c r="A37" s="7">
        <v>9</v>
      </c>
      <c r="B37" s="8" t="s">
        <v>66</v>
      </c>
      <c r="C37" s="10">
        <v>0</v>
      </c>
      <c r="D37" s="10">
        <v>0</v>
      </c>
      <c r="E37" s="10">
        <f>C37+D37</f>
        <v>0</v>
      </c>
      <c r="F37" s="10" t="s">
        <v>35</v>
      </c>
      <c r="G37" s="10">
        <f>0+0+0+0+0+0+0+0</f>
        <v>0</v>
      </c>
      <c r="H37" s="22"/>
      <c r="I37" s="7">
        <v>64.2764</v>
      </c>
      <c r="J37" s="35"/>
      <c r="K37" s="37"/>
      <c r="L37" s="27"/>
      <c r="M37" s="38"/>
    </row>
    <row r="38" s="1" customFormat="1" ht="25" customHeight="1" spans="1:13">
      <c r="A38" s="7">
        <v>10</v>
      </c>
      <c r="B38" s="8" t="s">
        <v>67</v>
      </c>
      <c r="C38" s="7">
        <v>0</v>
      </c>
      <c r="D38" s="7">
        <v>0</v>
      </c>
      <c r="E38" s="10">
        <f>D38+C38</f>
        <v>0</v>
      </c>
      <c r="F38" s="10" t="s">
        <v>45</v>
      </c>
      <c r="G38" s="10">
        <f>0+0+2+0+0+0+2+0</f>
        <v>4</v>
      </c>
      <c r="H38" s="22"/>
      <c r="I38" s="10">
        <v>0</v>
      </c>
      <c r="J38" s="35"/>
      <c r="K38" s="27"/>
      <c r="L38" s="19" t="s">
        <v>68</v>
      </c>
      <c r="M38" s="7">
        <v>9</v>
      </c>
    </row>
    <row r="39" s="1" customFormat="1" ht="80" customHeight="1" spans="1:13">
      <c r="A39" s="7">
        <v>11</v>
      </c>
      <c r="B39" s="32" t="s">
        <v>55</v>
      </c>
      <c r="C39" s="27" t="s">
        <v>69</v>
      </c>
      <c r="D39" s="28"/>
      <c r="E39" s="28"/>
      <c r="F39" s="28"/>
      <c r="G39" s="28"/>
      <c r="H39" s="28"/>
      <c r="I39" s="28"/>
      <c r="J39" s="28"/>
      <c r="K39" s="28"/>
      <c r="L39" s="29"/>
      <c r="M39" s="32"/>
    </row>
    <row r="47" s="1" customFormat="1" spans="1:13">
      <c r="C47" s="33"/>
      <c r="D47" s="33"/>
      <c r="J47" s="34"/>
    </row>
    <row r="48" spans="1:13">
      <c r="L48" s="1"/>
    </row>
  </sheetData>
  <mergeCells count="10">
    <mergeCell ref="A1:M1"/>
    <mergeCell ref="C23:L23"/>
    <mergeCell ref="C24:L24"/>
    <mergeCell ref="C25:L25"/>
    <mergeCell ref="A27:M27"/>
    <mergeCell ref="C39:L39"/>
    <mergeCell ref="A5:A8"/>
    <mergeCell ref="H5:H8"/>
    <mergeCell ref="I5:I8"/>
    <mergeCell ref="N15:N16"/>
  </mergeCells>
  <pageMargins left="0.75" right="0.75" top="1" bottom="1" header="0.5" footer="0.5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zoomScale="85" zoomScaleNormal="85" workbookViewId="0">
      <selection activeCell="J10" sqref="J10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115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8" customHeight="1" spans="1:13">
      <c r="A3" s="7">
        <v>1</v>
      </c>
      <c r="B3" s="8" t="s">
        <v>13</v>
      </c>
      <c r="C3" s="9">
        <v>6</v>
      </c>
      <c r="D3" s="9">
        <v>9</v>
      </c>
      <c r="E3" s="10">
        <f t="shared" ref="E3:E12" si="0">C3+D3</f>
        <v>15</v>
      </c>
      <c r="F3" s="10" t="s">
        <v>14</v>
      </c>
      <c r="G3" s="10">
        <f>12+0+0+0+6+13+13+13+15</f>
        <v>72</v>
      </c>
      <c r="H3" s="10">
        <v>330</v>
      </c>
      <c r="I3" s="10">
        <f>H3-G3</f>
        <v>258</v>
      </c>
      <c r="J3" s="11"/>
      <c r="K3" s="10"/>
      <c r="L3" s="10"/>
      <c r="M3" s="10">
        <f>I3/21</f>
        <v>12.2857142857143</v>
      </c>
    </row>
    <row r="4" s="1" customFormat="1" ht="38" customHeight="1" spans="1:13">
      <c r="A4" s="12">
        <v>2</v>
      </c>
      <c r="B4" s="8" t="s">
        <v>18</v>
      </c>
      <c r="C4" s="9">
        <v>14</v>
      </c>
      <c r="D4" s="9"/>
      <c r="E4" s="10">
        <f t="shared" si="0"/>
        <v>14</v>
      </c>
      <c r="F4" s="10" t="s">
        <v>14</v>
      </c>
      <c r="G4" s="10">
        <f>12+8+0+0+0+6+14+12+14</f>
        <v>66</v>
      </c>
      <c r="H4" s="13"/>
      <c r="I4" s="13"/>
      <c r="J4" s="11"/>
      <c r="K4" s="10"/>
      <c r="L4" s="10"/>
      <c r="M4" s="10"/>
    </row>
    <row r="5" s="1" customFormat="1" ht="38" customHeight="1" spans="1:13">
      <c r="A5" s="12">
        <v>3</v>
      </c>
      <c r="B5" s="8" t="s">
        <v>21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65+0+0+0+0+0+0+0+0</f>
        <v>65</v>
      </c>
      <c r="H5" s="10">
        <v>4950</v>
      </c>
      <c r="I5" s="10">
        <f>H5-G5-G7-G6</f>
        <v>3940</v>
      </c>
      <c r="J5" s="14"/>
      <c r="K5" s="10"/>
      <c r="L5" s="10"/>
      <c r="M5" s="10"/>
    </row>
    <row r="6" s="1" customFormat="1" ht="38" customHeight="1" spans="1:13">
      <c r="A6" s="15"/>
      <c r="B6" s="8" t="s">
        <v>23</v>
      </c>
      <c r="C6" s="10">
        <v>88</v>
      </c>
      <c r="D6" s="10">
        <v>101</v>
      </c>
      <c r="E6" s="10">
        <f t="shared" si="0"/>
        <v>189</v>
      </c>
      <c r="F6" s="10" t="s">
        <v>14</v>
      </c>
      <c r="G6" s="10">
        <f>0+0+0+0+183+194+174+196+189</f>
        <v>936</v>
      </c>
      <c r="H6" s="15"/>
      <c r="I6" s="15"/>
      <c r="J6" s="11"/>
      <c r="K6" s="10"/>
      <c r="L6" s="10"/>
      <c r="M6" s="16"/>
    </row>
    <row r="7" s="1" customFormat="1" ht="38" customHeight="1" spans="1:13">
      <c r="A7" s="15"/>
      <c r="B7" s="8" t="s">
        <v>25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0+0+0+8+1+0+0+0+0</f>
        <v>9</v>
      </c>
      <c r="H7" s="15"/>
      <c r="I7" s="15"/>
      <c r="J7" s="11"/>
      <c r="K7" s="10"/>
      <c r="L7" s="10"/>
      <c r="M7" s="10"/>
    </row>
    <row r="8" s="1" customFormat="1" ht="38" customHeight="1" spans="1:13">
      <c r="A8" s="15"/>
      <c r="B8" s="8" t="s">
        <v>27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</f>
        <v>0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29</v>
      </c>
      <c r="C9" s="13">
        <v>30.96</v>
      </c>
      <c r="D9" s="13"/>
      <c r="E9" s="10">
        <f t="shared" si="0"/>
        <v>30.96</v>
      </c>
      <c r="F9" s="13" t="s">
        <v>14</v>
      </c>
      <c r="G9" s="10">
        <f>0+31.23+0+31.02+0+30.93+30.89+30.97+30.96</f>
        <v>186</v>
      </c>
      <c r="H9" s="13">
        <v>6.08</v>
      </c>
      <c r="I9" s="13">
        <f>H9-K10</f>
        <v>4.483473</v>
      </c>
      <c r="J9" s="19" t="s">
        <v>30</v>
      </c>
      <c r="K9" s="10">
        <v>60</v>
      </c>
      <c r="L9" s="10">
        <v>0.91</v>
      </c>
      <c r="M9" s="20"/>
    </row>
    <row r="10" s="1" customFormat="1" ht="25" customHeight="1" spans="1:13">
      <c r="A10" s="7">
        <v>5</v>
      </c>
      <c r="B10" s="8" t="s">
        <v>31</v>
      </c>
      <c r="C10" s="10">
        <v>7.398</v>
      </c>
      <c r="D10" s="10">
        <v>3.213</v>
      </c>
      <c r="E10" s="10">
        <f t="shared" si="0"/>
        <v>10.611</v>
      </c>
      <c r="F10" s="10" t="s">
        <v>14</v>
      </c>
      <c r="G10" s="10">
        <f>6.831+0+0+0+6.6555+7.614+14.958+12.744+10.611</f>
        <v>59.4135</v>
      </c>
      <c r="H10" s="10"/>
      <c r="I10" s="10">
        <f>G10/(G3*0.1865)</f>
        <v>4.42459785522788</v>
      </c>
      <c r="J10" s="19" t="s">
        <v>32</v>
      </c>
      <c r="K10" s="20">
        <f>0+0.268578+0+0.257466+0+0.256719+0.253298+0.27873+0.281736</f>
        <v>1.596527</v>
      </c>
      <c r="L10" s="10"/>
      <c r="M10" s="10">
        <f>C9*L9/100</f>
        <v>0.281736</v>
      </c>
    </row>
    <row r="11" s="1" customFormat="1" ht="25" customHeight="1" spans="1:13">
      <c r="A11" s="7">
        <v>6</v>
      </c>
      <c r="B11" s="8" t="s">
        <v>33</v>
      </c>
      <c r="C11" s="10">
        <v>16.56</v>
      </c>
      <c r="D11" s="10">
        <v>0</v>
      </c>
      <c r="E11" s="10">
        <f t="shared" si="0"/>
        <v>16.56</v>
      </c>
      <c r="F11" s="10" t="s">
        <v>14</v>
      </c>
      <c r="G11" s="10">
        <f>14.352+0+0+0+6.7344+17.5536+13.2664+17.664+16.56</f>
        <v>86.1304</v>
      </c>
      <c r="H11" s="10"/>
      <c r="I11" s="10">
        <f>G11/(G3*0.1865)</f>
        <v>6.41423890378314</v>
      </c>
      <c r="J11" s="11"/>
      <c r="K11" s="10"/>
      <c r="L11" s="10"/>
      <c r="M11" s="21"/>
    </row>
    <row r="12" s="1" customFormat="1" ht="25" customHeight="1" spans="1:13">
      <c r="A12" s="7">
        <v>7</v>
      </c>
      <c r="B12" s="8" t="s">
        <v>34</v>
      </c>
      <c r="C12" s="10">
        <v>277</v>
      </c>
      <c r="D12" s="10">
        <v>213</v>
      </c>
      <c r="E12" s="10">
        <f t="shared" si="0"/>
        <v>490</v>
      </c>
      <c r="F12" s="10" t="s">
        <v>35</v>
      </c>
      <c r="G12" s="10">
        <f>472+11+0+16+206+451+454+465+490</f>
        <v>2565</v>
      </c>
      <c r="H12" s="10">
        <f>G12*1.05</f>
        <v>2693.25</v>
      </c>
      <c r="I12" s="10"/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36</v>
      </c>
      <c r="C13" s="10">
        <v>265</v>
      </c>
      <c r="D13" s="10">
        <v>202</v>
      </c>
      <c r="E13" s="10">
        <f t="shared" ref="E13:E21" si="1">D13+C13</f>
        <v>467</v>
      </c>
      <c r="F13" s="10" t="s">
        <v>35</v>
      </c>
      <c r="G13" s="10">
        <f>372+0+0+0+195+420+417+363+467</f>
        <v>2234</v>
      </c>
      <c r="H13" s="10"/>
      <c r="I13" s="10"/>
      <c r="J13" s="14"/>
      <c r="K13" s="10"/>
      <c r="L13" s="10"/>
      <c r="M13" s="10"/>
    </row>
    <row r="14" s="1" customFormat="1" ht="25" customHeight="1" spans="1:13">
      <c r="A14" s="7">
        <v>9</v>
      </c>
      <c r="B14" s="8" t="s">
        <v>37</v>
      </c>
      <c r="C14" s="10">
        <v>383.51</v>
      </c>
      <c r="D14" s="10">
        <v>344.73</v>
      </c>
      <c r="E14" s="10">
        <f t="shared" si="1"/>
        <v>728.24</v>
      </c>
      <c r="F14" s="10" t="s">
        <v>35</v>
      </c>
      <c r="G14" s="10">
        <f>209.75+0+0+0+370.64+733.22+886.44+846.58+728.24</f>
        <v>3774.87</v>
      </c>
      <c r="H14" s="10"/>
      <c r="I14" s="10"/>
      <c r="J14" s="19" t="s">
        <v>38</v>
      </c>
      <c r="K14" s="10">
        <v>2.94</v>
      </c>
      <c r="L14" s="10">
        <v>3.01</v>
      </c>
      <c r="M14" s="10"/>
    </row>
    <row r="15" s="1" customFormat="1" ht="25" customHeight="1" spans="1:13">
      <c r="A15" s="7">
        <v>10</v>
      </c>
      <c r="B15" s="8" t="s">
        <v>39</v>
      </c>
      <c r="C15" s="10">
        <v>18</v>
      </c>
      <c r="D15" s="10">
        <v>15</v>
      </c>
      <c r="E15" s="10">
        <f t="shared" si="1"/>
        <v>33</v>
      </c>
      <c r="F15" s="10" t="s">
        <v>14</v>
      </c>
      <c r="G15" s="10">
        <f>24+0+0+0+21+27+33+30+33</f>
        <v>168</v>
      </c>
      <c r="H15" s="10"/>
      <c r="I15" s="10">
        <f>G15/(G3*0.1865)</f>
        <v>12.5111706881144</v>
      </c>
      <c r="J15" s="19" t="s">
        <v>40</v>
      </c>
      <c r="K15" s="20">
        <f>0.641835+0+0+0+1.0970944+2.2635878+2.9007565+2.4932712+2.1651567</f>
        <v>11.5617016</v>
      </c>
      <c r="L15" s="10"/>
      <c r="M15" s="10">
        <f>(C14*K14+L14*D14)/1000</f>
        <v>2.1651567</v>
      </c>
    </row>
    <row r="16" s="1" customFormat="1" ht="25" customHeight="1" spans="1:13">
      <c r="A16" s="7">
        <v>11</v>
      </c>
      <c r="B16" s="8" t="s">
        <v>41</v>
      </c>
      <c r="C16" s="7">
        <v>0</v>
      </c>
      <c r="D16" s="7">
        <v>0</v>
      </c>
      <c r="E16" s="10">
        <f t="shared" si="1"/>
        <v>0</v>
      </c>
      <c r="F16" s="10" t="s">
        <v>14</v>
      </c>
      <c r="G16" s="10">
        <f>0+0+0+0+0+0.0875+0+0.075+0</f>
        <v>0.1625</v>
      </c>
      <c r="H16" s="22"/>
      <c r="I16" s="22"/>
      <c r="J16" s="11"/>
      <c r="K16" s="22"/>
      <c r="L16" s="22"/>
      <c r="M16" s="10"/>
    </row>
    <row r="17" s="1" customFormat="1" ht="25" customHeight="1" spans="1:13">
      <c r="A17" s="12">
        <v>12</v>
      </c>
      <c r="B17" s="8" t="s">
        <v>42</v>
      </c>
      <c r="C17" s="10">
        <v>0</v>
      </c>
      <c r="D17" s="7">
        <v>0</v>
      </c>
      <c r="E17" s="10">
        <f t="shared" si="1"/>
        <v>0</v>
      </c>
      <c r="F17" s="10" t="s">
        <v>14</v>
      </c>
      <c r="G17" s="10">
        <f>2+0+0+0+0+2+0+2+0</f>
        <v>6</v>
      </c>
      <c r="H17" s="22"/>
      <c r="I17" s="10">
        <f>G17/(G3*0.1865)</f>
        <v>0.446827524575514</v>
      </c>
      <c r="J17" s="11"/>
      <c r="K17" s="22"/>
      <c r="L17" s="22"/>
      <c r="M17" s="10"/>
    </row>
    <row r="18" s="1" customFormat="1" ht="25" customHeight="1" spans="1:13">
      <c r="A18" s="7">
        <v>13</v>
      </c>
      <c r="B18" s="8" t="s">
        <v>43</v>
      </c>
      <c r="C18" s="10">
        <v>0</v>
      </c>
      <c r="D18" s="7">
        <v>0</v>
      </c>
      <c r="E18" s="10">
        <f t="shared" si="1"/>
        <v>0</v>
      </c>
      <c r="F18" s="10" t="s">
        <v>14</v>
      </c>
      <c r="G18" s="10">
        <f>2+0+0+0+0+2+0+2+0</f>
        <v>6</v>
      </c>
      <c r="H18" s="22"/>
      <c r="I18" s="10">
        <f>G18/(G3*0.1865)</f>
        <v>0.446827524575514</v>
      </c>
      <c r="J18" s="11"/>
      <c r="K18" s="22"/>
      <c r="L18" s="22"/>
      <c r="M18" s="10"/>
    </row>
    <row r="19" s="1" customFormat="1" ht="25" customHeight="1" spans="1:13">
      <c r="A19" s="7">
        <v>14</v>
      </c>
      <c r="B19" s="8" t="s">
        <v>44</v>
      </c>
      <c r="C19" s="10">
        <v>3</v>
      </c>
      <c r="D19" s="7">
        <v>4</v>
      </c>
      <c r="E19" s="10">
        <f t="shared" si="1"/>
        <v>7</v>
      </c>
      <c r="F19" s="10" t="s">
        <v>45</v>
      </c>
      <c r="G19" s="10">
        <f>5+0+0+0+3+7+8+6+7</f>
        <v>36</v>
      </c>
      <c r="H19" s="22"/>
      <c r="I19" s="22"/>
      <c r="J19" s="11"/>
      <c r="K19" s="22"/>
      <c r="L19" s="22"/>
      <c r="M19" s="10"/>
    </row>
    <row r="20" s="1" customFormat="1" ht="25" customHeight="1" spans="1:13">
      <c r="A20" s="7">
        <v>15</v>
      </c>
      <c r="B20" s="8" t="s">
        <v>46</v>
      </c>
      <c r="C20" s="7">
        <v>597</v>
      </c>
      <c r="D20" s="7">
        <v>516</v>
      </c>
      <c r="E20" s="10">
        <f t="shared" si="1"/>
        <v>1113</v>
      </c>
      <c r="F20" s="10" t="s">
        <v>35</v>
      </c>
      <c r="G20" s="10">
        <f>507+0+0+339+1006+1051+1056+1200+1113</f>
        <v>6272</v>
      </c>
      <c r="H20" s="23"/>
      <c r="I20" s="10">
        <f>E20/M20</f>
        <v>46.375</v>
      </c>
      <c r="J20" s="19" t="s">
        <v>47</v>
      </c>
      <c r="K20" s="10">
        <f>7.5+0+0+6+24+24+24+24+24</f>
        <v>133.5</v>
      </c>
      <c r="L20" s="10">
        <f>G20/K20</f>
        <v>46.9812734082397</v>
      </c>
      <c r="M20" s="10">
        <v>24</v>
      </c>
    </row>
    <row r="21" s="1" customFormat="1" ht="25" customHeight="1" spans="1:13">
      <c r="A21" s="12">
        <v>16</v>
      </c>
      <c r="B21" s="8" t="s">
        <v>48</v>
      </c>
      <c r="C21" s="7">
        <v>819</v>
      </c>
      <c r="D21" s="7">
        <v>631</v>
      </c>
      <c r="E21" s="10">
        <f t="shared" si="1"/>
        <v>1450</v>
      </c>
      <c r="F21" s="10" t="s">
        <v>35</v>
      </c>
      <c r="G21" s="10">
        <f>547+0+0+662+1124+1392+1384+1483+1450</f>
        <v>8042</v>
      </c>
      <c r="H21" s="22"/>
      <c r="I21" s="10">
        <f>E21/M20</f>
        <v>60.4166666666667</v>
      </c>
      <c r="J21" s="11"/>
      <c r="K21" s="22"/>
      <c r="L21" s="22"/>
      <c r="M21" s="10"/>
    </row>
    <row r="22" s="1" customFormat="1" ht="25" customHeight="1" spans="1:13">
      <c r="A22" s="7">
        <v>17</v>
      </c>
      <c r="B22" s="8" t="s">
        <v>49</v>
      </c>
      <c r="C22" s="12">
        <v>27.41</v>
      </c>
      <c r="D22" s="12">
        <v>28.66</v>
      </c>
      <c r="E22" s="13"/>
      <c r="F22" s="13" t="s">
        <v>50</v>
      </c>
      <c r="G22" s="13"/>
      <c r="H22" s="24"/>
      <c r="I22" s="24"/>
      <c r="J22" s="25"/>
      <c r="K22" s="24"/>
      <c r="L22" s="24"/>
      <c r="M22" s="10"/>
    </row>
    <row r="23" s="1" customFormat="1" ht="32" customHeight="1" spans="1:13">
      <c r="A23" s="7">
        <v>18</v>
      </c>
      <c r="B23" s="26" t="s">
        <v>116</v>
      </c>
      <c r="C23" s="27" t="s">
        <v>117</v>
      </c>
      <c r="D23" s="28"/>
      <c r="E23" s="28"/>
      <c r="F23" s="28"/>
      <c r="G23" s="28"/>
      <c r="H23" s="28"/>
      <c r="I23" s="28"/>
      <c r="J23" s="28"/>
      <c r="K23" s="28"/>
      <c r="L23" s="29"/>
      <c r="M23" s="40" t="s">
        <v>20</v>
      </c>
    </row>
    <row r="24" s="1" customFormat="1" ht="32" customHeight="1" spans="1:13">
      <c r="A24" s="7">
        <v>19</v>
      </c>
      <c r="B24" s="26" t="s">
        <v>118</v>
      </c>
      <c r="C24" s="27" t="s">
        <v>119</v>
      </c>
      <c r="D24" s="28"/>
      <c r="E24" s="28"/>
      <c r="F24" s="28"/>
      <c r="G24" s="28"/>
      <c r="H24" s="28"/>
      <c r="I24" s="28"/>
      <c r="J24" s="28"/>
      <c r="K24" s="28"/>
      <c r="L24" s="29"/>
      <c r="M24" s="40" t="s">
        <v>20</v>
      </c>
    </row>
    <row r="25" s="1" customFormat="1" ht="80" customHeight="1" spans="1:13">
      <c r="A25" s="7">
        <v>20</v>
      </c>
      <c r="B25" s="31" t="s">
        <v>55</v>
      </c>
      <c r="C25" s="27" t="s">
        <v>85</v>
      </c>
      <c r="D25" s="28"/>
      <c r="E25" s="28"/>
      <c r="F25" s="28"/>
      <c r="G25" s="28"/>
      <c r="H25" s="28"/>
      <c r="I25" s="28"/>
      <c r="J25" s="28"/>
      <c r="K25" s="28"/>
      <c r="L25" s="29"/>
      <c r="M25" s="39"/>
    </row>
    <row r="26" s="1" customFormat="1" ht="14" customHeight="1" spans="1:13">
      <c r="C26" s="33"/>
      <c r="D26" s="33"/>
      <c r="J26" s="34"/>
    </row>
    <row r="27" s="1" customFormat="1" ht="45" customHeight="1" spans="1:13">
      <c r="A27" s="5" t="s">
        <v>120</v>
      </c>
    </row>
    <row r="28" s="1" customFormat="1" ht="30" customHeight="1" spans="1:13">
      <c r="A28" s="6" t="s">
        <v>58</v>
      </c>
      <c r="B28" s="6" t="s">
        <v>59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7">
        <v>1</v>
      </c>
      <c r="B29" s="8" t="s">
        <v>60</v>
      </c>
      <c r="C29" s="10">
        <v>0</v>
      </c>
      <c r="D29" s="10">
        <v>0</v>
      </c>
      <c r="E29" s="10">
        <f t="shared" ref="E29:E35" si="2">D29+C29</f>
        <v>0</v>
      </c>
      <c r="F29" s="10" t="s">
        <v>35</v>
      </c>
      <c r="G29" s="10">
        <f>0+0+0+0+0+0+0+0+0</f>
        <v>0</v>
      </c>
      <c r="H29" s="10"/>
      <c r="I29" s="10"/>
      <c r="J29" s="11"/>
      <c r="K29" s="22"/>
      <c r="L29" s="22"/>
      <c r="M29" s="10"/>
    </row>
    <row r="30" s="1" customFormat="1" ht="25" customHeight="1" spans="1:13">
      <c r="A30" s="7">
        <v>2</v>
      </c>
      <c r="B30" s="8" t="s">
        <v>61</v>
      </c>
      <c r="C30" s="10">
        <v>6.36</v>
      </c>
      <c r="D30" s="10">
        <v>8.34</v>
      </c>
      <c r="E30" s="10">
        <f t="shared" si="2"/>
        <v>14.7</v>
      </c>
      <c r="F30" s="10" t="s">
        <v>35</v>
      </c>
      <c r="G30" s="10">
        <f>0+0+0+0+0+0+12.6+12.59+14.7</f>
        <v>39.89</v>
      </c>
      <c r="H30" s="10"/>
      <c r="I30" s="10"/>
      <c r="J30" s="11"/>
      <c r="K30" s="22"/>
      <c r="L30" s="22"/>
      <c r="M30" s="21"/>
    </row>
    <row r="31" s="1" customFormat="1" ht="25" customHeight="1" spans="1:13">
      <c r="A31" s="7">
        <v>3</v>
      </c>
      <c r="B31" s="8" t="s">
        <v>62</v>
      </c>
      <c r="C31" s="10">
        <v>7</v>
      </c>
      <c r="D31" s="10">
        <v>19</v>
      </c>
      <c r="E31" s="10">
        <f t="shared" si="2"/>
        <v>26</v>
      </c>
      <c r="F31" s="10" t="s">
        <v>35</v>
      </c>
      <c r="G31" s="10">
        <f>9+33+13+24+43.31+38+19+17+26</f>
        <v>222.31</v>
      </c>
      <c r="H31" s="10"/>
      <c r="I31" s="10"/>
      <c r="J31" s="11"/>
      <c r="K31" s="22"/>
      <c r="L31" s="22"/>
      <c r="M31" s="21"/>
    </row>
    <row r="32" s="1" customFormat="1" ht="25" customHeight="1" spans="1:13">
      <c r="A32" s="7">
        <v>4</v>
      </c>
      <c r="B32" s="8" t="s">
        <v>31</v>
      </c>
      <c r="C32" s="10">
        <v>8.1945</v>
      </c>
      <c r="D32" s="10">
        <v>0</v>
      </c>
      <c r="E32" s="10">
        <f t="shared" si="2"/>
        <v>8.1945</v>
      </c>
      <c r="F32" s="10" t="s">
        <v>14</v>
      </c>
      <c r="G32" s="10">
        <f>0+0+0+0+0+0+0+0+8.1945</f>
        <v>8.1945</v>
      </c>
      <c r="H32" s="10"/>
      <c r="J32" s="11"/>
      <c r="K32" s="22"/>
      <c r="L32" s="22"/>
      <c r="M32" s="22"/>
    </row>
    <row r="33" s="1" customFormat="1" ht="25" customHeight="1" spans="1:13">
      <c r="A33" s="7">
        <v>5</v>
      </c>
      <c r="B33" s="8" t="s">
        <v>33</v>
      </c>
      <c r="C33" s="10">
        <v>0</v>
      </c>
      <c r="D33" s="10">
        <v>0</v>
      </c>
      <c r="E33" s="10">
        <f t="shared" si="2"/>
        <v>0</v>
      </c>
      <c r="F33" s="10" t="s">
        <v>14</v>
      </c>
      <c r="G33" s="10">
        <f>0+0+0+0+0+0+0+0+0</f>
        <v>0</v>
      </c>
      <c r="H33" s="10"/>
      <c r="I33" s="10"/>
      <c r="J33" s="14"/>
      <c r="K33" s="22"/>
      <c r="L33" s="22"/>
      <c r="M33" s="22"/>
    </row>
    <row r="34" s="1" customFormat="1" ht="25" customHeight="1" spans="1:13">
      <c r="A34" s="7">
        <v>6</v>
      </c>
      <c r="B34" s="8" t="s">
        <v>63</v>
      </c>
      <c r="C34" s="10">
        <v>165</v>
      </c>
      <c r="D34" s="10">
        <v>156</v>
      </c>
      <c r="E34" s="10">
        <f t="shared" si="2"/>
        <v>321</v>
      </c>
      <c r="F34" s="10" t="s">
        <v>35</v>
      </c>
      <c r="G34" s="10">
        <f>580+604+307+408+430+215+238+250+321</f>
        <v>3353</v>
      </c>
      <c r="H34" s="10"/>
      <c r="I34" s="10"/>
      <c r="J34" s="35"/>
      <c r="K34" s="22"/>
      <c r="L34" s="10"/>
      <c r="M34" s="22"/>
    </row>
    <row r="35" s="1" customFormat="1" ht="25" customHeight="1" spans="1:13">
      <c r="A35" s="7">
        <v>7</v>
      </c>
      <c r="B35" s="8" t="s">
        <v>64</v>
      </c>
      <c r="C35" s="10">
        <v>504</v>
      </c>
      <c r="D35" s="10">
        <v>501</v>
      </c>
      <c r="E35" s="10">
        <f t="shared" si="2"/>
        <v>1005</v>
      </c>
      <c r="F35" s="10" t="s">
        <v>35</v>
      </c>
      <c r="G35" s="10">
        <f>1010+819+776+499+966+1008+1007+1010+1005</f>
        <v>8100</v>
      </c>
      <c r="H35" s="10"/>
      <c r="I35" s="10"/>
      <c r="J35" s="36"/>
      <c r="K35" s="22"/>
      <c r="L35" s="10"/>
      <c r="M35" s="22"/>
    </row>
    <row r="36" s="1" customFormat="1" ht="25" customHeight="1" spans="1:13">
      <c r="A36" s="7">
        <v>8</v>
      </c>
      <c r="B36" s="8" t="s">
        <v>65</v>
      </c>
      <c r="C36" s="10">
        <v>0</v>
      </c>
      <c r="D36" s="10">
        <v>0</v>
      </c>
      <c r="E36" s="10">
        <f>C36+D36</f>
        <v>0</v>
      </c>
      <c r="F36" s="10" t="s">
        <v>35</v>
      </c>
      <c r="G36" s="10">
        <f>0+0+0+0+0+0+0+0+0</f>
        <v>0</v>
      </c>
      <c r="H36" s="22"/>
      <c r="I36" s="7">
        <v>637.5</v>
      </c>
      <c r="J36" s="14"/>
      <c r="K36" s="37"/>
      <c r="L36" s="27"/>
      <c r="M36" s="38"/>
    </row>
    <row r="37" s="1" customFormat="1" ht="25" customHeight="1" spans="1:13">
      <c r="A37" s="7">
        <v>9</v>
      </c>
      <c r="B37" s="8" t="s">
        <v>66</v>
      </c>
      <c r="C37" s="10">
        <v>0</v>
      </c>
      <c r="D37" s="10">
        <v>0</v>
      </c>
      <c r="E37" s="10">
        <f>C37+D37</f>
        <v>0</v>
      </c>
      <c r="F37" s="10" t="s">
        <v>35</v>
      </c>
      <c r="G37" s="10">
        <f>0+0+0+0+0+0+0+0+0</f>
        <v>0</v>
      </c>
      <c r="H37" s="22"/>
      <c r="I37" s="7">
        <v>65.145</v>
      </c>
      <c r="J37" s="35"/>
      <c r="K37" s="37"/>
      <c r="L37" s="27"/>
      <c r="M37" s="38"/>
    </row>
    <row r="38" s="1" customFormat="1" ht="25" customHeight="1" spans="1:13">
      <c r="A38" s="7">
        <v>10</v>
      </c>
      <c r="B38" s="8" t="s">
        <v>67</v>
      </c>
      <c r="C38" s="7">
        <v>1</v>
      </c>
      <c r="D38" s="7">
        <v>2</v>
      </c>
      <c r="E38" s="10">
        <f>D38+C38</f>
        <v>3</v>
      </c>
      <c r="F38" s="10" t="s">
        <v>45</v>
      </c>
      <c r="G38" s="10">
        <f>0+0+2+0+0+0+2+0+3</f>
        <v>7</v>
      </c>
      <c r="H38" s="22"/>
      <c r="I38" s="10">
        <v>0</v>
      </c>
      <c r="J38" s="35"/>
      <c r="K38" s="27"/>
      <c r="L38" s="19" t="s">
        <v>68</v>
      </c>
      <c r="M38" s="7">
        <v>12</v>
      </c>
    </row>
    <row r="39" s="1" customFormat="1" ht="80" customHeight="1" spans="1:13">
      <c r="A39" s="7">
        <v>11</v>
      </c>
      <c r="B39" s="32" t="s">
        <v>55</v>
      </c>
      <c r="C39" s="27" t="s">
        <v>69</v>
      </c>
      <c r="D39" s="28"/>
      <c r="E39" s="28"/>
      <c r="F39" s="28"/>
      <c r="G39" s="28"/>
      <c r="H39" s="28"/>
      <c r="I39" s="28"/>
      <c r="J39" s="28"/>
      <c r="K39" s="28"/>
      <c r="L39" s="29"/>
      <c r="M39" s="32"/>
    </row>
    <row r="47" s="1" customFormat="1" spans="1:13">
      <c r="C47" s="33"/>
      <c r="D47" s="33"/>
      <c r="J47" s="34"/>
    </row>
    <row r="48" spans="1:13">
      <c r="L48" s="1"/>
    </row>
  </sheetData>
  <mergeCells count="9">
    <mergeCell ref="A1:M1"/>
    <mergeCell ref="C23:L23"/>
    <mergeCell ref="C24:L24"/>
    <mergeCell ref="C25:L25"/>
    <mergeCell ref="A27:M27"/>
    <mergeCell ref="C39:L39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zoomScale="85" zoomScaleNormal="85" workbookViewId="0">
      <selection activeCell="J10" sqref="J10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121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8" customHeight="1" spans="1:13">
      <c r="A3" s="7">
        <v>1</v>
      </c>
      <c r="B3" s="8" t="s">
        <v>13</v>
      </c>
      <c r="C3" s="9">
        <v>5</v>
      </c>
      <c r="D3" s="9">
        <v>4</v>
      </c>
      <c r="E3" s="10">
        <f t="shared" ref="E3:E12" si="0">C3+D3</f>
        <v>9</v>
      </c>
      <c r="F3" s="10" t="s">
        <v>14</v>
      </c>
      <c r="G3" s="10">
        <f>12+0+0+0+6+13+13+13+15+9</f>
        <v>81</v>
      </c>
      <c r="H3" s="10">
        <v>330</v>
      </c>
      <c r="I3" s="10">
        <f>H3-G3</f>
        <v>249</v>
      </c>
      <c r="J3" s="11"/>
      <c r="K3" s="10"/>
      <c r="L3" s="10"/>
      <c r="M3" s="10">
        <f>I3/20</f>
        <v>12.45</v>
      </c>
    </row>
    <row r="4" s="1" customFormat="1" ht="38" customHeight="1" spans="1:13">
      <c r="A4" s="12">
        <v>2</v>
      </c>
      <c r="B4" s="8" t="s">
        <v>18</v>
      </c>
      <c r="C4" s="9">
        <v>14</v>
      </c>
      <c r="D4" s="9"/>
      <c r="E4" s="10">
        <f t="shared" si="0"/>
        <v>14</v>
      </c>
      <c r="F4" s="10" t="s">
        <v>14</v>
      </c>
      <c r="G4" s="10">
        <f>12+8+0+0+0+6+14+12+14+14</f>
        <v>80</v>
      </c>
      <c r="H4" s="13"/>
      <c r="I4" s="13"/>
      <c r="J4" s="11"/>
      <c r="K4" s="10"/>
      <c r="L4" s="10"/>
      <c r="M4" s="10"/>
    </row>
    <row r="5" s="1" customFormat="1" ht="38" customHeight="1" spans="1:13">
      <c r="A5" s="12">
        <v>3</v>
      </c>
      <c r="B5" s="8" t="s">
        <v>21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65+0+0+0+0+0+0+0+0+0</f>
        <v>65</v>
      </c>
      <c r="H5" s="10">
        <v>4950</v>
      </c>
      <c r="I5" s="10">
        <f>H5-G5-G7-G6</f>
        <v>3766</v>
      </c>
      <c r="J5" s="14"/>
      <c r="K5" s="10"/>
      <c r="L5" s="10"/>
      <c r="M5" s="10"/>
    </row>
    <row r="6" s="1" customFormat="1" ht="38" customHeight="1" spans="1:13">
      <c r="A6" s="15"/>
      <c r="B6" s="8" t="s">
        <v>23</v>
      </c>
      <c r="C6" s="10">
        <v>92</v>
      </c>
      <c r="D6" s="10">
        <v>82</v>
      </c>
      <c r="E6" s="10">
        <f t="shared" si="0"/>
        <v>174</v>
      </c>
      <c r="F6" s="10" t="s">
        <v>14</v>
      </c>
      <c r="G6" s="10">
        <f>0+0+0+0+183+194+174+196+189+174</f>
        <v>1110</v>
      </c>
      <c r="H6" s="15"/>
      <c r="I6" s="15"/>
      <c r="J6" s="11"/>
      <c r="K6" s="10"/>
      <c r="L6" s="10"/>
      <c r="M6" s="16"/>
    </row>
    <row r="7" s="1" customFormat="1" ht="38" customHeight="1" spans="1:13">
      <c r="A7" s="15"/>
      <c r="B7" s="8" t="s">
        <v>25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0+0+0+8+1+0+0+0+0+0</f>
        <v>9</v>
      </c>
      <c r="H7" s="15"/>
      <c r="I7" s="15"/>
      <c r="J7" s="11"/>
      <c r="K7" s="10"/>
      <c r="L7" s="10"/>
      <c r="M7" s="10"/>
    </row>
    <row r="8" s="1" customFormat="1" ht="38" customHeight="1" spans="1:13">
      <c r="A8" s="15"/>
      <c r="B8" s="8" t="s">
        <v>27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0+0+0+0+0+0+0+0+0+0</f>
        <v>0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29</v>
      </c>
      <c r="C9" s="13">
        <v>0</v>
      </c>
      <c r="D9" s="13"/>
      <c r="E9" s="10">
        <f t="shared" si="0"/>
        <v>0</v>
      </c>
      <c r="F9" s="13" t="s">
        <v>14</v>
      </c>
      <c r="G9" s="10">
        <f>0+31.23+0+31.02+0+30.93+30.89+30.97+30.96+0</f>
        <v>186</v>
      </c>
      <c r="H9" s="13">
        <v>6.08</v>
      </c>
      <c r="I9" s="13">
        <f>H9-K10</f>
        <v>4.483473</v>
      </c>
      <c r="J9" s="19" t="s">
        <v>30</v>
      </c>
      <c r="K9" s="10">
        <v>90</v>
      </c>
      <c r="L9" s="10">
        <v>0</v>
      </c>
      <c r="M9" s="20"/>
    </row>
    <row r="10" s="1" customFormat="1" ht="25" customHeight="1" spans="1:13">
      <c r="A10" s="7">
        <v>5</v>
      </c>
      <c r="B10" s="8" t="s">
        <v>31</v>
      </c>
      <c r="C10" s="10">
        <v>5.832</v>
      </c>
      <c r="D10" s="10">
        <v>0</v>
      </c>
      <c r="E10" s="10">
        <f t="shared" si="0"/>
        <v>5.832</v>
      </c>
      <c r="F10" s="10" t="s">
        <v>14</v>
      </c>
      <c r="G10" s="10">
        <f>6.831+0+0+0+6.6555+7.614+14.958+12.744+10.611+5.832</f>
        <v>65.2455</v>
      </c>
      <c r="H10" s="10"/>
      <c r="I10" s="10">
        <f>G10/(G3*0.1865)</f>
        <v>4.31903485254692</v>
      </c>
      <c r="J10" s="19" t="s">
        <v>32</v>
      </c>
      <c r="K10" s="20">
        <f>0+0.268578+0+0.257466+0+0.256719+0.253298+0.27873+0.281736+0</f>
        <v>1.596527</v>
      </c>
      <c r="L10" s="10"/>
      <c r="M10" s="10">
        <f>C9*L9/100</f>
        <v>0</v>
      </c>
    </row>
    <row r="11" s="1" customFormat="1" ht="25" customHeight="1" spans="1:13">
      <c r="A11" s="7">
        <v>6</v>
      </c>
      <c r="B11" s="8" t="s">
        <v>33</v>
      </c>
      <c r="C11" s="10">
        <v>14.6096</v>
      </c>
      <c r="D11" s="10">
        <v>0</v>
      </c>
      <c r="E11" s="10">
        <f t="shared" si="0"/>
        <v>14.6096</v>
      </c>
      <c r="F11" s="10" t="s">
        <v>14</v>
      </c>
      <c r="G11" s="10">
        <f>14.352+0+0+0+6.7344+17.5536+13.2664+17.664+16.56+14.6096</f>
        <v>100.74</v>
      </c>
      <c r="H11" s="10"/>
      <c r="I11" s="10">
        <f>G11/(G3*0.1865)</f>
        <v>6.66865256677589</v>
      </c>
      <c r="J11" s="11"/>
      <c r="K11" s="10"/>
      <c r="L11" s="10"/>
      <c r="M11" s="21"/>
    </row>
    <row r="12" s="1" customFormat="1" ht="25" customHeight="1" spans="1:13">
      <c r="A12" s="7">
        <v>7</v>
      </c>
      <c r="B12" s="8" t="s">
        <v>34</v>
      </c>
      <c r="C12" s="10">
        <v>184</v>
      </c>
      <c r="D12" s="10">
        <v>184</v>
      </c>
      <c r="E12" s="10">
        <f t="shared" si="0"/>
        <v>368</v>
      </c>
      <c r="F12" s="10" t="s">
        <v>35</v>
      </c>
      <c r="G12" s="10">
        <f>472+11+0+16+206+451+454+465+490+368</f>
        <v>2933</v>
      </c>
      <c r="H12" s="10">
        <f>G12*1.05</f>
        <v>3079.65</v>
      </c>
      <c r="I12" s="10"/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36</v>
      </c>
      <c r="C13" s="10">
        <v>103</v>
      </c>
      <c r="D13" s="10">
        <v>139</v>
      </c>
      <c r="E13" s="10">
        <f t="shared" ref="E13:E21" si="1">D13+C13</f>
        <v>242</v>
      </c>
      <c r="F13" s="10" t="s">
        <v>35</v>
      </c>
      <c r="G13" s="10">
        <f>372+0+0+0+195+420+417+363+467+242</f>
        <v>2476</v>
      </c>
      <c r="H13" s="10"/>
      <c r="I13" s="10"/>
      <c r="J13" s="14"/>
      <c r="K13" s="10"/>
      <c r="L13" s="10"/>
      <c r="M13" s="10"/>
    </row>
    <row r="14" s="1" customFormat="1" ht="25" customHeight="1" spans="1:13">
      <c r="A14" s="7">
        <v>9</v>
      </c>
      <c r="B14" s="8" t="s">
        <v>37</v>
      </c>
      <c r="C14" s="10">
        <v>464.82</v>
      </c>
      <c r="D14" s="10">
        <v>465.64</v>
      </c>
      <c r="E14" s="10">
        <f t="shared" si="1"/>
        <v>930.46</v>
      </c>
      <c r="F14" s="10" t="s">
        <v>35</v>
      </c>
      <c r="G14" s="10">
        <f>209.75+0+0+0+370.64+733.22+886.44+846.58+728.24+930.46</f>
        <v>4705.33</v>
      </c>
      <c r="H14" s="10"/>
      <c r="I14" s="10"/>
      <c r="J14" s="19" t="s">
        <v>38</v>
      </c>
      <c r="K14" s="10">
        <v>2.91</v>
      </c>
      <c r="L14" s="10">
        <v>2.95</v>
      </c>
      <c r="M14" s="10"/>
    </row>
    <row r="15" s="1" customFormat="1" ht="25" customHeight="1" spans="1:13">
      <c r="A15" s="7">
        <v>10</v>
      </c>
      <c r="B15" s="8" t="s">
        <v>39</v>
      </c>
      <c r="C15" s="10">
        <v>9</v>
      </c>
      <c r="D15" s="10">
        <v>12</v>
      </c>
      <c r="E15" s="10">
        <f t="shared" si="1"/>
        <v>21</v>
      </c>
      <c r="F15" s="10" t="s">
        <v>14</v>
      </c>
      <c r="G15" s="10">
        <f>24+0+0+0+21+27+33+30+33+21</f>
        <v>189</v>
      </c>
      <c r="H15" s="10"/>
      <c r="I15" s="10">
        <f>G15/(G3*0.1865)</f>
        <v>12.5111706881144</v>
      </c>
      <c r="J15" s="19" t="s">
        <v>40</v>
      </c>
      <c r="K15" s="20">
        <f>0.641835+0+0+0+1.0970944+2.2635878+2.9007565+2.4932712+2.1651567+2.7262642</f>
        <v>14.2879658</v>
      </c>
      <c r="L15" s="10"/>
      <c r="M15" s="10">
        <f>(C14*K14+L14*D14)/1000</f>
        <v>2.7262642</v>
      </c>
    </row>
    <row r="16" s="1" customFormat="1" ht="25" customHeight="1" spans="1:13">
      <c r="A16" s="7">
        <v>11</v>
      </c>
      <c r="B16" s="8" t="s">
        <v>41</v>
      </c>
      <c r="C16" s="7">
        <v>0.075</v>
      </c>
      <c r="D16" s="7">
        <v>0.0125</v>
      </c>
      <c r="E16" s="10">
        <f t="shared" si="1"/>
        <v>0.0875</v>
      </c>
      <c r="F16" s="10" t="s">
        <v>14</v>
      </c>
      <c r="G16" s="10">
        <f>0+0+0+0+0+0.0875+0+0.075+0+0.0875</f>
        <v>0.25</v>
      </c>
      <c r="H16" s="22"/>
      <c r="I16" s="22"/>
      <c r="J16" s="11"/>
      <c r="K16" s="22"/>
      <c r="L16" s="22"/>
      <c r="M16" s="10"/>
    </row>
    <row r="17" s="1" customFormat="1" ht="25" customHeight="1" spans="1:13">
      <c r="A17" s="12">
        <v>12</v>
      </c>
      <c r="B17" s="8" t="s">
        <v>42</v>
      </c>
      <c r="C17" s="10">
        <v>2</v>
      </c>
      <c r="D17" s="7">
        <v>0</v>
      </c>
      <c r="E17" s="10">
        <f t="shared" si="1"/>
        <v>2</v>
      </c>
      <c r="F17" s="10" t="s">
        <v>14</v>
      </c>
      <c r="G17" s="10">
        <f>2+0+0+0+0+2+0+2+0+2</f>
        <v>8</v>
      </c>
      <c r="H17" s="22"/>
      <c r="I17" s="10">
        <f>G17/(G3*0.1865)</f>
        <v>0.529573362459868</v>
      </c>
      <c r="J17" s="11"/>
      <c r="K17" s="22"/>
      <c r="L17" s="22"/>
      <c r="M17" s="10"/>
    </row>
    <row r="18" s="1" customFormat="1" ht="25" customHeight="1" spans="1:13">
      <c r="A18" s="7">
        <v>13</v>
      </c>
      <c r="B18" s="8" t="s">
        <v>43</v>
      </c>
      <c r="C18" s="10">
        <v>2</v>
      </c>
      <c r="D18" s="7">
        <v>0</v>
      </c>
      <c r="E18" s="10">
        <f t="shared" si="1"/>
        <v>2</v>
      </c>
      <c r="F18" s="10" t="s">
        <v>14</v>
      </c>
      <c r="G18" s="10">
        <f>2+0+0+0+0+2+0+2+0+2</f>
        <v>8</v>
      </c>
      <c r="H18" s="22"/>
      <c r="I18" s="10">
        <f>G18/(G3*0.1865)</f>
        <v>0.529573362459868</v>
      </c>
      <c r="J18" s="11"/>
      <c r="K18" s="22"/>
      <c r="L18" s="22"/>
      <c r="M18" s="10"/>
    </row>
    <row r="19" s="1" customFormat="1" ht="25" customHeight="1" spans="1:13">
      <c r="A19" s="7">
        <v>14</v>
      </c>
      <c r="B19" s="8" t="s">
        <v>44</v>
      </c>
      <c r="C19" s="10">
        <v>4</v>
      </c>
      <c r="D19" s="7">
        <v>3</v>
      </c>
      <c r="E19" s="10">
        <f t="shared" si="1"/>
        <v>7</v>
      </c>
      <c r="F19" s="10" t="s">
        <v>45</v>
      </c>
      <c r="G19" s="10">
        <f>5+0+0+0+3+7+8+6+7+7</f>
        <v>43</v>
      </c>
      <c r="H19" s="22"/>
      <c r="I19" s="22"/>
      <c r="J19" s="11"/>
      <c r="K19" s="22"/>
      <c r="L19" s="22"/>
      <c r="M19" s="10"/>
    </row>
    <row r="20" s="1" customFormat="1" ht="25" customHeight="1" spans="1:13">
      <c r="A20" s="7">
        <v>15</v>
      </c>
      <c r="B20" s="8" t="s">
        <v>46</v>
      </c>
      <c r="C20" s="7">
        <v>543</v>
      </c>
      <c r="D20" s="7">
        <v>589</v>
      </c>
      <c r="E20" s="10">
        <f t="shared" si="1"/>
        <v>1132</v>
      </c>
      <c r="F20" s="10" t="s">
        <v>35</v>
      </c>
      <c r="G20" s="10">
        <f>507+0+0+339+1006+1051+1056+1200+1113+1132</f>
        <v>7404</v>
      </c>
      <c r="H20" s="23"/>
      <c r="I20" s="10">
        <f>E20/M20</f>
        <v>47.1666666666667</v>
      </c>
      <c r="J20" s="19" t="s">
        <v>47</v>
      </c>
      <c r="K20" s="10">
        <f>7.5+0+0+6+24+24+24+24+24+24</f>
        <v>157.5</v>
      </c>
      <c r="L20" s="10">
        <f>G20/K20</f>
        <v>47.0095238095238</v>
      </c>
      <c r="M20" s="10">
        <v>24</v>
      </c>
    </row>
    <row r="21" s="1" customFormat="1" ht="25" customHeight="1" spans="1:13">
      <c r="A21" s="12">
        <v>16</v>
      </c>
      <c r="B21" s="8" t="s">
        <v>48</v>
      </c>
      <c r="C21" s="7">
        <v>682</v>
      </c>
      <c r="D21" s="7">
        <v>657</v>
      </c>
      <c r="E21" s="10">
        <f t="shared" si="1"/>
        <v>1339</v>
      </c>
      <c r="F21" s="10" t="s">
        <v>35</v>
      </c>
      <c r="G21" s="10">
        <f>547+0+0+662+1124+1392+1384+1483+1450+1339</f>
        <v>9381</v>
      </c>
      <c r="H21" s="22"/>
      <c r="I21" s="10">
        <f>E21/M20</f>
        <v>55.7916666666667</v>
      </c>
      <c r="J21" s="11"/>
      <c r="K21" s="22"/>
      <c r="L21" s="22"/>
      <c r="M21" s="10"/>
    </row>
    <row r="22" s="1" customFormat="1" ht="25" customHeight="1" spans="1:13">
      <c r="A22" s="7">
        <v>17</v>
      </c>
      <c r="B22" s="8" t="s">
        <v>49</v>
      </c>
      <c r="C22" s="12">
        <v>32.13</v>
      </c>
      <c r="D22" s="12">
        <v>32.8</v>
      </c>
      <c r="E22" s="13"/>
      <c r="F22" s="13" t="s">
        <v>50</v>
      </c>
      <c r="G22" s="13"/>
      <c r="H22" s="24"/>
      <c r="I22" s="24"/>
      <c r="J22" s="25"/>
      <c r="K22" s="24"/>
      <c r="L22" s="24"/>
      <c r="M22" s="10"/>
    </row>
    <row r="23" s="1" customFormat="1" ht="32" customHeight="1" spans="1:13">
      <c r="A23" s="7">
        <v>18</v>
      </c>
      <c r="B23" s="26" t="s">
        <v>116</v>
      </c>
      <c r="C23" s="27" t="s">
        <v>122</v>
      </c>
      <c r="D23" s="28"/>
      <c r="E23" s="28"/>
      <c r="F23" s="28"/>
      <c r="G23" s="28"/>
      <c r="H23" s="28"/>
      <c r="I23" s="28"/>
      <c r="J23" s="28"/>
      <c r="K23" s="28"/>
      <c r="L23" s="29"/>
      <c r="M23" s="40" t="s">
        <v>20</v>
      </c>
    </row>
    <row r="24" s="1" customFormat="1" ht="32" customHeight="1" spans="1:13">
      <c r="A24" s="7">
        <v>19</v>
      </c>
      <c r="B24" s="26" t="s">
        <v>118</v>
      </c>
      <c r="C24" s="27" t="s">
        <v>123</v>
      </c>
      <c r="D24" s="28"/>
      <c r="E24" s="28"/>
      <c r="F24" s="28"/>
      <c r="G24" s="28"/>
      <c r="H24" s="28"/>
      <c r="I24" s="28"/>
      <c r="J24" s="28"/>
      <c r="K24" s="28"/>
      <c r="L24" s="29"/>
      <c r="M24" s="40" t="s">
        <v>20</v>
      </c>
    </row>
    <row r="25" s="1" customFormat="1" ht="80" customHeight="1" spans="1:13">
      <c r="A25" s="7">
        <v>20</v>
      </c>
      <c r="B25" s="31" t="s">
        <v>55</v>
      </c>
      <c r="C25" s="27" t="s">
        <v>124</v>
      </c>
      <c r="D25" s="28"/>
      <c r="E25" s="28"/>
      <c r="F25" s="28"/>
      <c r="G25" s="28"/>
      <c r="H25" s="28"/>
      <c r="I25" s="28"/>
      <c r="J25" s="28"/>
      <c r="K25" s="28"/>
      <c r="L25" s="29"/>
      <c r="M25" s="39"/>
    </row>
    <row r="26" s="1" customFormat="1" ht="14" customHeight="1" spans="1:13">
      <c r="C26" s="33"/>
      <c r="D26" s="33"/>
      <c r="J26" s="34"/>
    </row>
    <row r="27" s="1" customFormat="1" ht="45" customHeight="1" spans="1:13">
      <c r="A27" s="5" t="s">
        <v>125</v>
      </c>
    </row>
    <row r="28" s="1" customFormat="1" ht="30" customHeight="1" spans="1:13">
      <c r="A28" s="6" t="s">
        <v>58</v>
      </c>
      <c r="B28" s="6" t="s">
        <v>59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7">
        <v>1</v>
      </c>
      <c r="B29" s="8" t="s">
        <v>60</v>
      </c>
      <c r="C29" s="10">
        <v>0</v>
      </c>
      <c r="D29" s="10">
        <v>0</v>
      </c>
      <c r="E29" s="10">
        <f t="shared" ref="E29:E35" si="2">D29+C29</f>
        <v>0</v>
      </c>
      <c r="F29" s="10" t="s">
        <v>35</v>
      </c>
      <c r="G29" s="10">
        <f>0+0+0+0+0+0+0+0+0+0</f>
        <v>0</v>
      </c>
      <c r="H29" s="10"/>
      <c r="I29" s="10"/>
      <c r="J29" s="11"/>
      <c r="K29" s="22"/>
      <c r="L29" s="22"/>
      <c r="M29" s="10"/>
    </row>
    <row r="30" s="1" customFormat="1" ht="25" customHeight="1" spans="1:13">
      <c r="A30" s="7">
        <v>2</v>
      </c>
      <c r="B30" s="8" t="s">
        <v>61</v>
      </c>
      <c r="C30" s="10">
        <v>8.33</v>
      </c>
      <c r="D30" s="10">
        <v>8.37</v>
      </c>
      <c r="E30" s="10">
        <f t="shared" si="2"/>
        <v>16.7</v>
      </c>
      <c r="F30" s="10" t="s">
        <v>35</v>
      </c>
      <c r="G30" s="10">
        <f>0+0+0+0+0+0+12.6+12.59+14.7+16.7</f>
        <v>56.59</v>
      </c>
      <c r="H30" s="10"/>
      <c r="I30" s="10"/>
      <c r="J30" s="11"/>
      <c r="K30" s="22"/>
      <c r="L30" s="22"/>
      <c r="M30" s="21"/>
    </row>
    <row r="31" s="1" customFormat="1" ht="25" customHeight="1" spans="1:13">
      <c r="A31" s="7">
        <v>3</v>
      </c>
      <c r="B31" s="8" t="s">
        <v>62</v>
      </c>
      <c r="C31" s="10">
        <v>0</v>
      </c>
      <c r="D31" s="10">
        <v>16</v>
      </c>
      <c r="E31" s="10">
        <f t="shared" si="2"/>
        <v>16</v>
      </c>
      <c r="F31" s="10" t="s">
        <v>35</v>
      </c>
      <c r="G31" s="10">
        <f>9+33+13+24+43.31+38+19+17+26+16</f>
        <v>238.31</v>
      </c>
      <c r="H31" s="10"/>
      <c r="I31" s="10"/>
      <c r="J31" s="11"/>
      <c r="K31" s="22"/>
      <c r="L31" s="22"/>
      <c r="M31" s="21"/>
    </row>
    <row r="32" s="1" customFormat="1" ht="25" customHeight="1" spans="1:13">
      <c r="A32" s="7">
        <v>4</v>
      </c>
      <c r="B32" s="8" t="s">
        <v>31</v>
      </c>
      <c r="C32" s="10">
        <v>5.4135</v>
      </c>
      <c r="D32" s="10">
        <v>0</v>
      </c>
      <c r="E32" s="10">
        <f t="shared" si="2"/>
        <v>5.4135</v>
      </c>
      <c r="F32" s="10" t="s">
        <v>14</v>
      </c>
      <c r="G32" s="10">
        <f>0+0+0+0+0+0+0+0+8.1945+5.4135</f>
        <v>13.608</v>
      </c>
      <c r="H32" s="10"/>
      <c r="J32" s="11"/>
      <c r="K32" s="22"/>
      <c r="L32" s="22"/>
      <c r="M32" s="22"/>
    </row>
    <row r="33" s="1" customFormat="1" ht="25" customHeight="1" spans="1:13">
      <c r="A33" s="7">
        <v>5</v>
      </c>
      <c r="B33" s="8" t="s">
        <v>33</v>
      </c>
      <c r="C33" s="10">
        <v>0</v>
      </c>
      <c r="D33" s="10">
        <v>0</v>
      </c>
      <c r="E33" s="10">
        <f t="shared" si="2"/>
        <v>0</v>
      </c>
      <c r="F33" s="10" t="s">
        <v>14</v>
      </c>
      <c r="G33" s="10">
        <f>0+0+0+0+0+0+0+0+0+0</f>
        <v>0</v>
      </c>
      <c r="H33" s="10"/>
      <c r="I33" s="10"/>
      <c r="J33" s="14"/>
      <c r="K33" s="22"/>
      <c r="L33" s="22"/>
      <c r="M33" s="22"/>
    </row>
    <row r="34" s="1" customFormat="1" ht="25" customHeight="1" spans="1:13">
      <c r="A34" s="7">
        <v>6</v>
      </c>
      <c r="B34" s="8" t="s">
        <v>63</v>
      </c>
      <c r="C34" s="10">
        <v>163</v>
      </c>
      <c r="D34" s="10">
        <v>167</v>
      </c>
      <c r="E34" s="10">
        <f t="shared" si="2"/>
        <v>330</v>
      </c>
      <c r="F34" s="10" t="s">
        <v>35</v>
      </c>
      <c r="G34" s="10">
        <f>580+604+307+408+430+215+238+250+321+330</f>
        <v>3683</v>
      </c>
      <c r="H34" s="10"/>
      <c r="I34" s="10"/>
      <c r="J34" s="35"/>
      <c r="K34" s="22"/>
      <c r="L34" s="10"/>
      <c r="M34" s="22"/>
    </row>
    <row r="35" s="1" customFormat="1" ht="25" customHeight="1" spans="1:13">
      <c r="A35" s="7">
        <v>7</v>
      </c>
      <c r="B35" s="8" t="s">
        <v>64</v>
      </c>
      <c r="C35" s="10">
        <v>504</v>
      </c>
      <c r="D35" s="10">
        <v>504</v>
      </c>
      <c r="E35" s="10">
        <f t="shared" si="2"/>
        <v>1008</v>
      </c>
      <c r="F35" s="10" t="s">
        <v>35</v>
      </c>
      <c r="G35" s="10">
        <f>1010+819+776+499+966+1008+1007+1010+1005+1008</f>
        <v>9108</v>
      </c>
      <c r="H35" s="10"/>
      <c r="I35" s="10"/>
      <c r="J35" s="36"/>
      <c r="K35" s="22"/>
      <c r="L35" s="10"/>
      <c r="M35" s="22"/>
    </row>
    <row r="36" s="1" customFormat="1" ht="25" customHeight="1" spans="1:13">
      <c r="A36" s="7">
        <v>8</v>
      </c>
      <c r="B36" s="8" t="s">
        <v>65</v>
      </c>
      <c r="C36" s="10">
        <v>0</v>
      </c>
      <c r="D36" s="10">
        <v>0</v>
      </c>
      <c r="E36" s="10">
        <f>C36+D36</f>
        <v>0</v>
      </c>
      <c r="F36" s="10" t="s">
        <v>35</v>
      </c>
      <c r="G36" s="10">
        <f>0+0+0+0+0+0+0+0+0+0</f>
        <v>0</v>
      </c>
      <c r="H36" s="22"/>
      <c r="I36" s="7">
        <v>1087.5</v>
      </c>
      <c r="J36" s="14"/>
      <c r="K36" s="37"/>
      <c r="L36" s="27"/>
      <c r="M36" s="38"/>
    </row>
    <row r="37" s="1" customFormat="1" ht="25" customHeight="1" spans="1:13">
      <c r="A37" s="7">
        <v>9</v>
      </c>
      <c r="B37" s="8" t="s">
        <v>66</v>
      </c>
      <c r="C37" s="10">
        <v>0</v>
      </c>
      <c r="D37" s="10">
        <v>0</v>
      </c>
      <c r="E37" s="10">
        <f>C37+D37</f>
        <v>0</v>
      </c>
      <c r="F37" s="10" t="s">
        <v>35</v>
      </c>
      <c r="G37" s="10">
        <f>0+0+0+0+0+0+0+0+0+0</f>
        <v>0</v>
      </c>
      <c r="H37" s="22"/>
      <c r="I37" s="7">
        <v>67.7508</v>
      </c>
      <c r="J37" s="35"/>
      <c r="K37" s="37"/>
      <c r="L37" s="27"/>
      <c r="M37" s="38"/>
    </row>
    <row r="38" s="1" customFormat="1" ht="25" customHeight="1" spans="1:13">
      <c r="A38" s="7">
        <v>10</v>
      </c>
      <c r="B38" s="8" t="s">
        <v>67</v>
      </c>
      <c r="C38" s="7">
        <v>2</v>
      </c>
      <c r="D38" s="7">
        <v>2</v>
      </c>
      <c r="E38" s="10">
        <f>D38+C38</f>
        <v>4</v>
      </c>
      <c r="F38" s="10" t="s">
        <v>45</v>
      </c>
      <c r="G38" s="10">
        <f>0+0+2+0+0+0+2+0+3+4</f>
        <v>11</v>
      </c>
      <c r="H38" s="22"/>
      <c r="I38" s="10">
        <v>0</v>
      </c>
      <c r="J38" s="35"/>
      <c r="K38" s="27"/>
      <c r="L38" s="19" t="s">
        <v>68</v>
      </c>
      <c r="M38" s="7">
        <v>17</v>
      </c>
    </row>
    <row r="39" s="1" customFormat="1" ht="80" customHeight="1" spans="1:13">
      <c r="A39" s="7">
        <v>11</v>
      </c>
      <c r="B39" s="32" t="s">
        <v>55</v>
      </c>
      <c r="C39" s="27" t="s">
        <v>69</v>
      </c>
      <c r="D39" s="28"/>
      <c r="E39" s="28"/>
      <c r="F39" s="28"/>
      <c r="G39" s="28"/>
      <c r="H39" s="28"/>
      <c r="I39" s="28"/>
      <c r="J39" s="28"/>
      <c r="K39" s="28"/>
      <c r="L39" s="29"/>
      <c r="M39" s="32"/>
    </row>
    <row r="47" s="1" customFormat="1" spans="1:13">
      <c r="C47" s="33"/>
      <c r="D47" s="33"/>
      <c r="J47" s="34"/>
    </row>
    <row r="48" spans="1:13">
      <c r="L48" s="1"/>
    </row>
  </sheetData>
  <mergeCells count="9">
    <mergeCell ref="A1:M1"/>
    <mergeCell ref="C23:L23"/>
    <mergeCell ref="C24:L24"/>
    <mergeCell ref="C25:L25"/>
    <mergeCell ref="A27:M27"/>
    <mergeCell ref="C39:L39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zoomScale="85" zoomScaleNormal="85" workbookViewId="0">
      <selection activeCell="J10" sqref="J10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126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8" customHeight="1" spans="1:13">
      <c r="A3" s="7">
        <v>1</v>
      </c>
      <c r="B3" s="8" t="s">
        <v>13</v>
      </c>
      <c r="C3" s="9">
        <v>5</v>
      </c>
      <c r="D3" s="9">
        <v>8</v>
      </c>
      <c r="E3" s="10">
        <f t="shared" ref="E3:E12" si="0">C3+D3</f>
        <v>13</v>
      </c>
      <c r="F3" s="10" t="s">
        <v>14</v>
      </c>
      <c r="G3" s="10">
        <f>12+0+0+0+6+13+13+13+15+9+13</f>
        <v>94</v>
      </c>
      <c r="H3" s="10">
        <v>330</v>
      </c>
      <c r="I3" s="10">
        <f>H3-G3</f>
        <v>236</v>
      </c>
      <c r="J3" s="11"/>
      <c r="K3" s="10"/>
      <c r="L3" s="10"/>
      <c r="M3" s="10">
        <f>I3/19</f>
        <v>12.4210526315789</v>
      </c>
    </row>
    <row r="4" s="1" customFormat="1" ht="38" customHeight="1" spans="1:13">
      <c r="A4" s="12">
        <v>2</v>
      </c>
      <c r="B4" s="8" t="s">
        <v>18</v>
      </c>
      <c r="C4" s="9">
        <v>10</v>
      </c>
      <c r="D4" s="9"/>
      <c r="E4" s="10">
        <f t="shared" si="0"/>
        <v>10</v>
      </c>
      <c r="F4" s="10" t="s">
        <v>14</v>
      </c>
      <c r="G4" s="10">
        <f>12+8+0+0+0+6+14+12+14+14+10</f>
        <v>90</v>
      </c>
      <c r="H4" s="13"/>
      <c r="I4" s="13"/>
      <c r="J4" s="11"/>
      <c r="K4" s="10"/>
      <c r="L4" s="10"/>
      <c r="M4" s="10"/>
    </row>
    <row r="5" s="1" customFormat="1" ht="38" customHeight="1" spans="1:13">
      <c r="A5" s="12">
        <v>3</v>
      </c>
      <c r="B5" s="8" t="s">
        <v>21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65+0+0+0+0+0+0+0+0+0+0</f>
        <v>65</v>
      </c>
      <c r="H5" s="10">
        <v>4950</v>
      </c>
      <c r="I5" s="10">
        <f>H5-G5-G7-G6</f>
        <v>3667</v>
      </c>
      <c r="J5" s="14"/>
      <c r="K5" s="10"/>
      <c r="L5" s="10"/>
      <c r="M5" s="10"/>
    </row>
    <row r="6" s="1" customFormat="1" ht="38" customHeight="1" spans="1:13">
      <c r="A6" s="15"/>
      <c r="B6" s="8" t="s">
        <v>23</v>
      </c>
      <c r="C6" s="10">
        <v>93</v>
      </c>
      <c r="D6" s="10">
        <v>6</v>
      </c>
      <c r="E6" s="10">
        <f t="shared" si="0"/>
        <v>99</v>
      </c>
      <c r="F6" s="10" t="s">
        <v>14</v>
      </c>
      <c r="G6" s="10">
        <f>0+0+0+0+183+194+174+196+189+174+99</f>
        <v>1209</v>
      </c>
      <c r="H6" s="15"/>
      <c r="I6" s="15"/>
      <c r="J6" s="11"/>
      <c r="K6" s="10"/>
      <c r="L6" s="10"/>
      <c r="M6" s="16"/>
    </row>
    <row r="7" s="1" customFormat="1" ht="38" customHeight="1" spans="1:13">
      <c r="A7" s="15"/>
      <c r="B7" s="8" t="s">
        <v>25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0+0+0+8+1+0+0+0+0+0+0</f>
        <v>9</v>
      </c>
      <c r="H7" s="15"/>
      <c r="I7" s="15"/>
      <c r="J7" s="11"/>
      <c r="K7" s="10"/>
      <c r="L7" s="10"/>
      <c r="M7" s="10"/>
    </row>
    <row r="8" s="1" customFormat="1" ht="38" customHeight="1" spans="1:13">
      <c r="A8" s="15"/>
      <c r="B8" s="8" t="s">
        <v>27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0+0+0+0+0+0+0+0+0+0+0</f>
        <v>0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29</v>
      </c>
      <c r="C9" s="13">
        <v>31.05</v>
      </c>
      <c r="D9" s="13"/>
      <c r="E9" s="10">
        <f t="shared" si="0"/>
        <v>31.05</v>
      </c>
      <c r="F9" s="13" t="s">
        <v>14</v>
      </c>
      <c r="G9" s="10">
        <f>0+31.23+0+31.02+0+30.93+30.89+30.97+30.96+0+31.05</f>
        <v>217.05</v>
      </c>
      <c r="H9" s="13">
        <v>6.08</v>
      </c>
      <c r="I9" s="13">
        <f>H9-K10</f>
        <v>4.204023</v>
      </c>
      <c r="J9" s="19" t="s">
        <v>30</v>
      </c>
      <c r="K9" s="10">
        <v>90</v>
      </c>
      <c r="L9" s="10">
        <v>0.9</v>
      </c>
      <c r="M9" s="20"/>
    </row>
    <row r="10" s="1" customFormat="1" ht="25" customHeight="1" spans="1:13">
      <c r="A10" s="7">
        <v>5</v>
      </c>
      <c r="B10" s="8" t="s">
        <v>31</v>
      </c>
      <c r="C10" s="10">
        <v>7.8705</v>
      </c>
      <c r="D10" s="10">
        <v>2.4435</v>
      </c>
      <c r="E10" s="10">
        <f t="shared" si="0"/>
        <v>10.314</v>
      </c>
      <c r="F10" s="10" t="s">
        <v>14</v>
      </c>
      <c r="G10" s="10">
        <f>6.831+0+0+0+6.6555+7.614+14.958+12.744+10.611+5.832+10.314</f>
        <v>75.5595</v>
      </c>
      <c r="H10" s="10"/>
      <c r="I10" s="10">
        <f>G10/(G3*0.1865)</f>
        <v>4.31005076721237</v>
      </c>
      <c r="J10" s="19" t="s">
        <v>32</v>
      </c>
      <c r="K10" s="20">
        <f>0+0.268578+0+0.257466+0+0.256719+0.253298+0.27873+0.281736+0+0.27945</f>
        <v>1.875977</v>
      </c>
      <c r="L10" s="10"/>
      <c r="M10" s="10">
        <f>C9*L9/100</f>
        <v>0.27945</v>
      </c>
    </row>
    <row r="11" s="1" customFormat="1" ht="25" customHeight="1" spans="1:13">
      <c r="A11" s="7">
        <v>6</v>
      </c>
      <c r="B11" s="8" t="s">
        <v>33</v>
      </c>
      <c r="C11" s="10">
        <v>11.5</v>
      </c>
      <c r="D11" s="10">
        <v>0</v>
      </c>
      <c r="E11" s="10">
        <f t="shared" si="0"/>
        <v>11.5</v>
      </c>
      <c r="F11" s="10" t="s">
        <v>14</v>
      </c>
      <c r="G11" s="10">
        <f>14.352+0+0+0+6.7344+17.5536+13.2664+17.664+16.56+14.6096+11.5</f>
        <v>112.24</v>
      </c>
      <c r="H11" s="10"/>
      <c r="I11" s="10">
        <f>G11/(G3*0.1865)</f>
        <v>6.40237293936455</v>
      </c>
      <c r="J11" s="11"/>
      <c r="K11" s="10"/>
      <c r="L11" s="10"/>
      <c r="M11" s="21"/>
    </row>
    <row r="12" s="1" customFormat="1" ht="25" customHeight="1" spans="1:13">
      <c r="A12" s="7">
        <v>7</v>
      </c>
      <c r="B12" s="8" t="s">
        <v>34</v>
      </c>
      <c r="C12" s="10">
        <v>178</v>
      </c>
      <c r="D12" s="10">
        <v>210</v>
      </c>
      <c r="E12" s="10">
        <f t="shared" si="0"/>
        <v>388</v>
      </c>
      <c r="F12" s="10" t="s">
        <v>35</v>
      </c>
      <c r="G12" s="10">
        <f>472+11+0+16+206+451+454+465+490+368+388</f>
        <v>3321</v>
      </c>
      <c r="H12" s="10">
        <f>G12*1.05</f>
        <v>3487.05</v>
      </c>
      <c r="I12" s="10"/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36</v>
      </c>
      <c r="C13" s="10">
        <v>145</v>
      </c>
      <c r="D13" s="10">
        <v>241</v>
      </c>
      <c r="E13" s="10">
        <f t="shared" ref="E13:E21" si="1">D13+C13</f>
        <v>386</v>
      </c>
      <c r="F13" s="10" t="s">
        <v>35</v>
      </c>
      <c r="G13" s="10">
        <f>372+0+0+0+195+420+417+363+467+242+386</f>
        <v>2862</v>
      </c>
      <c r="H13" s="10"/>
      <c r="I13" s="10"/>
      <c r="J13" s="14"/>
      <c r="K13" s="10"/>
      <c r="L13" s="10"/>
      <c r="M13" s="10"/>
    </row>
    <row r="14" s="1" customFormat="1" ht="25" customHeight="1" spans="1:13">
      <c r="A14" s="7">
        <v>9</v>
      </c>
      <c r="B14" s="8" t="s">
        <v>37</v>
      </c>
      <c r="C14" s="10">
        <v>438.54</v>
      </c>
      <c r="D14" s="10">
        <v>458.42</v>
      </c>
      <c r="E14" s="10">
        <f t="shared" si="1"/>
        <v>896.96</v>
      </c>
      <c r="F14" s="10" t="s">
        <v>35</v>
      </c>
      <c r="G14" s="10">
        <f>209.75+0+0+0+370.64+733.22+886.44+846.58+728.24+930.46+896.96</f>
        <v>5602.29</v>
      </c>
      <c r="H14" s="10"/>
      <c r="I14" s="10"/>
      <c r="J14" s="19" t="s">
        <v>38</v>
      </c>
      <c r="K14" s="10">
        <v>2.81</v>
      </c>
      <c r="L14" s="10">
        <v>2.86</v>
      </c>
      <c r="M14" s="10"/>
    </row>
    <row r="15" s="1" customFormat="1" ht="25" customHeight="1" spans="1:13">
      <c r="A15" s="7">
        <v>10</v>
      </c>
      <c r="B15" s="8" t="s">
        <v>39</v>
      </c>
      <c r="C15" s="10">
        <v>12</v>
      </c>
      <c r="D15" s="10">
        <v>18</v>
      </c>
      <c r="E15" s="10">
        <f t="shared" si="1"/>
        <v>30</v>
      </c>
      <c r="F15" s="10" t="s">
        <v>14</v>
      </c>
      <c r="G15" s="10">
        <f>24+0+0+0+21+27+33+30+33+21+30</f>
        <v>219</v>
      </c>
      <c r="H15" s="10"/>
      <c r="I15" s="10">
        <f>G15/(G3*0.1865)</f>
        <v>12.4921567508984</v>
      </c>
      <c r="J15" s="19" t="s">
        <v>40</v>
      </c>
      <c r="K15" s="20">
        <f>0.641835+0+0+0+1.0970944+2.2635878+2.9007565+2.4932712+2.1651567+2.7262642+2.5433786</f>
        <v>16.8313444</v>
      </c>
      <c r="L15" s="10"/>
      <c r="M15" s="10">
        <f>(C14*K14+L14*D14)/1000</f>
        <v>2.5433786</v>
      </c>
    </row>
    <row r="16" s="1" customFormat="1" ht="25" customHeight="1" spans="1:13">
      <c r="A16" s="7">
        <v>11</v>
      </c>
      <c r="B16" s="8" t="s">
        <v>41</v>
      </c>
      <c r="C16" s="7">
        <v>0.0375</v>
      </c>
      <c r="D16" s="7">
        <v>0</v>
      </c>
      <c r="E16" s="10">
        <f t="shared" si="1"/>
        <v>0.0375</v>
      </c>
      <c r="F16" s="10" t="s">
        <v>14</v>
      </c>
      <c r="G16" s="10">
        <f>0+0+0+0+0+0.0875+0+0.075+0+0.0875+0.0375</f>
        <v>0.2875</v>
      </c>
      <c r="H16" s="22"/>
      <c r="I16" s="22"/>
      <c r="J16" s="11"/>
      <c r="K16" s="22"/>
      <c r="L16" s="22"/>
      <c r="M16" s="10"/>
    </row>
    <row r="17" s="1" customFormat="1" ht="25" customHeight="1" spans="1:13">
      <c r="A17" s="12">
        <v>12</v>
      </c>
      <c r="B17" s="8" t="s">
        <v>42</v>
      </c>
      <c r="C17" s="10">
        <v>2</v>
      </c>
      <c r="D17" s="7">
        <v>0</v>
      </c>
      <c r="E17" s="10">
        <f t="shared" si="1"/>
        <v>2</v>
      </c>
      <c r="F17" s="10" t="s">
        <v>14</v>
      </c>
      <c r="G17" s="10">
        <f>2+0+0+0+0+2+0+2+0+2+2</f>
        <v>10</v>
      </c>
      <c r="H17" s="22"/>
      <c r="I17" s="10">
        <f>G17/(G3*0.1865)</f>
        <v>0.570418116479379</v>
      </c>
      <c r="J17" s="11"/>
      <c r="K17" s="22"/>
      <c r="L17" s="22"/>
      <c r="M17" s="10"/>
    </row>
    <row r="18" s="1" customFormat="1" ht="25" customHeight="1" spans="1:13">
      <c r="A18" s="7">
        <v>13</v>
      </c>
      <c r="B18" s="8" t="s">
        <v>43</v>
      </c>
      <c r="C18" s="10">
        <v>2</v>
      </c>
      <c r="D18" s="7">
        <v>0</v>
      </c>
      <c r="E18" s="10">
        <f t="shared" si="1"/>
        <v>2</v>
      </c>
      <c r="F18" s="10" t="s">
        <v>14</v>
      </c>
      <c r="G18" s="10">
        <f>2+0+0+0+0+2+0+2+0+2+2</f>
        <v>10</v>
      </c>
      <c r="H18" s="22"/>
      <c r="I18" s="10">
        <f>G18/(G3*0.1865)</f>
        <v>0.570418116479379</v>
      </c>
      <c r="J18" s="11"/>
      <c r="K18" s="22"/>
      <c r="L18" s="22"/>
      <c r="M18" s="10"/>
    </row>
    <row r="19" s="1" customFormat="1" ht="25" customHeight="1" spans="1:13">
      <c r="A19" s="7">
        <v>14</v>
      </c>
      <c r="B19" s="8" t="s">
        <v>44</v>
      </c>
      <c r="C19" s="10">
        <v>3</v>
      </c>
      <c r="D19" s="7">
        <v>4</v>
      </c>
      <c r="E19" s="10">
        <f t="shared" si="1"/>
        <v>7</v>
      </c>
      <c r="F19" s="10" t="s">
        <v>45</v>
      </c>
      <c r="G19" s="10">
        <f>5+0+0+0+3+7+8+6+7+7+7</f>
        <v>50</v>
      </c>
      <c r="H19" s="22"/>
      <c r="I19" s="22"/>
      <c r="J19" s="11"/>
      <c r="K19" s="22"/>
      <c r="L19" s="22"/>
      <c r="M19" s="10"/>
    </row>
    <row r="20" s="1" customFormat="1" ht="25" customHeight="1" spans="1:13">
      <c r="A20" s="7">
        <v>15</v>
      </c>
      <c r="B20" s="8" t="s">
        <v>46</v>
      </c>
      <c r="C20" s="7">
        <v>579</v>
      </c>
      <c r="D20" s="7">
        <v>231</v>
      </c>
      <c r="E20" s="10">
        <f t="shared" si="1"/>
        <v>810</v>
      </c>
      <c r="F20" s="10" t="s">
        <v>35</v>
      </c>
      <c r="G20" s="10">
        <f>507+0+0+339+1006+1051+1056+1200+1113+1132+810</f>
        <v>8214</v>
      </c>
      <c r="H20" s="23"/>
      <c r="I20" s="10">
        <f>E20/M20</f>
        <v>52.258064516129</v>
      </c>
      <c r="J20" s="19" t="s">
        <v>47</v>
      </c>
      <c r="K20" s="10">
        <f>7.5+0+0+6+24+24+24+24+24+24+15.5</f>
        <v>173</v>
      </c>
      <c r="L20" s="10">
        <f>G20/K20</f>
        <v>47.4797687861272</v>
      </c>
      <c r="M20" s="10">
        <v>15.5</v>
      </c>
    </row>
    <row r="21" s="1" customFormat="1" ht="25" customHeight="1" spans="1:13">
      <c r="A21" s="12">
        <v>16</v>
      </c>
      <c r="B21" s="8" t="s">
        <v>48</v>
      </c>
      <c r="C21" s="7">
        <v>653</v>
      </c>
      <c r="D21" s="7">
        <v>333</v>
      </c>
      <c r="E21" s="10">
        <f t="shared" si="1"/>
        <v>986</v>
      </c>
      <c r="F21" s="10" t="s">
        <v>35</v>
      </c>
      <c r="G21" s="10">
        <f>547+0+0+662+1124+1392+1384+1483+1450+1339+986</f>
        <v>10367</v>
      </c>
      <c r="H21" s="22"/>
      <c r="I21" s="10">
        <f>E21/M20</f>
        <v>63.6129032258064</v>
      </c>
      <c r="J21" s="11"/>
      <c r="K21" s="22"/>
      <c r="L21" s="22"/>
      <c r="M21" s="10"/>
    </row>
    <row r="22" s="1" customFormat="1" ht="25" customHeight="1" spans="1:13">
      <c r="A22" s="7">
        <v>17</v>
      </c>
      <c r="B22" s="8" t="s">
        <v>49</v>
      </c>
      <c r="C22" s="12">
        <v>31.56</v>
      </c>
      <c r="D22" s="12">
        <v>0</v>
      </c>
      <c r="E22" s="13"/>
      <c r="F22" s="13" t="s">
        <v>50</v>
      </c>
      <c r="G22" s="13"/>
      <c r="H22" s="24"/>
      <c r="I22" s="24"/>
      <c r="J22" s="25"/>
      <c r="K22" s="24"/>
      <c r="L22" s="24"/>
      <c r="M22" s="10"/>
    </row>
    <row r="23" s="1" customFormat="1" ht="32" customHeight="1" spans="1:13">
      <c r="A23" s="7">
        <v>18</v>
      </c>
      <c r="B23" s="26" t="s">
        <v>116</v>
      </c>
      <c r="C23" s="27" t="s">
        <v>127</v>
      </c>
      <c r="D23" s="28"/>
      <c r="E23" s="28"/>
      <c r="F23" s="28"/>
      <c r="G23" s="28"/>
      <c r="H23" s="28"/>
      <c r="I23" s="28"/>
      <c r="J23" s="28"/>
      <c r="K23" s="28"/>
      <c r="L23" s="29"/>
      <c r="M23" s="40" t="s">
        <v>20</v>
      </c>
    </row>
    <row r="24" s="1" customFormat="1" ht="32" customHeight="1" spans="1:13">
      <c r="A24" s="7">
        <v>19</v>
      </c>
      <c r="B24" s="26" t="s">
        <v>118</v>
      </c>
      <c r="C24" s="27" t="s">
        <v>128</v>
      </c>
      <c r="D24" s="28"/>
      <c r="E24" s="28"/>
      <c r="F24" s="28"/>
      <c r="G24" s="28"/>
      <c r="H24" s="28"/>
      <c r="I24" s="28"/>
      <c r="J24" s="28"/>
      <c r="K24" s="28"/>
      <c r="L24" s="29"/>
      <c r="M24" s="40" t="s">
        <v>20</v>
      </c>
    </row>
    <row r="25" s="1" customFormat="1" ht="80" customHeight="1" spans="1:13">
      <c r="A25" s="7">
        <v>20</v>
      </c>
      <c r="B25" s="31" t="s">
        <v>55</v>
      </c>
      <c r="C25" s="27" t="s">
        <v>129</v>
      </c>
      <c r="D25" s="28"/>
      <c r="E25" s="28"/>
      <c r="F25" s="28"/>
      <c r="G25" s="28"/>
      <c r="H25" s="28"/>
      <c r="I25" s="28"/>
      <c r="J25" s="28"/>
      <c r="K25" s="28"/>
      <c r="L25" s="29"/>
      <c r="M25" s="39"/>
    </row>
    <row r="26" s="1" customFormat="1" ht="14" customHeight="1" spans="1:13">
      <c r="C26" s="33"/>
      <c r="D26" s="33"/>
      <c r="J26" s="34"/>
    </row>
    <row r="27" s="1" customFormat="1" ht="45" customHeight="1" spans="1:13">
      <c r="A27" s="5" t="s">
        <v>130</v>
      </c>
    </row>
    <row r="28" s="1" customFormat="1" ht="30" customHeight="1" spans="1:13">
      <c r="A28" s="6" t="s">
        <v>58</v>
      </c>
      <c r="B28" s="6" t="s">
        <v>59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7">
        <v>1</v>
      </c>
      <c r="B29" s="8" t="s">
        <v>60</v>
      </c>
      <c r="C29" s="10">
        <v>0</v>
      </c>
      <c r="D29" s="10">
        <v>0</v>
      </c>
      <c r="E29" s="10">
        <f t="shared" ref="E29:E35" si="2">D29+C29</f>
        <v>0</v>
      </c>
      <c r="F29" s="10" t="s">
        <v>35</v>
      </c>
      <c r="G29" s="10">
        <f>0+0+0+0+0+0+0+0+0+0+0</f>
        <v>0</v>
      </c>
      <c r="H29" s="10"/>
      <c r="I29" s="10"/>
      <c r="J29" s="11"/>
      <c r="K29" s="22"/>
      <c r="L29" s="22"/>
      <c r="M29" s="10"/>
    </row>
    <row r="30" s="1" customFormat="1" ht="25" customHeight="1" spans="1:13">
      <c r="A30" s="7">
        <v>2</v>
      </c>
      <c r="B30" s="8" t="s">
        <v>61</v>
      </c>
      <c r="C30" s="10">
        <v>8.28</v>
      </c>
      <c r="D30" s="10">
        <v>0</v>
      </c>
      <c r="E30" s="10">
        <f t="shared" si="2"/>
        <v>8.28</v>
      </c>
      <c r="F30" s="10" t="s">
        <v>35</v>
      </c>
      <c r="G30" s="10">
        <f>0+0+0+0+0+0+12.6+12.59+14.7+16.7+8.28</f>
        <v>64.87</v>
      </c>
      <c r="H30" s="10"/>
      <c r="I30" s="10"/>
      <c r="J30" s="11"/>
      <c r="K30" s="22"/>
      <c r="L30" s="22"/>
      <c r="M30" s="21"/>
    </row>
    <row r="31" s="1" customFormat="1" ht="25" customHeight="1" spans="1:13">
      <c r="A31" s="7">
        <v>3</v>
      </c>
      <c r="B31" s="8" t="s">
        <v>62</v>
      </c>
      <c r="C31" s="10">
        <v>25</v>
      </c>
      <c r="D31" s="10">
        <v>13</v>
      </c>
      <c r="E31" s="10">
        <f t="shared" si="2"/>
        <v>38</v>
      </c>
      <c r="F31" s="10" t="s">
        <v>35</v>
      </c>
      <c r="G31" s="10">
        <f>9+33+13+24+43.31+38+19+17+26+16+38</f>
        <v>276.31</v>
      </c>
      <c r="H31" s="10"/>
      <c r="I31" s="10"/>
      <c r="J31" s="11"/>
      <c r="K31" s="22"/>
      <c r="L31" s="22"/>
      <c r="M31" s="21"/>
    </row>
    <row r="32" s="1" customFormat="1" ht="25" customHeight="1" spans="1:13">
      <c r="A32" s="7">
        <v>4</v>
      </c>
      <c r="B32" s="8" t="s">
        <v>31</v>
      </c>
      <c r="C32" s="10">
        <v>14.796</v>
      </c>
      <c r="D32" s="10">
        <v>0</v>
      </c>
      <c r="E32" s="10">
        <f t="shared" si="2"/>
        <v>14.796</v>
      </c>
      <c r="F32" s="10" t="s">
        <v>14</v>
      </c>
      <c r="G32" s="10">
        <f>0+0+0+0+0+0+0+0+8.1945+5.4135+14.796</f>
        <v>28.404</v>
      </c>
      <c r="H32" s="10"/>
      <c r="J32" s="11"/>
      <c r="K32" s="22"/>
      <c r="L32" s="22"/>
      <c r="M32" s="22"/>
    </row>
    <row r="33" s="1" customFormat="1" ht="25" customHeight="1" spans="1:13">
      <c r="A33" s="7">
        <v>5</v>
      </c>
      <c r="B33" s="8" t="s">
        <v>33</v>
      </c>
      <c r="C33" s="10">
        <v>0</v>
      </c>
      <c r="D33" s="10">
        <v>0</v>
      </c>
      <c r="E33" s="10">
        <f t="shared" si="2"/>
        <v>0</v>
      </c>
      <c r="F33" s="10" t="s">
        <v>14</v>
      </c>
      <c r="G33" s="10">
        <f>0+0+0+0+0+0+0+0+0+0+0</f>
        <v>0</v>
      </c>
      <c r="H33" s="10"/>
      <c r="I33" s="10"/>
      <c r="J33" s="14"/>
      <c r="K33" s="22"/>
      <c r="L33" s="22"/>
      <c r="M33" s="22"/>
    </row>
    <row r="34" s="1" customFormat="1" ht="25" customHeight="1" spans="1:13">
      <c r="A34" s="7">
        <v>6</v>
      </c>
      <c r="B34" s="8" t="s">
        <v>63</v>
      </c>
      <c r="C34" s="10">
        <v>166</v>
      </c>
      <c r="D34" s="10">
        <v>167</v>
      </c>
      <c r="E34" s="10">
        <f t="shared" si="2"/>
        <v>333</v>
      </c>
      <c r="F34" s="10" t="s">
        <v>35</v>
      </c>
      <c r="G34" s="10">
        <f>580+604+307+408+430+215+238+250+321+330+333</f>
        <v>4016</v>
      </c>
      <c r="H34" s="10"/>
      <c r="I34" s="10"/>
      <c r="J34" s="35"/>
      <c r="K34" s="22"/>
      <c r="L34" s="10"/>
      <c r="M34" s="22"/>
    </row>
    <row r="35" s="1" customFormat="1" ht="25" customHeight="1" spans="1:13">
      <c r="A35" s="7">
        <v>7</v>
      </c>
      <c r="B35" s="8" t="s">
        <v>64</v>
      </c>
      <c r="C35" s="10">
        <v>504</v>
      </c>
      <c r="D35" s="10">
        <v>504</v>
      </c>
      <c r="E35" s="10">
        <f t="shared" si="2"/>
        <v>1008</v>
      </c>
      <c r="F35" s="10" t="s">
        <v>35</v>
      </c>
      <c r="G35" s="10">
        <f>1010+819+776+499+966+1008+1007+1010+1005+1008+1008</f>
        <v>10116</v>
      </c>
      <c r="H35" s="10"/>
      <c r="I35" s="10"/>
      <c r="J35" s="36"/>
      <c r="K35" s="22"/>
      <c r="L35" s="10"/>
      <c r="M35" s="22"/>
    </row>
    <row r="36" s="1" customFormat="1" ht="25" customHeight="1" spans="1:13">
      <c r="A36" s="7">
        <v>8</v>
      </c>
      <c r="B36" s="8" t="s">
        <v>65</v>
      </c>
      <c r="C36" s="10">
        <v>0</v>
      </c>
      <c r="D36" s="10">
        <v>0</v>
      </c>
      <c r="E36" s="10">
        <f>C36+D36</f>
        <v>0</v>
      </c>
      <c r="F36" s="10" t="s">
        <v>35</v>
      </c>
      <c r="G36" s="10">
        <f>0+0+0+0+0+0+0+0+0+0+0</f>
        <v>0</v>
      </c>
      <c r="H36" s="22"/>
      <c r="I36" s="7">
        <v>772.5</v>
      </c>
      <c r="J36" s="14"/>
      <c r="K36" s="37"/>
      <c r="L36" s="27"/>
      <c r="M36" s="38"/>
    </row>
    <row r="37" s="1" customFormat="1" ht="25" customHeight="1" spans="1:13">
      <c r="A37" s="7">
        <v>9</v>
      </c>
      <c r="B37" s="8" t="s">
        <v>66</v>
      </c>
      <c r="C37" s="10">
        <v>0</v>
      </c>
      <c r="D37" s="10">
        <v>0</v>
      </c>
      <c r="E37" s="10">
        <f>C37+D37</f>
        <v>0</v>
      </c>
      <c r="F37" s="10" t="s">
        <v>35</v>
      </c>
      <c r="G37" s="10">
        <f>0+0+0+0+0+0+0+0+0+0+0</f>
        <v>0</v>
      </c>
      <c r="H37" s="22"/>
      <c r="I37" s="7">
        <v>72.0938</v>
      </c>
      <c r="J37" s="35"/>
      <c r="K37" s="37"/>
      <c r="L37" s="27"/>
      <c r="M37" s="38"/>
    </row>
    <row r="38" s="1" customFormat="1" ht="25" customHeight="1" spans="1:13">
      <c r="A38" s="7">
        <v>10</v>
      </c>
      <c r="B38" s="8" t="s">
        <v>67</v>
      </c>
      <c r="C38" s="7">
        <v>0</v>
      </c>
      <c r="D38" s="7">
        <v>2</v>
      </c>
      <c r="E38" s="10">
        <f>D38+C38</f>
        <v>2</v>
      </c>
      <c r="F38" s="10" t="s">
        <v>45</v>
      </c>
      <c r="G38" s="10">
        <f>0+0+2+0+0+0+2+0+3+4+2</f>
        <v>13</v>
      </c>
      <c r="H38" s="22"/>
      <c r="I38" s="10">
        <v>0</v>
      </c>
      <c r="J38" s="35"/>
      <c r="K38" s="27"/>
      <c r="L38" s="19" t="s">
        <v>68</v>
      </c>
      <c r="M38" s="7">
        <v>21</v>
      </c>
    </row>
    <row r="39" s="1" customFormat="1" ht="80" customHeight="1" spans="1:13">
      <c r="A39" s="7">
        <v>11</v>
      </c>
      <c r="B39" s="32" t="s">
        <v>55</v>
      </c>
      <c r="C39" s="27" t="s">
        <v>69</v>
      </c>
      <c r="D39" s="28"/>
      <c r="E39" s="28"/>
      <c r="F39" s="28"/>
      <c r="G39" s="28"/>
      <c r="H39" s="28"/>
      <c r="I39" s="28"/>
      <c r="J39" s="28"/>
      <c r="K39" s="28"/>
      <c r="L39" s="29"/>
      <c r="M39" s="32"/>
    </row>
    <row r="47" s="1" customFormat="1" spans="1:13">
      <c r="C47" s="33"/>
      <c r="D47" s="33"/>
      <c r="J47" s="34"/>
    </row>
    <row r="48" spans="1:13">
      <c r="L48" s="1"/>
    </row>
  </sheetData>
  <mergeCells count="9">
    <mergeCell ref="A1:M1"/>
    <mergeCell ref="C23:L23"/>
    <mergeCell ref="C24:L24"/>
    <mergeCell ref="C25:L25"/>
    <mergeCell ref="A27:M27"/>
    <mergeCell ref="C39:L39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zoomScale="85" zoomScaleNormal="85" topLeftCell="A18" workbookViewId="0">
      <selection activeCell="J10" sqref="J10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131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8" customHeight="1" spans="1:13">
      <c r="A3" s="7">
        <v>1</v>
      </c>
      <c r="B3" s="8" t="s">
        <v>13</v>
      </c>
      <c r="C3" s="9">
        <v>2</v>
      </c>
      <c r="D3" s="9">
        <v>7</v>
      </c>
      <c r="E3" s="10">
        <f t="shared" ref="E3:E12" si="0">C3+D3</f>
        <v>9</v>
      </c>
      <c r="F3" s="10" t="s">
        <v>14</v>
      </c>
      <c r="G3" s="10">
        <f>12+0+0+0+6+13+13+13+15+9+13+9</f>
        <v>103</v>
      </c>
      <c r="H3" s="10">
        <v>330</v>
      </c>
      <c r="I3" s="10">
        <f>H3-G3</f>
        <v>227</v>
      </c>
      <c r="J3" s="11"/>
      <c r="K3" s="10"/>
      <c r="L3" s="10"/>
      <c r="M3" s="10">
        <f>I3/18</f>
        <v>12.6111111111111</v>
      </c>
    </row>
    <row r="4" s="1" customFormat="1" ht="38" customHeight="1" spans="1:13">
      <c r="A4" s="12">
        <v>2</v>
      </c>
      <c r="B4" s="8" t="s">
        <v>18</v>
      </c>
      <c r="C4" s="9">
        <v>12</v>
      </c>
      <c r="D4" s="9"/>
      <c r="E4" s="10">
        <f t="shared" si="0"/>
        <v>12</v>
      </c>
      <c r="F4" s="10" t="s">
        <v>14</v>
      </c>
      <c r="G4" s="10">
        <f>12+8+0+0+0+6+14+12+14+14+10+12</f>
        <v>102</v>
      </c>
      <c r="H4" s="13"/>
      <c r="I4" s="13"/>
      <c r="J4" s="11"/>
      <c r="K4" s="10"/>
      <c r="L4" s="10"/>
      <c r="M4" s="10"/>
    </row>
    <row r="5" s="1" customFormat="1" ht="38" customHeight="1" spans="1:13">
      <c r="A5" s="12">
        <v>3</v>
      </c>
      <c r="B5" s="8" t="s">
        <v>21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65+0+0+0+0+0+0+0+0+0+0+0</f>
        <v>65</v>
      </c>
      <c r="H5" s="10">
        <v>4950</v>
      </c>
      <c r="I5" s="10">
        <f>H5-G5-G7-G6</f>
        <v>3436</v>
      </c>
      <c r="J5" s="14"/>
      <c r="K5" s="10"/>
      <c r="L5" s="10"/>
      <c r="M5" s="10"/>
    </row>
    <row r="6" s="1" customFormat="1" ht="38" customHeight="1" spans="1:13">
      <c r="A6" s="15"/>
      <c r="B6" s="8" t="s">
        <v>23</v>
      </c>
      <c r="C6" s="10">
        <v>118</v>
      </c>
      <c r="D6" s="10">
        <v>110</v>
      </c>
      <c r="E6" s="10">
        <f t="shared" si="0"/>
        <v>228</v>
      </c>
      <c r="F6" s="10" t="s">
        <v>14</v>
      </c>
      <c r="G6" s="10">
        <f>0+0+0+0+183+194+174+196+189+174+99+228</f>
        <v>1437</v>
      </c>
      <c r="H6" s="15"/>
      <c r="I6" s="15"/>
      <c r="J6" s="11"/>
      <c r="K6" s="10"/>
      <c r="L6" s="10"/>
      <c r="M6" s="16"/>
    </row>
    <row r="7" s="1" customFormat="1" ht="38" customHeight="1" spans="1:13">
      <c r="A7" s="15"/>
      <c r="B7" s="8" t="s">
        <v>25</v>
      </c>
      <c r="C7" s="10">
        <v>3</v>
      </c>
      <c r="D7" s="10">
        <v>0</v>
      </c>
      <c r="E7" s="10">
        <f t="shared" si="0"/>
        <v>3</v>
      </c>
      <c r="F7" s="10" t="s">
        <v>14</v>
      </c>
      <c r="G7" s="10">
        <f>0+0+0+8+1+0+0+0+0+0+0+3</f>
        <v>12</v>
      </c>
      <c r="H7" s="15"/>
      <c r="I7" s="15"/>
      <c r="J7" s="11"/>
      <c r="K7" s="10"/>
      <c r="L7" s="10"/>
      <c r="M7" s="10"/>
    </row>
    <row r="8" s="1" customFormat="1" ht="38" customHeight="1" spans="1:13">
      <c r="A8" s="15"/>
      <c r="B8" s="8" t="s">
        <v>27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0+0+0+0+0+0+0+0+0+0+0+0</f>
        <v>0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29</v>
      </c>
      <c r="C9" s="13">
        <v>30.81</v>
      </c>
      <c r="D9" s="13"/>
      <c r="E9" s="10">
        <f t="shared" si="0"/>
        <v>30.81</v>
      </c>
      <c r="F9" s="13" t="s">
        <v>14</v>
      </c>
      <c r="G9" s="10">
        <f>0+31.23+0+31.02+0+30.93+30.89+30.97+30.96+0+31.05+30.81</f>
        <v>247.86</v>
      </c>
      <c r="H9" s="13">
        <v>6.08</v>
      </c>
      <c r="I9" s="13">
        <f>H9-K10</f>
        <v>3.932895</v>
      </c>
      <c r="J9" s="19" t="s">
        <v>30</v>
      </c>
      <c r="K9" s="10">
        <v>120</v>
      </c>
      <c r="L9" s="10">
        <v>0.88</v>
      </c>
      <c r="M9" s="20"/>
    </row>
    <row r="10" s="1" customFormat="1" ht="25" customHeight="1" spans="1:13">
      <c r="A10" s="7">
        <v>5</v>
      </c>
      <c r="B10" s="8" t="s">
        <v>31</v>
      </c>
      <c r="C10" s="10">
        <v>6.723</v>
      </c>
      <c r="D10" s="10">
        <v>2.646</v>
      </c>
      <c r="E10" s="10">
        <f t="shared" si="0"/>
        <v>9.369</v>
      </c>
      <c r="F10" s="10" t="s">
        <v>14</v>
      </c>
      <c r="G10" s="10">
        <f>6.831+0+0+0+6.6555+7.614+14.958+12.744+10.611+5.832+10.314+9.369</f>
        <v>84.9285</v>
      </c>
      <c r="H10" s="10"/>
      <c r="I10" s="10">
        <f>G10/(G3*0.1865)</f>
        <v>4.42117181602853</v>
      </c>
      <c r="J10" s="19" t="s">
        <v>32</v>
      </c>
      <c r="K10" s="20">
        <f>0+0.268578+0+0.257466+0+0.256719+0.253298+0.27873+0.281736+0+0.27945+0.271128</f>
        <v>2.147105</v>
      </c>
      <c r="L10" s="10"/>
      <c r="M10" s="10">
        <f>C9*L9/100</f>
        <v>0.271128</v>
      </c>
    </row>
    <row r="11" s="1" customFormat="1" ht="25" customHeight="1" spans="1:13">
      <c r="A11" s="7">
        <v>6</v>
      </c>
      <c r="B11" s="8" t="s">
        <v>33</v>
      </c>
      <c r="C11" s="10">
        <v>16.56</v>
      </c>
      <c r="D11" s="10">
        <v>0</v>
      </c>
      <c r="E11" s="10">
        <f t="shared" si="0"/>
        <v>16.56</v>
      </c>
      <c r="F11" s="10" t="s">
        <v>14</v>
      </c>
      <c r="G11" s="10">
        <f>14.352+0+0+0+6.7344+17.5536+13.2664+17.664+16.56+14.6096+11.5+16.56</f>
        <v>128.8</v>
      </c>
      <c r="H11" s="10"/>
      <c r="I11" s="10">
        <f>G11/(G3*0.1865)</f>
        <v>6.70501574741664</v>
      </c>
      <c r="J11" s="11"/>
      <c r="K11" s="10"/>
      <c r="L11" s="10"/>
      <c r="M11" s="21"/>
    </row>
    <row r="12" s="1" customFormat="1" ht="25" customHeight="1" spans="1:13">
      <c r="A12" s="7">
        <v>7</v>
      </c>
      <c r="B12" s="8" t="s">
        <v>34</v>
      </c>
      <c r="C12" s="10">
        <v>115</v>
      </c>
      <c r="D12" s="10">
        <v>270</v>
      </c>
      <c r="E12" s="10">
        <f t="shared" si="0"/>
        <v>385</v>
      </c>
      <c r="F12" s="10" t="s">
        <v>35</v>
      </c>
      <c r="G12" s="10">
        <f>472+11+0+16+206+451+454+465+490+368+388+385</f>
        <v>3706</v>
      </c>
      <c r="H12" s="10">
        <f>G12*1.05</f>
        <v>3891.3</v>
      </c>
      <c r="I12" s="10"/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36</v>
      </c>
      <c r="C13" s="10">
        <v>46</v>
      </c>
      <c r="D13" s="10">
        <v>236</v>
      </c>
      <c r="E13" s="10">
        <f t="shared" ref="E13:E21" si="1">D13+C13</f>
        <v>282</v>
      </c>
      <c r="F13" s="10" t="s">
        <v>35</v>
      </c>
      <c r="G13" s="10">
        <f>372+0+0+0+195+420+417+363+467+242+386+282</f>
        <v>3144</v>
      </c>
      <c r="H13" s="10"/>
      <c r="I13" s="10"/>
      <c r="J13" s="14"/>
      <c r="K13" s="10"/>
      <c r="L13" s="10"/>
      <c r="M13" s="10"/>
    </row>
    <row r="14" s="1" customFormat="1" ht="25" customHeight="1" spans="1:13">
      <c r="A14" s="7">
        <v>9</v>
      </c>
      <c r="B14" s="8" t="s">
        <v>37</v>
      </c>
      <c r="C14" s="10">
        <v>439.83</v>
      </c>
      <c r="D14" s="10">
        <v>463.12</v>
      </c>
      <c r="E14" s="10">
        <f t="shared" si="1"/>
        <v>902.95</v>
      </c>
      <c r="F14" s="10" t="s">
        <v>35</v>
      </c>
      <c r="G14" s="10">
        <f>209.75+0+0+0+370.64+733.22+886.44+846.58+728.24+930.46+896.96+902.95</f>
        <v>6505.24</v>
      </c>
      <c r="H14" s="10"/>
      <c r="I14" s="10"/>
      <c r="J14" s="19" t="s">
        <v>38</v>
      </c>
      <c r="K14" s="10">
        <v>2.77</v>
      </c>
      <c r="L14" s="10">
        <v>3</v>
      </c>
      <c r="M14" s="10"/>
    </row>
    <row r="15" s="1" customFormat="1" ht="25" customHeight="1" spans="1:13">
      <c r="A15" s="7">
        <v>10</v>
      </c>
      <c r="B15" s="8" t="s">
        <v>39</v>
      </c>
      <c r="C15" s="10">
        <v>3</v>
      </c>
      <c r="D15" s="10">
        <v>18</v>
      </c>
      <c r="E15" s="10">
        <f t="shared" si="1"/>
        <v>21</v>
      </c>
      <c r="F15" s="10" t="s">
        <v>14</v>
      </c>
      <c r="G15" s="10">
        <f>24+0+0+0+21+27+33+30+33+21+30+21</f>
        <v>240</v>
      </c>
      <c r="H15" s="10"/>
      <c r="I15" s="10">
        <f>G15/(G3*0.1865)</f>
        <v>12.4938181628882</v>
      </c>
      <c r="J15" s="19" t="s">
        <v>40</v>
      </c>
      <c r="K15" s="20">
        <f>0.641835+0+0+0+1.0970944+2.2635878+2.9007565+2.4932712+2.1651567+2.7262642+2.5433786+2.6076891</f>
        <v>19.4390335</v>
      </c>
      <c r="L15" s="10"/>
      <c r="M15" s="10">
        <f>(C14*K14+L14*D14)/1000</f>
        <v>2.6076891</v>
      </c>
    </row>
    <row r="16" s="1" customFormat="1" ht="25" customHeight="1" spans="1:13">
      <c r="A16" s="7">
        <v>11</v>
      </c>
      <c r="B16" s="8" t="s">
        <v>41</v>
      </c>
      <c r="C16" s="7">
        <v>0</v>
      </c>
      <c r="D16" s="7">
        <v>0.0375</v>
      </c>
      <c r="E16" s="10">
        <f t="shared" si="1"/>
        <v>0.0375</v>
      </c>
      <c r="F16" s="10" t="s">
        <v>14</v>
      </c>
      <c r="G16" s="10">
        <f>0+0+0+0+0+0.0875+0+0.075+0+0.0875+0.0375+0.0375</f>
        <v>0.325</v>
      </c>
      <c r="H16" s="22"/>
      <c r="I16" s="22"/>
      <c r="J16" s="11"/>
      <c r="K16" s="22"/>
      <c r="L16" s="22"/>
      <c r="M16" s="10"/>
    </row>
    <row r="17" s="1" customFormat="1" ht="25" customHeight="1" spans="1:13">
      <c r="A17" s="12">
        <v>12</v>
      </c>
      <c r="B17" s="8" t="s">
        <v>42</v>
      </c>
      <c r="C17" s="10">
        <v>0</v>
      </c>
      <c r="D17" s="7">
        <v>0</v>
      </c>
      <c r="E17" s="10">
        <f t="shared" si="1"/>
        <v>0</v>
      </c>
      <c r="F17" s="10" t="s">
        <v>14</v>
      </c>
      <c r="G17" s="10">
        <f>2+0+0+0+0+2+0+2+0+2+2+0</f>
        <v>10</v>
      </c>
      <c r="H17" s="22"/>
      <c r="I17" s="10">
        <f>G17/(G3*0.1865)</f>
        <v>0.520575756787007</v>
      </c>
      <c r="J17" s="11"/>
      <c r="K17" s="22"/>
      <c r="L17" s="22"/>
      <c r="M17" s="10"/>
    </row>
    <row r="18" s="1" customFormat="1" ht="25" customHeight="1" spans="1:13">
      <c r="A18" s="7">
        <v>13</v>
      </c>
      <c r="B18" s="8" t="s">
        <v>43</v>
      </c>
      <c r="C18" s="10">
        <v>0</v>
      </c>
      <c r="D18" s="7">
        <v>0</v>
      </c>
      <c r="E18" s="10">
        <f t="shared" si="1"/>
        <v>0</v>
      </c>
      <c r="F18" s="10" t="s">
        <v>14</v>
      </c>
      <c r="G18" s="10">
        <f>2+0+0+0+0+2+0+2+0+2+2+0</f>
        <v>10</v>
      </c>
      <c r="H18" s="22"/>
      <c r="I18" s="10">
        <f>G18/(G3*0.1865)</f>
        <v>0.520575756787007</v>
      </c>
      <c r="J18" s="11"/>
      <c r="K18" s="22"/>
      <c r="L18" s="22"/>
      <c r="M18" s="10"/>
    </row>
    <row r="19" s="1" customFormat="1" ht="25" customHeight="1" spans="1:13">
      <c r="A19" s="7">
        <v>14</v>
      </c>
      <c r="B19" s="8" t="s">
        <v>44</v>
      </c>
      <c r="C19" s="10">
        <v>3</v>
      </c>
      <c r="D19" s="7">
        <v>3</v>
      </c>
      <c r="E19" s="10">
        <f t="shared" si="1"/>
        <v>6</v>
      </c>
      <c r="F19" s="10" t="s">
        <v>45</v>
      </c>
      <c r="G19" s="10">
        <f>5+0+0+0+3+7+8+6+7+7+7+6</f>
        <v>56</v>
      </c>
      <c r="H19" s="22"/>
      <c r="I19" s="22"/>
      <c r="J19" s="11"/>
      <c r="K19" s="22"/>
      <c r="L19" s="22"/>
      <c r="M19" s="10"/>
    </row>
    <row r="20" s="1" customFormat="1" ht="25" customHeight="1" spans="1:13">
      <c r="A20" s="7">
        <v>15</v>
      </c>
      <c r="B20" s="8" t="s">
        <v>46</v>
      </c>
      <c r="C20" s="7">
        <v>677</v>
      </c>
      <c r="D20" s="7">
        <v>693</v>
      </c>
      <c r="E20" s="10">
        <f t="shared" si="1"/>
        <v>1370</v>
      </c>
      <c r="F20" s="10" t="s">
        <v>35</v>
      </c>
      <c r="G20" s="10">
        <f>507+0+0+339+1006+1051+1056+1200+1113+1132+810+1370</f>
        <v>9584</v>
      </c>
      <c r="H20" s="23"/>
      <c r="I20" s="10">
        <f>E20/M20</f>
        <v>57.0833333333333</v>
      </c>
      <c r="J20" s="19" t="s">
        <v>47</v>
      </c>
      <c r="K20" s="10">
        <f>7.5+0+0+6+24+24+24+24+24+24+15.5+24</f>
        <v>197</v>
      </c>
      <c r="L20" s="10">
        <f>G20/K20</f>
        <v>48.6497461928934</v>
      </c>
      <c r="M20" s="10">
        <v>24</v>
      </c>
    </row>
    <row r="21" s="1" customFormat="1" ht="25" customHeight="1" spans="1:13">
      <c r="A21" s="12">
        <v>16</v>
      </c>
      <c r="B21" s="8" t="s">
        <v>48</v>
      </c>
      <c r="C21" s="7">
        <v>764</v>
      </c>
      <c r="D21" s="7">
        <v>916</v>
      </c>
      <c r="E21" s="10">
        <f t="shared" si="1"/>
        <v>1680</v>
      </c>
      <c r="F21" s="10" t="s">
        <v>35</v>
      </c>
      <c r="G21" s="10">
        <f>547+0+0+662+1124+1392+1384+1483+1450+1339+986+1680</f>
        <v>12047</v>
      </c>
      <c r="H21" s="22"/>
      <c r="I21" s="10">
        <f>E21/M20</f>
        <v>70</v>
      </c>
      <c r="J21" s="11"/>
      <c r="K21" s="22"/>
      <c r="L21" s="22"/>
      <c r="M21" s="10"/>
    </row>
    <row r="22" s="1" customFormat="1" ht="25" customHeight="1" spans="1:13">
      <c r="A22" s="7">
        <v>17</v>
      </c>
      <c r="B22" s="8" t="s">
        <v>49</v>
      </c>
      <c r="C22" s="12">
        <v>28.19</v>
      </c>
      <c r="D22" s="12">
        <v>32.13</v>
      </c>
      <c r="E22" s="13"/>
      <c r="F22" s="13" t="s">
        <v>50</v>
      </c>
      <c r="G22" s="13"/>
      <c r="H22" s="24"/>
      <c r="I22" s="24"/>
      <c r="J22" s="25"/>
      <c r="K22" s="24"/>
      <c r="L22" s="24"/>
      <c r="M22" s="10"/>
    </row>
    <row r="23" s="1" customFormat="1" ht="32" customHeight="1" spans="1:13">
      <c r="A23" s="7">
        <v>18</v>
      </c>
      <c r="B23" s="26" t="s">
        <v>116</v>
      </c>
      <c r="C23" s="27" t="s">
        <v>132</v>
      </c>
      <c r="D23" s="28"/>
      <c r="E23" s="28"/>
      <c r="F23" s="28"/>
      <c r="G23" s="28"/>
      <c r="H23" s="28"/>
      <c r="I23" s="28"/>
      <c r="J23" s="28"/>
      <c r="K23" s="28"/>
      <c r="L23" s="29"/>
      <c r="M23" s="40"/>
    </row>
    <row r="24" s="1" customFormat="1" ht="32" customHeight="1" spans="1:13">
      <c r="A24" s="7">
        <v>19</v>
      </c>
      <c r="B24" s="26" t="s">
        <v>118</v>
      </c>
      <c r="C24" s="27" t="s">
        <v>133</v>
      </c>
      <c r="D24" s="28"/>
      <c r="E24" s="28"/>
      <c r="F24" s="28"/>
      <c r="G24" s="28"/>
      <c r="H24" s="28"/>
      <c r="I24" s="28"/>
      <c r="J24" s="28"/>
      <c r="K24" s="28"/>
      <c r="L24" s="29"/>
      <c r="M24" s="40" t="s">
        <v>20</v>
      </c>
    </row>
    <row r="25" s="1" customFormat="1" ht="80" customHeight="1" spans="1:13">
      <c r="A25" s="7">
        <v>20</v>
      </c>
      <c r="B25" s="31" t="s">
        <v>55</v>
      </c>
      <c r="C25" s="27" t="s">
        <v>129</v>
      </c>
      <c r="D25" s="28"/>
      <c r="E25" s="28"/>
      <c r="F25" s="28"/>
      <c r="G25" s="28"/>
      <c r="H25" s="28"/>
      <c r="I25" s="28"/>
      <c r="J25" s="28"/>
      <c r="K25" s="28"/>
      <c r="L25" s="29"/>
      <c r="M25" s="39"/>
    </row>
    <row r="26" s="1" customFormat="1" ht="14" customHeight="1" spans="1:13">
      <c r="C26" s="33"/>
      <c r="D26" s="33"/>
      <c r="J26" s="34"/>
    </row>
    <row r="27" s="1" customFormat="1" ht="45" customHeight="1" spans="1:13">
      <c r="A27" s="5" t="s">
        <v>134</v>
      </c>
    </row>
    <row r="28" s="1" customFormat="1" ht="30" customHeight="1" spans="1:13">
      <c r="A28" s="6" t="s">
        <v>58</v>
      </c>
      <c r="B28" s="6" t="s">
        <v>59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7">
        <v>1</v>
      </c>
      <c r="B29" s="8" t="s">
        <v>60</v>
      </c>
      <c r="C29" s="10">
        <v>0</v>
      </c>
      <c r="D29" s="10">
        <v>0</v>
      </c>
      <c r="E29" s="10">
        <f t="shared" ref="E29:E35" si="2">D29+C29</f>
        <v>0</v>
      </c>
      <c r="F29" s="10" t="s">
        <v>35</v>
      </c>
      <c r="G29" s="10">
        <f>0+0+0+0+0+0+0+0+0+0+0+0</f>
        <v>0</v>
      </c>
      <c r="H29" s="10"/>
      <c r="I29" s="10"/>
      <c r="J29" s="11"/>
      <c r="K29" s="22"/>
      <c r="L29" s="22"/>
      <c r="M29" s="10"/>
    </row>
    <row r="30" s="1" customFormat="1" ht="25" customHeight="1" spans="1:13">
      <c r="A30" s="7">
        <v>2</v>
      </c>
      <c r="B30" s="8" t="s">
        <v>61</v>
      </c>
      <c r="C30" s="10">
        <v>8.26</v>
      </c>
      <c r="D30" s="10">
        <v>8.35</v>
      </c>
      <c r="E30" s="10">
        <f t="shared" si="2"/>
        <v>16.61</v>
      </c>
      <c r="F30" s="10" t="s">
        <v>35</v>
      </c>
      <c r="G30" s="10">
        <f>0+0+0+0+0+0+12.6+12.59+14.7+16.7+8.28+16.61</f>
        <v>81.48</v>
      </c>
      <c r="H30" s="10"/>
      <c r="I30" s="10"/>
      <c r="J30" s="11"/>
      <c r="K30" s="22"/>
      <c r="L30" s="22"/>
      <c r="M30" s="21"/>
    </row>
    <row r="31" s="1" customFormat="1" ht="25" customHeight="1" spans="1:13">
      <c r="A31" s="7">
        <v>3</v>
      </c>
      <c r="B31" s="8" t="s">
        <v>62</v>
      </c>
      <c r="C31" s="10">
        <v>25.27</v>
      </c>
      <c r="D31" s="10">
        <v>17</v>
      </c>
      <c r="E31" s="10">
        <f t="shared" si="2"/>
        <v>42.27</v>
      </c>
      <c r="F31" s="10" t="s">
        <v>35</v>
      </c>
      <c r="G31" s="10">
        <f>9+33+13+24+43.31+38+19+17+26+16+38+42.27</f>
        <v>318.58</v>
      </c>
      <c r="H31" s="10"/>
      <c r="I31" s="10"/>
      <c r="J31" s="11"/>
      <c r="K31" s="22"/>
      <c r="L31" s="22"/>
      <c r="M31" s="21"/>
    </row>
    <row r="32" s="1" customFormat="1" ht="25" customHeight="1" spans="1:13">
      <c r="A32" s="7">
        <v>4</v>
      </c>
      <c r="B32" s="8" t="s">
        <v>31</v>
      </c>
      <c r="C32" s="10">
        <v>0</v>
      </c>
      <c r="D32" s="10">
        <v>0</v>
      </c>
      <c r="E32" s="10">
        <f t="shared" si="2"/>
        <v>0</v>
      </c>
      <c r="F32" s="10" t="s">
        <v>14</v>
      </c>
      <c r="G32" s="10">
        <f>0+0+0+0+0+0+0+0+8.1945+5.4135+14.796+0</f>
        <v>28.404</v>
      </c>
      <c r="H32" s="10"/>
      <c r="J32" s="11"/>
      <c r="K32" s="22"/>
      <c r="L32" s="22"/>
      <c r="M32" s="22"/>
    </row>
    <row r="33" s="1" customFormat="1" ht="25" customHeight="1" spans="1:13">
      <c r="A33" s="7">
        <v>5</v>
      </c>
      <c r="B33" s="8" t="s">
        <v>33</v>
      </c>
      <c r="C33" s="10">
        <v>0</v>
      </c>
      <c r="D33" s="10">
        <v>0</v>
      </c>
      <c r="E33" s="10">
        <f t="shared" si="2"/>
        <v>0</v>
      </c>
      <c r="F33" s="10" t="s">
        <v>14</v>
      </c>
      <c r="G33" s="10">
        <f>0+0+0+0+0+0+0+0+0+0+0+0</f>
        <v>0</v>
      </c>
      <c r="H33" s="10"/>
      <c r="I33" s="10"/>
      <c r="J33" s="14"/>
      <c r="K33" s="22"/>
      <c r="L33" s="22"/>
      <c r="M33" s="22"/>
    </row>
    <row r="34" s="1" customFormat="1" ht="25" customHeight="1" spans="1:13">
      <c r="A34" s="7">
        <v>6</v>
      </c>
      <c r="B34" s="8" t="s">
        <v>63</v>
      </c>
      <c r="C34" s="10">
        <v>168</v>
      </c>
      <c r="D34" s="10">
        <v>170</v>
      </c>
      <c r="E34" s="10">
        <f t="shared" si="2"/>
        <v>338</v>
      </c>
      <c r="F34" s="10" t="s">
        <v>35</v>
      </c>
      <c r="G34" s="10">
        <f>580+604+307+408+430+215+238+250+321+330+333+338</f>
        <v>4354</v>
      </c>
      <c r="H34" s="10"/>
      <c r="I34" s="10"/>
      <c r="J34" s="35"/>
      <c r="K34" s="22"/>
      <c r="L34" s="10"/>
      <c r="M34" s="22"/>
    </row>
    <row r="35" s="1" customFormat="1" ht="25" customHeight="1" spans="1:13">
      <c r="A35" s="7">
        <v>7</v>
      </c>
      <c r="B35" s="8" t="s">
        <v>64</v>
      </c>
      <c r="C35" s="10">
        <v>506</v>
      </c>
      <c r="D35" s="10">
        <v>474</v>
      </c>
      <c r="E35" s="10">
        <f t="shared" si="2"/>
        <v>980</v>
      </c>
      <c r="F35" s="10" t="s">
        <v>35</v>
      </c>
      <c r="G35" s="10">
        <f>1010+819+776+499+966+1008+1007+1010+1005+1008+1008+980</f>
        <v>11096</v>
      </c>
      <c r="H35" s="10"/>
      <c r="I35" s="10"/>
      <c r="J35" s="36"/>
      <c r="K35" s="22"/>
      <c r="L35" s="10"/>
      <c r="M35" s="22"/>
    </row>
    <row r="36" s="1" customFormat="1" ht="25" customHeight="1" spans="1:13">
      <c r="A36" s="7">
        <v>8</v>
      </c>
      <c r="B36" s="8" t="s">
        <v>65</v>
      </c>
      <c r="C36" s="10">
        <v>0</v>
      </c>
      <c r="D36" s="10">
        <v>0</v>
      </c>
      <c r="E36" s="10">
        <f>C36+D36</f>
        <v>0</v>
      </c>
      <c r="F36" s="10" t="s">
        <v>35</v>
      </c>
      <c r="G36" s="10">
        <f>0+0+0+0+0+0+0+0+0+0+0+0</f>
        <v>0</v>
      </c>
      <c r="H36" s="22"/>
      <c r="I36" s="7">
        <v>487.5</v>
      </c>
      <c r="J36" s="14"/>
      <c r="K36" s="37"/>
      <c r="L36" s="27"/>
      <c r="M36" s="38"/>
    </row>
    <row r="37" s="1" customFormat="1" ht="25" customHeight="1" spans="1:13">
      <c r="A37" s="7">
        <v>9</v>
      </c>
      <c r="B37" s="8" t="s">
        <v>66</v>
      </c>
      <c r="C37" s="10">
        <v>0</v>
      </c>
      <c r="D37" s="10">
        <v>0</v>
      </c>
      <c r="E37" s="10">
        <f>C37+D37</f>
        <v>0</v>
      </c>
      <c r="F37" s="10" t="s">
        <v>35</v>
      </c>
      <c r="G37" s="10">
        <f>0+0+0+0+0+0+0+0+0+0+0+0</f>
        <v>0</v>
      </c>
      <c r="H37" s="22"/>
      <c r="I37" s="7">
        <v>72.0938</v>
      </c>
      <c r="J37" s="35"/>
      <c r="K37" s="37"/>
      <c r="L37" s="27"/>
      <c r="M37" s="38"/>
    </row>
    <row r="38" s="1" customFormat="1" ht="25" customHeight="1" spans="1:13">
      <c r="A38" s="7">
        <v>10</v>
      </c>
      <c r="B38" s="8" t="s">
        <v>67</v>
      </c>
      <c r="C38" s="7">
        <v>0</v>
      </c>
      <c r="D38" s="7">
        <v>2</v>
      </c>
      <c r="E38" s="10">
        <f>D38+C38</f>
        <v>2</v>
      </c>
      <c r="F38" s="10" t="s">
        <v>45</v>
      </c>
      <c r="G38" s="10">
        <f>0+0+2+0+0+0+2+0+3+4+2+2</f>
        <v>15</v>
      </c>
      <c r="H38" s="22"/>
      <c r="I38" s="10">
        <v>0</v>
      </c>
      <c r="J38" s="35"/>
      <c r="K38" s="27"/>
      <c r="L38" s="19" t="s">
        <v>68</v>
      </c>
      <c r="M38" s="7">
        <v>26</v>
      </c>
    </row>
    <row r="39" s="1" customFormat="1" ht="80" customHeight="1" spans="1:13">
      <c r="A39" s="7">
        <v>11</v>
      </c>
      <c r="B39" s="32" t="s">
        <v>55</v>
      </c>
      <c r="C39" s="27" t="s">
        <v>69</v>
      </c>
      <c r="D39" s="28"/>
      <c r="E39" s="28"/>
      <c r="F39" s="28"/>
      <c r="G39" s="28"/>
      <c r="H39" s="28"/>
      <c r="I39" s="28"/>
      <c r="J39" s="28"/>
      <c r="K39" s="28"/>
      <c r="L39" s="29"/>
      <c r="M39" s="32"/>
    </row>
    <row r="47" s="1" customFormat="1" spans="1:13">
      <c r="C47" s="33"/>
      <c r="D47" s="33"/>
      <c r="J47" s="34"/>
    </row>
    <row r="48" spans="1:13">
      <c r="L48" s="1"/>
    </row>
  </sheetData>
  <mergeCells count="9">
    <mergeCell ref="A1:M1"/>
    <mergeCell ref="C23:L23"/>
    <mergeCell ref="C24:L24"/>
    <mergeCell ref="C25:L25"/>
    <mergeCell ref="A27:M27"/>
    <mergeCell ref="C39:L39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zoomScale="85" zoomScaleNormal="85" topLeftCell="A22" workbookViewId="0">
      <selection activeCell="J10" sqref="J10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135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8" customHeight="1" spans="1:13">
      <c r="A3" s="7">
        <v>1</v>
      </c>
      <c r="B3" s="8" t="s">
        <v>13</v>
      </c>
      <c r="C3" s="9">
        <v>7.5</v>
      </c>
      <c r="D3" s="9">
        <v>7.5</v>
      </c>
      <c r="E3" s="10">
        <f t="shared" ref="E3:E12" si="0">C3+D3</f>
        <v>15</v>
      </c>
      <c r="F3" s="10" t="s">
        <v>14</v>
      </c>
      <c r="G3" s="10">
        <f>12+0+0+0+6+13+13+13+15+9+13+9+15</f>
        <v>118</v>
      </c>
      <c r="H3" s="10">
        <v>330</v>
      </c>
      <c r="I3" s="10">
        <f>H3-G3</f>
        <v>212</v>
      </c>
      <c r="J3" s="11"/>
      <c r="K3" s="10"/>
      <c r="L3" s="10"/>
      <c r="M3" s="10">
        <f>I3/17</f>
        <v>12.4705882352941</v>
      </c>
    </row>
    <row r="4" s="1" customFormat="1" ht="38" customHeight="1" spans="1:13">
      <c r="A4" s="12">
        <v>2</v>
      </c>
      <c r="B4" s="8" t="s">
        <v>18</v>
      </c>
      <c r="C4" s="9">
        <v>10</v>
      </c>
      <c r="D4" s="9"/>
      <c r="E4" s="10">
        <f t="shared" si="0"/>
        <v>10</v>
      </c>
      <c r="F4" s="10" t="s">
        <v>14</v>
      </c>
      <c r="G4" s="10">
        <f>12+8+0+0+0+6+14+12+14+14+10+12+10</f>
        <v>112</v>
      </c>
      <c r="H4" s="13"/>
      <c r="I4" s="13"/>
      <c r="J4" s="11"/>
      <c r="K4" s="10"/>
      <c r="L4" s="10"/>
      <c r="M4" s="10"/>
    </row>
    <row r="5" s="1" customFormat="1" ht="38" customHeight="1" spans="1:13">
      <c r="A5" s="12">
        <v>3</v>
      </c>
      <c r="B5" s="8" t="s">
        <v>21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65+0+0+0+0+0+0+0+0+0+0+0+0</f>
        <v>65</v>
      </c>
      <c r="H5" s="10">
        <v>4950</v>
      </c>
      <c r="I5" s="10">
        <f>H5-G5-G7-G6</f>
        <v>3263</v>
      </c>
      <c r="J5" s="14"/>
      <c r="K5" s="10"/>
      <c r="L5" s="10"/>
      <c r="M5" s="10"/>
    </row>
    <row r="6" s="1" customFormat="1" ht="38" customHeight="1" spans="1:13">
      <c r="A6" s="15"/>
      <c r="B6" s="8" t="s">
        <v>23</v>
      </c>
      <c r="C6" s="10">
        <v>91</v>
      </c>
      <c r="D6" s="10">
        <v>82</v>
      </c>
      <c r="E6" s="10">
        <f t="shared" si="0"/>
        <v>173</v>
      </c>
      <c r="F6" s="10" t="s">
        <v>14</v>
      </c>
      <c r="G6" s="10">
        <f>0+0+0+0+183+194+174+196+189+174+99+228+173</f>
        <v>1610</v>
      </c>
      <c r="H6" s="15"/>
      <c r="I6" s="15"/>
      <c r="J6" s="11"/>
      <c r="K6" s="10"/>
      <c r="L6" s="10"/>
      <c r="M6" s="16"/>
    </row>
    <row r="7" s="1" customFormat="1" ht="38" customHeight="1" spans="1:13">
      <c r="A7" s="15"/>
      <c r="B7" s="8" t="s">
        <v>25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0+0+0+8+1+0+0+0+0+0+0+3+0</f>
        <v>12</v>
      </c>
      <c r="H7" s="15"/>
      <c r="I7" s="15"/>
      <c r="J7" s="11"/>
      <c r="K7" s="10"/>
      <c r="L7" s="10"/>
      <c r="M7" s="10"/>
    </row>
    <row r="8" s="1" customFormat="1" ht="38" customHeight="1" spans="1:13">
      <c r="A8" s="15"/>
      <c r="B8" s="8" t="s">
        <v>27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0+0+0+0+0+0+0+0+0+0+0+0+0</f>
        <v>0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29</v>
      </c>
      <c r="C9" s="13">
        <v>0</v>
      </c>
      <c r="D9" s="13"/>
      <c r="E9" s="10">
        <f t="shared" si="0"/>
        <v>0</v>
      </c>
      <c r="F9" s="13" t="s">
        <v>14</v>
      </c>
      <c r="G9" s="10">
        <f>0+31.23+0+31.02+0+30.93+30.89+30.97+30.96+0+31.05+30.81+0</f>
        <v>247.86</v>
      </c>
      <c r="H9" s="13">
        <v>6.08</v>
      </c>
      <c r="I9" s="13">
        <f>H9-K10</f>
        <v>3.932895</v>
      </c>
      <c r="J9" s="19" t="s">
        <v>30</v>
      </c>
      <c r="K9" s="10">
        <v>120</v>
      </c>
      <c r="L9" s="10">
        <v>0</v>
      </c>
      <c r="M9" s="20"/>
    </row>
    <row r="10" s="1" customFormat="1" ht="25" customHeight="1" spans="1:13">
      <c r="A10" s="7">
        <v>5</v>
      </c>
      <c r="B10" s="8" t="s">
        <v>31</v>
      </c>
      <c r="C10" s="10">
        <v>6.1965</v>
      </c>
      <c r="D10" s="10">
        <v>0</v>
      </c>
      <c r="E10" s="10">
        <f t="shared" si="0"/>
        <v>6.1965</v>
      </c>
      <c r="F10" s="10" t="s">
        <v>14</v>
      </c>
      <c r="G10" s="10">
        <f>6.831+0+0+0+6.6555+7.614+14.958+12.744+10.611+5.832+10.314+9.369+6.1965</f>
        <v>91.125</v>
      </c>
      <c r="H10" s="10"/>
      <c r="I10" s="10">
        <f>G10/(G3*0.1865)</f>
        <v>4.14072795019766</v>
      </c>
      <c r="J10" s="19" t="s">
        <v>32</v>
      </c>
      <c r="K10" s="20">
        <f>0+0.268578+0+0.257466+0+0.256719+0.253298+0.27873+0.281736+0+0.27945+0.271128+0</f>
        <v>2.147105</v>
      </c>
      <c r="L10" s="10"/>
      <c r="M10" s="10">
        <f>C9*L9/100</f>
        <v>0</v>
      </c>
    </row>
    <row r="11" s="1" customFormat="1" ht="25" customHeight="1" spans="1:13">
      <c r="A11" s="7">
        <v>6</v>
      </c>
      <c r="B11" s="8" t="s">
        <v>33</v>
      </c>
      <c r="C11" s="10">
        <v>10.9848</v>
      </c>
      <c r="D11" s="10">
        <v>0</v>
      </c>
      <c r="E11" s="10">
        <f t="shared" si="0"/>
        <v>10.9848</v>
      </c>
      <c r="F11" s="10" t="s">
        <v>14</v>
      </c>
      <c r="G11" s="10">
        <f>14.352+0+0+0+6.7344+17.5536+13.2664+17.664+16.56+14.6096+11.5+16.56+10.9848</f>
        <v>139.7848</v>
      </c>
      <c r="H11" s="10"/>
      <c r="I11" s="10">
        <f>G11/(G3*0.1865)</f>
        <v>6.35183350752034</v>
      </c>
      <c r="J11" s="11"/>
      <c r="K11" s="10"/>
      <c r="L11" s="10"/>
      <c r="M11" s="21"/>
    </row>
    <row r="12" s="1" customFormat="1" ht="25" customHeight="1" spans="1:13">
      <c r="A12" s="7">
        <v>7</v>
      </c>
      <c r="B12" s="8" t="s">
        <v>34</v>
      </c>
      <c r="C12" s="10">
        <v>251</v>
      </c>
      <c r="D12" s="10">
        <v>205</v>
      </c>
      <c r="E12" s="10">
        <f t="shared" si="0"/>
        <v>456</v>
      </c>
      <c r="F12" s="10" t="s">
        <v>35</v>
      </c>
      <c r="G12" s="10">
        <f>472+11+0+16+206+451+454+465+490+368+388+385+456</f>
        <v>4162</v>
      </c>
      <c r="H12" s="10">
        <f>G12*1.05</f>
        <v>4370.1</v>
      </c>
      <c r="I12" s="10"/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36</v>
      </c>
      <c r="C13" s="10">
        <v>234</v>
      </c>
      <c r="D13" s="10">
        <v>159</v>
      </c>
      <c r="E13" s="10">
        <f t="shared" ref="E13:E21" si="1">D13+C13</f>
        <v>393</v>
      </c>
      <c r="F13" s="10" t="s">
        <v>35</v>
      </c>
      <c r="G13" s="10">
        <f>372+0+0+0+195+420+417+363+467+242+386+282+393</f>
        <v>3537</v>
      </c>
      <c r="H13" s="10"/>
      <c r="I13" s="10"/>
      <c r="J13" s="14"/>
      <c r="K13" s="10"/>
      <c r="L13" s="10"/>
      <c r="M13" s="10"/>
    </row>
    <row r="14" s="1" customFormat="1" ht="25" customHeight="1" spans="1:13">
      <c r="A14" s="7">
        <v>9</v>
      </c>
      <c r="B14" s="8" t="s">
        <v>37</v>
      </c>
      <c r="C14" s="10">
        <v>317.08</v>
      </c>
      <c r="D14" s="10">
        <v>312.76</v>
      </c>
      <c r="E14" s="10">
        <f t="shared" si="1"/>
        <v>629.84</v>
      </c>
      <c r="F14" s="10" t="s">
        <v>35</v>
      </c>
      <c r="G14" s="10">
        <f>209.75+0+0+0+370.64+733.22+886.44+846.58+728.24+930.46+896.96+902.95+629.84</f>
        <v>7135.08</v>
      </c>
      <c r="H14" s="10"/>
      <c r="I14" s="10"/>
      <c r="J14" s="19" t="s">
        <v>38</v>
      </c>
      <c r="K14" s="10">
        <v>3.08</v>
      </c>
      <c r="L14" s="10">
        <v>3.12</v>
      </c>
      <c r="M14" s="10"/>
    </row>
    <row r="15" s="1" customFormat="1" ht="25" customHeight="1" spans="1:13">
      <c r="A15" s="7">
        <v>10</v>
      </c>
      <c r="B15" s="8" t="s">
        <v>39</v>
      </c>
      <c r="C15" s="10">
        <v>18</v>
      </c>
      <c r="D15" s="10">
        <v>15</v>
      </c>
      <c r="E15" s="10">
        <f t="shared" si="1"/>
        <v>33</v>
      </c>
      <c r="F15" s="10" t="s">
        <v>14</v>
      </c>
      <c r="G15" s="10">
        <f>24+0+0+0+21+27+33+30+33+21+30+21+33</f>
        <v>273</v>
      </c>
      <c r="H15" s="10"/>
      <c r="I15" s="10">
        <f>G15/(G3*0.1865)</f>
        <v>12.4051438178761</v>
      </c>
      <c r="J15" s="19" t="s">
        <v>40</v>
      </c>
      <c r="K15" s="20">
        <f>0.641835+0+0+0+1.0970944+2.2635878+2.9007565+2.4932712+2.1651567+2.7262642+2.5433786+2.6076891+1.9524176</f>
        <v>21.3914511</v>
      </c>
      <c r="L15" s="10"/>
      <c r="M15" s="10">
        <f>(C14*K14+L14*D14)/1000</f>
        <v>1.9524176</v>
      </c>
    </row>
    <row r="16" s="1" customFormat="1" ht="25" customHeight="1" spans="1:13">
      <c r="A16" s="7">
        <v>11</v>
      </c>
      <c r="B16" s="8" t="s">
        <v>41</v>
      </c>
      <c r="C16" s="7">
        <v>0</v>
      </c>
      <c r="D16" s="7">
        <v>0</v>
      </c>
      <c r="E16" s="10">
        <f t="shared" si="1"/>
        <v>0</v>
      </c>
      <c r="F16" s="10" t="s">
        <v>14</v>
      </c>
      <c r="G16" s="10">
        <f>0+0+0+0+0+0.0875+0+0.075+0+0.0875+0.0375+0.0375+0</f>
        <v>0.325</v>
      </c>
      <c r="H16" s="22"/>
      <c r="I16" s="22"/>
      <c r="J16" s="11"/>
      <c r="K16" s="22"/>
      <c r="L16" s="22"/>
      <c r="M16" s="10"/>
    </row>
    <row r="17" s="1" customFormat="1" ht="25" customHeight="1" spans="1:13">
      <c r="A17" s="12">
        <v>12</v>
      </c>
      <c r="B17" s="8" t="s">
        <v>42</v>
      </c>
      <c r="C17" s="10">
        <v>2</v>
      </c>
      <c r="D17" s="7">
        <v>0</v>
      </c>
      <c r="E17" s="10">
        <f t="shared" si="1"/>
        <v>2</v>
      </c>
      <c r="F17" s="10" t="s">
        <v>14</v>
      </c>
      <c r="G17" s="10">
        <f>2+0+0+0+0+2+0+2+0+2+2+0+2</f>
        <v>12</v>
      </c>
      <c r="H17" s="22"/>
      <c r="I17" s="10">
        <f>G17/(G3*0.1865)</f>
        <v>0.54528104693961</v>
      </c>
      <c r="J17" s="11"/>
      <c r="K17" s="22"/>
      <c r="L17" s="22"/>
      <c r="M17" s="10"/>
    </row>
    <row r="18" s="1" customFormat="1" ht="25" customHeight="1" spans="1:13">
      <c r="A18" s="7">
        <v>13</v>
      </c>
      <c r="B18" s="8" t="s">
        <v>43</v>
      </c>
      <c r="C18" s="10">
        <v>2</v>
      </c>
      <c r="D18" s="7">
        <v>0</v>
      </c>
      <c r="E18" s="10">
        <f t="shared" si="1"/>
        <v>2</v>
      </c>
      <c r="F18" s="10" t="s">
        <v>14</v>
      </c>
      <c r="G18" s="10">
        <f>2+0+0+0+0+2+0+2+0+2+2+0+2</f>
        <v>12</v>
      </c>
      <c r="H18" s="22"/>
      <c r="I18" s="10">
        <f>G18/(G3*0.1865)</f>
        <v>0.54528104693961</v>
      </c>
      <c r="J18" s="11"/>
      <c r="K18" s="22"/>
      <c r="L18" s="22"/>
      <c r="M18" s="10"/>
    </row>
    <row r="19" s="1" customFormat="1" ht="25" customHeight="1" spans="1:13">
      <c r="A19" s="7">
        <v>14</v>
      </c>
      <c r="B19" s="8" t="s">
        <v>44</v>
      </c>
      <c r="C19" s="10">
        <v>6</v>
      </c>
      <c r="D19" s="7">
        <v>2</v>
      </c>
      <c r="E19" s="10">
        <f t="shared" si="1"/>
        <v>8</v>
      </c>
      <c r="F19" s="10" t="s">
        <v>45</v>
      </c>
      <c r="G19" s="10">
        <f>5+0+0+0+3+7+8+6+7+7+7+6+8</f>
        <v>64</v>
      </c>
      <c r="H19" s="22"/>
      <c r="I19" s="22"/>
      <c r="J19" s="11"/>
      <c r="K19" s="22"/>
      <c r="L19" s="22"/>
      <c r="M19" s="10"/>
    </row>
    <row r="20" s="1" customFormat="1" ht="25" customHeight="1" spans="1:13">
      <c r="A20" s="7">
        <v>15</v>
      </c>
      <c r="B20" s="8" t="s">
        <v>46</v>
      </c>
      <c r="C20" s="7">
        <v>618</v>
      </c>
      <c r="D20" s="7">
        <v>569</v>
      </c>
      <c r="E20" s="10">
        <f t="shared" si="1"/>
        <v>1187</v>
      </c>
      <c r="F20" s="10" t="s">
        <v>35</v>
      </c>
      <c r="G20" s="10">
        <f>507+0+0+339+1006+1051+1056+1200+1113+1132+810+1370+1187</f>
        <v>10771</v>
      </c>
      <c r="H20" s="23"/>
      <c r="I20" s="10">
        <f>E20/M20</f>
        <v>49.4583333333333</v>
      </c>
      <c r="J20" s="19" t="s">
        <v>47</v>
      </c>
      <c r="K20" s="10">
        <f>7.5+0+0+6+24+24+24+24+24+24+15.5+24+24</f>
        <v>221</v>
      </c>
      <c r="L20" s="10">
        <f>G20/K20</f>
        <v>48.737556561086</v>
      </c>
      <c r="M20" s="10">
        <v>24</v>
      </c>
    </row>
    <row r="21" s="1" customFormat="1" ht="25" customHeight="1" spans="1:13">
      <c r="A21" s="12">
        <v>16</v>
      </c>
      <c r="B21" s="8" t="s">
        <v>48</v>
      </c>
      <c r="C21" s="7">
        <v>786</v>
      </c>
      <c r="D21" s="7">
        <v>700</v>
      </c>
      <c r="E21" s="10">
        <f t="shared" si="1"/>
        <v>1486</v>
      </c>
      <c r="F21" s="10" t="s">
        <v>35</v>
      </c>
      <c r="G21" s="10">
        <f>547+0+0+662+1124+1392+1384+1483+1450+1339+986+1680+1486</f>
        <v>13533</v>
      </c>
      <c r="H21" s="22"/>
      <c r="I21" s="10">
        <f>E21/M20</f>
        <v>61.9166666666667</v>
      </c>
      <c r="J21" s="11"/>
      <c r="K21" s="22"/>
      <c r="L21" s="22"/>
      <c r="M21" s="10"/>
    </row>
    <row r="22" s="1" customFormat="1" ht="25" customHeight="1" spans="1:13">
      <c r="A22" s="7">
        <v>17</v>
      </c>
      <c r="B22" s="8" t="s">
        <v>49</v>
      </c>
      <c r="C22" s="12">
        <v>24.57</v>
      </c>
      <c r="D22" s="12">
        <v>24.57</v>
      </c>
      <c r="E22" s="13"/>
      <c r="F22" s="13" t="s">
        <v>50</v>
      </c>
      <c r="G22" s="13"/>
      <c r="H22" s="24"/>
      <c r="I22" s="24"/>
      <c r="J22" s="25"/>
      <c r="K22" s="24"/>
      <c r="L22" s="24"/>
      <c r="M22" s="10"/>
    </row>
    <row r="23" s="1" customFormat="1" ht="32" customHeight="1" spans="1:13">
      <c r="A23" s="7">
        <v>18</v>
      </c>
      <c r="B23" s="26" t="s">
        <v>116</v>
      </c>
      <c r="C23" s="27" t="s">
        <v>136</v>
      </c>
      <c r="D23" s="28"/>
      <c r="E23" s="28"/>
      <c r="F23" s="28"/>
      <c r="G23" s="28"/>
      <c r="H23" s="28"/>
      <c r="I23" s="28"/>
      <c r="J23" s="28"/>
      <c r="K23" s="28"/>
      <c r="L23" s="29"/>
      <c r="M23" s="40" t="s">
        <v>20</v>
      </c>
    </row>
    <row r="24" s="1" customFormat="1" ht="32" customHeight="1" spans="1:13">
      <c r="A24" s="7">
        <v>19</v>
      </c>
      <c r="B24" s="26" t="s">
        <v>118</v>
      </c>
      <c r="C24" s="27" t="s">
        <v>137</v>
      </c>
      <c r="D24" s="28"/>
      <c r="E24" s="28"/>
      <c r="F24" s="28"/>
      <c r="G24" s="28"/>
      <c r="H24" s="28"/>
      <c r="I24" s="28"/>
      <c r="J24" s="28"/>
      <c r="K24" s="28"/>
      <c r="L24" s="29"/>
      <c r="M24" s="40" t="s">
        <v>20</v>
      </c>
    </row>
    <row r="25" s="1" customFormat="1" ht="80" customHeight="1" spans="1:13">
      <c r="A25" s="7">
        <v>20</v>
      </c>
      <c r="B25" s="31" t="s">
        <v>55</v>
      </c>
      <c r="C25" s="27" t="s">
        <v>129</v>
      </c>
      <c r="D25" s="28"/>
      <c r="E25" s="28"/>
      <c r="F25" s="28"/>
      <c r="G25" s="28"/>
      <c r="H25" s="28"/>
      <c r="I25" s="28"/>
      <c r="J25" s="28"/>
      <c r="K25" s="28"/>
      <c r="L25" s="29"/>
      <c r="M25" s="39"/>
    </row>
    <row r="26" s="1" customFormat="1" ht="14" customHeight="1" spans="1:13">
      <c r="C26" s="33"/>
      <c r="D26" s="33"/>
      <c r="J26" s="34"/>
    </row>
    <row r="27" s="1" customFormat="1" ht="45" customHeight="1" spans="1:13">
      <c r="A27" s="5" t="s">
        <v>138</v>
      </c>
    </row>
    <row r="28" s="1" customFormat="1" ht="30" customHeight="1" spans="1:13">
      <c r="A28" s="6" t="s">
        <v>58</v>
      </c>
      <c r="B28" s="6" t="s">
        <v>59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7">
        <v>1</v>
      </c>
      <c r="B29" s="8" t="s">
        <v>60</v>
      </c>
      <c r="C29" s="10">
        <v>0</v>
      </c>
      <c r="D29" s="10">
        <v>0</v>
      </c>
      <c r="E29" s="10">
        <f t="shared" ref="E29:E35" si="2">D29+C29</f>
        <v>0</v>
      </c>
      <c r="F29" s="10" t="s">
        <v>35</v>
      </c>
      <c r="G29" s="10">
        <f>0+0+0+0+0+0+0+0+0+0+0+0+0</f>
        <v>0</v>
      </c>
      <c r="H29" s="10"/>
      <c r="I29" s="10"/>
      <c r="J29" s="11"/>
      <c r="K29" s="22"/>
      <c r="L29" s="22"/>
      <c r="M29" s="10"/>
    </row>
    <row r="30" s="1" customFormat="1" ht="25" customHeight="1" spans="1:13">
      <c r="A30" s="7">
        <v>2</v>
      </c>
      <c r="B30" s="8" t="s">
        <v>61</v>
      </c>
      <c r="C30" s="10">
        <v>8.27</v>
      </c>
      <c r="D30" s="10">
        <v>8.29</v>
      </c>
      <c r="E30" s="10">
        <f t="shared" si="2"/>
        <v>16.56</v>
      </c>
      <c r="F30" s="10" t="s">
        <v>35</v>
      </c>
      <c r="G30" s="10">
        <f>0+0+0+0+0+0+12.6+12.59+14.7+16.7+8.28+16.61+16.56</f>
        <v>98.04</v>
      </c>
      <c r="H30" s="10"/>
      <c r="I30" s="10"/>
      <c r="J30" s="11"/>
      <c r="K30" s="22"/>
      <c r="L30" s="22"/>
      <c r="M30" s="21"/>
    </row>
    <row r="31" s="1" customFormat="1" ht="25" customHeight="1" spans="1:13">
      <c r="A31" s="7">
        <v>3</v>
      </c>
      <c r="B31" s="8" t="s">
        <v>62</v>
      </c>
      <c r="C31" s="10">
        <v>0</v>
      </c>
      <c r="D31" s="10">
        <v>10</v>
      </c>
      <c r="E31" s="10">
        <f t="shared" si="2"/>
        <v>10</v>
      </c>
      <c r="F31" s="10" t="s">
        <v>35</v>
      </c>
      <c r="G31" s="10">
        <f>9+33+13+24+43.31+38+19+17+26+16+38+42.27+10</f>
        <v>328.58</v>
      </c>
      <c r="H31" s="10"/>
      <c r="I31" s="10"/>
      <c r="J31" s="11"/>
      <c r="K31" s="22"/>
      <c r="L31" s="22"/>
      <c r="M31" s="21"/>
    </row>
    <row r="32" s="1" customFormat="1" ht="25" customHeight="1" spans="1:13">
      <c r="A32" s="7">
        <v>4</v>
      </c>
      <c r="B32" s="8" t="s">
        <v>31</v>
      </c>
      <c r="C32" s="10">
        <v>12.3255</v>
      </c>
      <c r="D32" s="10">
        <v>0</v>
      </c>
      <c r="E32" s="10">
        <f t="shared" si="2"/>
        <v>12.3255</v>
      </c>
      <c r="F32" s="10" t="s">
        <v>14</v>
      </c>
      <c r="G32" s="10">
        <f>0+0+0+0+0+0+0+0+8.1945+5.4135+14.796+0+12.3255</f>
        <v>40.7295</v>
      </c>
      <c r="H32" s="10"/>
      <c r="J32" s="11"/>
      <c r="K32" s="22"/>
      <c r="L32" s="22"/>
      <c r="M32" s="22"/>
    </row>
    <row r="33" s="1" customFormat="1" ht="25" customHeight="1" spans="1:13">
      <c r="A33" s="7">
        <v>5</v>
      </c>
      <c r="B33" s="8" t="s">
        <v>33</v>
      </c>
      <c r="C33" s="10">
        <v>0</v>
      </c>
      <c r="D33" s="10">
        <v>0</v>
      </c>
      <c r="E33" s="10">
        <f t="shared" si="2"/>
        <v>0</v>
      </c>
      <c r="F33" s="10" t="s">
        <v>14</v>
      </c>
      <c r="G33" s="10">
        <f>0+0+0+0+0+0+0+0+0+0+0+0+0</f>
        <v>0</v>
      </c>
      <c r="H33" s="10"/>
      <c r="I33" s="10"/>
      <c r="J33" s="14"/>
      <c r="K33" s="22"/>
      <c r="L33" s="22"/>
      <c r="M33" s="22"/>
    </row>
    <row r="34" s="1" customFormat="1" ht="25" customHeight="1" spans="1:13">
      <c r="A34" s="7">
        <v>6</v>
      </c>
      <c r="B34" s="8" t="s">
        <v>63</v>
      </c>
      <c r="C34" s="10">
        <v>102</v>
      </c>
      <c r="D34" s="10">
        <v>166</v>
      </c>
      <c r="E34" s="10">
        <f t="shared" si="2"/>
        <v>268</v>
      </c>
      <c r="F34" s="10" t="s">
        <v>35</v>
      </c>
      <c r="G34" s="10">
        <f>580+604+307+408+430+215+238+250+321+330+333+338+268</f>
        <v>4622</v>
      </c>
      <c r="H34" s="10"/>
      <c r="I34" s="10"/>
      <c r="J34" s="35"/>
      <c r="K34" s="22"/>
      <c r="L34" s="10"/>
      <c r="M34" s="22"/>
    </row>
    <row r="35" s="1" customFormat="1" ht="25" customHeight="1" spans="1:13">
      <c r="A35" s="7">
        <v>7</v>
      </c>
      <c r="B35" s="8" t="s">
        <v>64</v>
      </c>
      <c r="C35" s="10">
        <v>279</v>
      </c>
      <c r="D35" s="10">
        <v>507</v>
      </c>
      <c r="E35" s="10">
        <f t="shared" si="2"/>
        <v>786</v>
      </c>
      <c r="F35" s="10" t="s">
        <v>35</v>
      </c>
      <c r="G35" s="10">
        <f>1010+819+776+499+966+1008+1007+1010+1005+1008+1008+980+786</f>
        <v>11882</v>
      </c>
      <c r="H35" s="10"/>
      <c r="I35" s="10"/>
      <c r="J35" s="36"/>
      <c r="K35" s="22"/>
      <c r="L35" s="10"/>
      <c r="M35" s="22"/>
    </row>
    <row r="36" s="1" customFormat="1" ht="25" customHeight="1" spans="1:13">
      <c r="A36" s="7">
        <v>8</v>
      </c>
      <c r="B36" s="8" t="s">
        <v>65</v>
      </c>
      <c r="C36" s="10">
        <v>0</v>
      </c>
      <c r="D36" s="10">
        <v>0</v>
      </c>
      <c r="E36" s="10">
        <f>C36+D36</f>
        <v>0</v>
      </c>
      <c r="F36" s="10" t="s">
        <v>35</v>
      </c>
      <c r="G36" s="10">
        <f>0+0+0+0+0+0+0+0+0+0+0+0+0</f>
        <v>0</v>
      </c>
      <c r="H36" s="22"/>
      <c r="I36" s="7">
        <v>262.5</v>
      </c>
      <c r="J36" s="14"/>
      <c r="K36" s="37"/>
      <c r="L36" s="27"/>
      <c r="M36" s="38"/>
    </row>
    <row r="37" s="1" customFormat="1" ht="25" customHeight="1" spans="1:13">
      <c r="A37" s="7">
        <v>9</v>
      </c>
      <c r="B37" s="8" t="s">
        <v>66</v>
      </c>
      <c r="C37" s="10">
        <v>0</v>
      </c>
      <c r="D37" s="10">
        <v>0</v>
      </c>
      <c r="E37" s="10">
        <f>C37+D37</f>
        <v>0</v>
      </c>
      <c r="F37" s="10" t="s">
        <v>35</v>
      </c>
      <c r="G37" s="10">
        <f>0+0+0+0+0+0+0+0+0+0+0+0+0</f>
        <v>0</v>
      </c>
      <c r="H37" s="22"/>
      <c r="I37" s="7">
        <v>85.9914</v>
      </c>
      <c r="J37" s="35"/>
      <c r="K37" s="37"/>
      <c r="L37" s="27"/>
      <c r="M37" s="38"/>
    </row>
    <row r="38" s="1" customFormat="1" ht="25" customHeight="1" spans="1:13">
      <c r="A38" s="7">
        <v>10</v>
      </c>
      <c r="B38" s="8" t="s">
        <v>67</v>
      </c>
      <c r="C38" s="7">
        <v>2</v>
      </c>
      <c r="D38" s="7">
        <v>2</v>
      </c>
      <c r="E38" s="10">
        <f>D38+C38</f>
        <v>4</v>
      </c>
      <c r="F38" s="10" t="s">
        <v>45</v>
      </c>
      <c r="G38" s="10">
        <f>0+0+2+0+0+0+2+0+3+4+2+2+4</f>
        <v>19</v>
      </c>
      <c r="H38" s="22"/>
      <c r="I38" s="10">
        <v>0</v>
      </c>
      <c r="J38" s="35"/>
      <c r="K38" s="27"/>
      <c r="L38" s="19" t="s">
        <v>68</v>
      </c>
      <c r="M38" s="7">
        <v>20</v>
      </c>
    </row>
    <row r="39" s="1" customFormat="1" ht="80" customHeight="1" spans="1:13">
      <c r="A39" s="7">
        <v>11</v>
      </c>
      <c r="B39" s="32" t="s">
        <v>55</v>
      </c>
      <c r="C39" s="27" t="s">
        <v>69</v>
      </c>
      <c r="D39" s="28"/>
      <c r="E39" s="28"/>
      <c r="F39" s="28"/>
      <c r="G39" s="28"/>
      <c r="H39" s="28"/>
      <c r="I39" s="28"/>
      <c r="J39" s="28"/>
      <c r="K39" s="28"/>
      <c r="L39" s="29"/>
      <c r="M39" s="32"/>
    </row>
    <row r="47" s="1" customFormat="1" spans="1:13">
      <c r="C47" s="33"/>
      <c r="D47" s="33"/>
      <c r="J47" s="34"/>
    </row>
    <row r="48" spans="1:13">
      <c r="L48" s="1"/>
    </row>
  </sheetData>
  <mergeCells count="9">
    <mergeCell ref="A1:M1"/>
    <mergeCell ref="C23:L23"/>
    <mergeCell ref="C24:L24"/>
    <mergeCell ref="C25:L25"/>
    <mergeCell ref="A27:M27"/>
    <mergeCell ref="C39:L39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zoomScale="85" zoomScaleNormal="85" workbookViewId="0">
      <selection activeCell="J10" sqref="J10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139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8" customHeight="1" spans="1:13">
      <c r="A3" s="7">
        <v>1</v>
      </c>
      <c r="B3" s="8" t="s">
        <v>13</v>
      </c>
      <c r="C3" s="9">
        <v>5.5</v>
      </c>
      <c r="D3" s="9">
        <v>8</v>
      </c>
      <c r="E3" s="10">
        <f t="shared" ref="E3:E12" si="0">C3+D3</f>
        <v>13.5</v>
      </c>
      <c r="F3" s="10" t="s">
        <v>14</v>
      </c>
      <c r="G3" s="10">
        <f>12+0+0+0+6+13+13+13+15+9+13+9+15+13.5</f>
        <v>131.5</v>
      </c>
      <c r="H3" s="10">
        <v>330</v>
      </c>
      <c r="I3" s="10">
        <f>H3-G3</f>
        <v>198.5</v>
      </c>
      <c r="J3" s="11"/>
      <c r="K3" s="10"/>
      <c r="L3" s="10"/>
      <c r="M3" s="10">
        <f>I3/16</f>
        <v>12.40625</v>
      </c>
    </row>
    <row r="4" s="1" customFormat="1" ht="38" customHeight="1" spans="1:13">
      <c r="A4" s="12">
        <v>2</v>
      </c>
      <c r="B4" s="8" t="s">
        <v>18</v>
      </c>
      <c r="C4" s="9">
        <v>14</v>
      </c>
      <c r="D4" s="9"/>
      <c r="E4" s="10">
        <f t="shared" si="0"/>
        <v>14</v>
      </c>
      <c r="F4" s="10" t="s">
        <v>14</v>
      </c>
      <c r="G4" s="10">
        <f>12+8+0+0+0+6+14+12+14+14+10+12+10+14</f>
        <v>126</v>
      </c>
      <c r="H4" s="13"/>
      <c r="I4" s="13"/>
      <c r="J4" s="11"/>
      <c r="K4" s="10"/>
      <c r="L4" s="10"/>
      <c r="M4" s="10"/>
    </row>
    <row r="5" s="1" customFormat="1" ht="38" customHeight="1" spans="1:13">
      <c r="A5" s="12">
        <v>3</v>
      </c>
      <c r="B5" s="8" t="s">
        <v>21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65+0+0+0+0+0+0+0+0+0+0+0+0+0</f>
        <v>65</v>
      </c>
      <c r="H5" s="10">
        <v>4950</v>
      </c>
      <c r="I5" s="10">
        <f>H5-G5-G7-G6</f>
        <v>3051</v>
      </c>
      <c r="J5" s="14"/>
      <c r="K5" s="10"/>
      <c r="L5" s="10"/>
      <c r="M5" s="10"/>
    </row>
    <row r="6" s="1" customFormat="1" ht="38" customHeight="1" spans="1:13">
      <c r="A6" s="15"/>
      <c r="B6" s="8" t="s">
        <v>23</v>
      </c>
      <c r="C6" s="10">
        <v>108</v>
      </c>
      <c r="D6" s="10">
        <v>104</v>
      </c>
      <c r="E6" s="10">
        <f t="shared" si="0"/>
        <v>212</v>
      </c>
      <c r="F6" s="10" t="s">
        <v>14</v>
      </c>
      <c r="G6" s="10">
        <f>0+0+0+0+183+194+174+196+189+174+99+228+173+212</f>
        <v>1822</v>
      </c>
      <c r="H6" s="15"/>
      <c r="I6" s="15"/>
      <c r="J6" s="11"/>
      <c r="K6" s="10"/>
      <c r="L6" s="10"/>
      <c r="M6" s="16"/>
    </row>
    <row r="7" s="1" customFormat="1" ht="38" customHeight="1" spans="1:13">
      <c r="A7" s="15"/>
      <c r="B7" s="8" t="s">
        <v>25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0+0+0+8+1+0+0+0+0+0+0+3+0+0</f>
        <v>12</v>
      </c>
      <c r="H7" s="15"/>
      <c r="I7" s="15"/>
      <c r="J7" s="11"/>
      <c r="K7" s="10"/>
      <c r="L7" s="10"/>
      <c r="M7" s="10"/>
    </row>
    <row r="8" s="1" customFormat="1" ht="38" customHeight="1" spans="1:13">
      <c r="A8" s="15"/>
      <c r="B8" s="8" t="s">
        <v>27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0+0+0+0+0+0+0+0+0+0+0+0+0+0</f>
        <v>0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29</v>
      </c>
      <c r="C9" s="13">
        <v>0</v>
      </c>
      <c r="D9" s="13"/>
      <c r="E9" s="10">
        <f t="shared" si="0"/>
        <v>0</v>
      </c>
      <c r="F9" s="13" t="s">
        <v>14</v>
      </c>
      <c r="G9" s="10">
        <f>0+31.23+0+31.02+0+30.93+30.89+30.97+30.96+0+31.05+30.81+0+0</f>
        <v>247.86</v>
      </c>
      <c r="H9" s="13">
        <v>6.08</v>
      </c>
      <c r="I9" s="13">
        <f>H9-K10</f>
        <v>3.932895</v>
      </c>
      <c r="J9" s="19" t="s">
        <v>30</v>
      </c>
      <c r="K9" s="10">
        <v>120</v>
      </c>
      <c r="L9" s="10">
        <v>0</v>
      </c>
      <c r="M9" s="20"/>
    </row>
    <row r="10" s="1" customFormat="1" ht="25" customHeight="1" spans="1:13">
      <c r="A10" s="7">
        <v>5</v>
      </c>
      <c r="B10" s="8" t="s">
        <v>31</v>
      </c>
      <c r="C10" s="10">
        <v>6.0075</v>
      </c>
      <c r="D10" s="10">
        <v>3.456</v>
      </c>
      <c r="E10" s="10">
        <f t="shared" si="0"/>
        <v>9.4635</v>
      </c>
      <c r="F10" s="10" t="s">
        <v>14</v>
      </c>
      <c r="G10" s="10">
        <f>6.831+0+0+0+6.6555+7.614+14.958+12.744+10.611+5.832+10.314+9.369+6.1965+9.4635</f>
        <v>100.5885</v>
      </c>
      <c r="H10" s="10"/>
      <c r="I10" s="10">
        <f>G10/(G3*0.1865)</f>
        <v>4.10150969938531</v>
      </c>
      <c r="J10" s="19" t="s">
        <v>32</v>
      </c>
      <c r="K10" s="20">
        <f>0+0.268578+0+0.257466+0+0.256719+0.253298+0.27873+0.281736+0+0.27945+0.271128+0+0</f>
        <v>2.147105</v>
      </c>
      <c r="L10" s="10"/>
      <c r="M10" s="10">
        <f>C9*L9/100</f>
        <v>0</v>
      </c>
    </row>
    <row r="11" s="1" customFormat="1" ht="25" customHeight="1" spans="1:13">
      <c r="A11" s="7">
        <v>6</v>
      </c>
      <c r="B11" s="8" t="s">
        <v>33</v>
      </c>
      <c r="C11" s="10">
        <v>11.6472</v>
      </c>
      <c r="D11" s="10">
        <v>0</v>
      </c>
      <c r="E11" s="10">
        <f t="shared" si="0"/>
        <v>11.6472</v>
      </c>
      <c r="F11" s="10" t="s">
        <v>14</v>
      </c>
      <c r="G11" s="10">
        <f>14.352+0+0+0+6.7344+17.5536+13.2664+17.664+16.56+14.6096+11.5+16.56+10.9848+11.6472</f>
        <v>151.432</v>
      </c>
      <c r="H11" s="10"/>
      <c r="I11" s="10">
        <f>G11/(G3*0.1865)</f>
        <v>6.17466029215385</v>
      </c>
      <c r="J11" s="11"/>
      <c r="K11" s="10"/>
      <c r="L11" s="10"/>
      <c r="M11" s="21"/>
    </row>
    <row r="12" s="1" customFormat="1" ht="25" customHeight="1" spans="1:13">
      <c r="A12" s="7">
        <v>7</v>
      </c>
      <c r="B12" s="8" t="s">
        <v>34</v>
      </c>
      <c r="C12" s="10">
        <v>207</v>
      </c>
      <c r="D12" s="10">
        <v>233</v>
      </c>
      <c r="E12" s="10">
        <f t="shared" si="0"/>
        <v>440</v>
      </c>
      <c r="F12" s="10" t="s">
        <v>35</v>
      </c>
      <c r="G12" s="10">
        <f>472+11+0+16+206+451+454+465+490+368+388+385+456+440</f>
        <v>4602</v>
      </c>
      <c r="H12" s="10">
        <f>G12*1.05</f>
        <v>4832.1</v>
      </c>
      <c r="I12" s="10"/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36</v>
      </c>
      <c r="C13" s="10">
        <v>184</v>
      </c>
      <c r="D13" s="10">
        <v>198</v>
      </c>
      <c r="E13" s="10">
        <f t="shared" ref="E13:E21" si="1">D13+C13</f>
        <v>382</v>
      </c>
      <c r="F13" s="10" t="s">
        <v>35</v>
      </c>
      <c r="G13" s="10">
        <f>372+0+0+0+195+420+417+363+467+242+386+282+393+382</f>
        <v>3919</v>
      </c>
      <c r="H13" s="10"/>
      <c r="I13" s="10"/>
      <c r="J13" s="14"/>
      <c r="K13" s="10"/>
      <c r="L13" s="10"/>
      <c r="M13" s="10"/>
    </row>
    <row r="14" s="1" customFormat="1" ht="25" customHeight="1" spans="1:13">
      <c r="A14" s="7">
        <v>9</v>
      </c>
      <c r="B14" s="8" t="s">
        <v>37</v>
      </c>
      <c r="C14" s="10">
        <v>503.73</v>
      </c>
      <c r="D14" s="10">
        <v>459.84</v>
      </c>
      <c r="E14" s="10">
        <f t="shared" si="1"/>
        <v>963.57</v>
      </c>
      <c r="F14" s="10" t="s">
        <v>35</v>
      </c>
      <c r="G14" s="10">
        <f>209.75+0+0+0+370.64+733.22+886.44+846.58+728.24+930.46+896.96+902.95+629.84+963.57</f>
        <v>8098.65</v>
      </c>
      <c r="H14" s="10"/>
      <c r="I14" s="10"/>
      <c r="J14" s="19" t="s">
        <v>38</v>
      </c>
      <c r="K14" s="10">
        <v>3.07</v>
      </c>
      <c r="L14" s="10">
        <v>3.2</v>
      </c>
      <c r="M14" s="10"/>
    </row>
    <row r="15" s="1" customFormat="1" ht="25" customHeight="1" spans="1:13">
      <c r="A15" s="7">
        <v>10</v>
      </c>
      <c r="B15" s="8" t="s">
        <v>39</v>
      </c>
      <c r="C15" s="10">
        <v>12</v>
      </c>
      <c r="D15" s="10">
        <v>18</v>
      </c>
      <c r="E15" s="10">
        <f t="shared" si="1"/>
        <v>30</v>
      </c>
      <c r="F15" s="10" t="s">
        <v>14</v>
      </c>
      <c r="G15" s="10">
        <f>24+0+0+0+21+27+33+30+33+21+30+21+33+30</f>
        <v>303</v>
      </c>
      <c r="H15" s="10"/>
      <c r="I15" s="10">
        <f>G15/(G3*0.1865)</f>
        <v>12.3548660027115</v>
      </c>
      <c r="J15" s="19" t="s">
        <v>40</v>
      </c>
      <c r="K15" s="20">
        <f>0.641835+0+0+0+1.0970944+2.2635878+2.9007565+2.4932712+2.1651567+2.7262642+2.5433786+2.6076891+1.9524176+3.0179391</f>
        <v>24.4093902</v>
      </c>
      <c r="L15" s="10"/>
      <c r="M15" s="10">
        <f>(C14*K14+L14*D14)/1000</f>
        <v>3.0179391</v>
      </c>
    </row>
    <row r="16" s="1" customFormat="1" ht="25" customHeight="1" spans="1:13">
      <c r="A16" s="7">
        <v>11</v>
      </c>
      <c r="B16" s="8" t="s">
        <v>41</v>
      </c>
      <c r="C16" s="7">
        <v>0</v>
      </c>
      <c r="D16" s="7">
        <v>0</v>
      </c>
      <c r="E16" s="10">
        <f t="shared" si="1"/>
        <v>0</v>
      </c>
      <c r="F16" s="10" t="s">
        <v>14</v>
      </c>
      <c r="G16" s="10">
        <f>0+0+0+0+0+0.0875+0+0.075+0+0.0875+0.0375+0.0375+0+0</f>
        <v>0.325</v>
      </c>
      <c r="H16" s="22"/>
      <c r="I16" s="22"/>
      <c r="J16" s="11"/>
      <c r="K16" s="22"/>
      <c r="L16" s="22"/>
      <c r="M16" s="10"/>
    </row>
    <row r="17" s="1" customFormat="1" ht="25" customHeight="1" spans="1:13">
      <c r="A17" s="12">
        <v>12</v>
      </c>
      <c r="B17" s="8" t="s">
        <v>42</v>
      </c>
      <c r="C17" s="10">
        <v>0</v>
      </c>
      <c r="D17" s="7">
        <v>0</v>
      </c>
      <c r="E17" s="10">
        <f t="shared" si="1"/>
        <v>0</v>
      </c>
      <c r="F17" s="10" t="s">
        <v>14</v>
      </c>
      <c r="G17" s="10">
        <f>2+0+0+0+0+2+0+2+0+2+2+0+2+0</f>
        <v>12</v>
      </c>
      <c r="H17" s="22"/>
      <c r="I17" s="10">
        <f>G17/(G3*0.1865)</f>
        <v>0.489301623869764</v>
      </c>
      <c r="J17" s="11"/>
      <c r="K17" s="22"/>
      <c r="L17" s="22"/>
      <c r="M17" s="10"/>
    </row>
    <row r="18" s="1" customFormat="1" ht="25" customHeight="1" spans="1:13">
      <c r="A18" s="7">
        <v>13</v>
      </c>
      <c r="B18" s="8" t="s">
        <v>43</v>
      </c>
      <c r="C18" s="10">
        <v>0</v>
      </c>
      <c r="D18" s="7">
        <v>0</v>
      </c>
      <c r="E18" s="10">
        <f t="shared" si="1"/>
        <v>0</v>
      </c>
      <c r="F18" s="10" t="s">
        <v>14</v>
      </c>
      <c r="G18" s="10">
        <f>2+0+0+0+0+2+0+2+0+2+2+0+2+0</f>
        <v>12</v>
      </c>
      <c r="H18" s="22"/>
      <c r="I18" s="10">
        <f>G18/(G3*0.1865)</f>
        <v>0.489301623869764</v>
      </c>
      <c r="J18" s="11"/>
      <c r="K18" s="22"/>
      <c r="L18" s="22"/>
      <c r="M18" s="10"/>
    </row>
    <row r="19" s="1" customFormat="1" ht="25" customHeight="1" spans="1:13">
      <c r="A19" s="7">
        <v>14</v>
      </c>
      <c r="B19" s="8" t="s">
        <v>44</v>
      </c>
      <c r="C19" s="10">
        <v>3</v>
      </c>
      <c r="D19" s="7">
        <v>2</v>
      </c>
      <c r="E19" s="10">
        <f t="shared" si="1"/>
        <v>5</v>
      </c>
      <c r="F19" s="10" t="s">
        <v>45</v>
      </c>
      <c r="G19" s="10">
        <f>5+0+0+0+3+7+8+6+7+7+7+6+8+5</f>
        <v>69</v>
      </c>
      <c r="H19" s="22"/>
      <c r="I19" s="22"/>
      <c r="J19" s="11"/>
      <c r="K19" s="22"/>
      <c r="L19" s="22"/>
      <c r="M19" s="10"/>
    </row>
    <row r="20" s="1" customFormat="1" ht="25" customHeight="1" spans="1:13">
      <c r="A20" s="7">
        <v>15</v>
      </c>
      <c r="B20" s="8" t="s">
        <v>46</v>
      </c>
      <c r="C20" s="7">
        <v>591</v>
      </c>
      <c r="D20" s="7">
        <v>603</v>
      </c>
      <c r="E20" s="10">
        <f t="shared" si="1"/>
        <v>1194</v>
      </c>
      <c r="F20" s="10" t="s">
        <v>35</v>
      </c>
      <c r="G20" s="10">
        <f>507+0+0+339+1006+1051+1056+1200+1113+1132+810+1370+1187+1194</f>
        <v>11965</v>
      </c>
      <c r="H20" s="23"/>
      <c r="I20" s="10">
        <f>E20/M20</f>
        <v>49.75</v>
      </c>
      <c r="J20" s="19" t="s">
        <v>47</v>
      </c>
      <c r="K20" s="10">
        <f>7.5+0+0+6+24+24+24+24+24+24+15.5+24+24+24</f>
        <v>245</v>
      </c>
      <c r="L20" s="10">
        <f>G20/K20</f>
        <v>48.8367346938776</v>
      </c>
      <c r="M20" s="10">
        <v>24</v>
      </c>
    </row>
    <row r="21" s="1" customFormat="1" ht="25" customHeight="1" spans="1:13">
      <c r="A21" s="12">
        <v>16</v>
      </c>
      <c r="B21" s="8" t="s">
        <v>48</v>
      </c>
      <c r="C21" s="7">
        <v>723</v>
      </c>
      <c r="D21" s="7">
        <v>777</v>
      </c>
      <c r="E21" s="10">
        <f t="shared" si="1"/>
        <v>1500</v>
      </c>
      <c r="F21" s="10" t="s">
        <v>35</v>
      </c>
      <c r="G21" s="10">
        <f>547+0+0+662+1124+1392+1384+1483+1450+1339+986+1680+1486+1500</f>
        <v>15033</v>
      </c>
      <c r="H21" s="22"/>
      <c r="I21" s="10">
        <f>E21/M20</f>
        <v>62.5</v>
      </c>
      <c r="J21" s="11"/>
      <c r="K21" s="22"/>
      <c r="L21" s="22"/>
      <c r="M21" s="10"/>
    </row>
    <row r="22" s="1" customFormat="1" ht="25" customHeight="1" spans="1:13">
      <c r="A22" s="7">
        <v>17</v>
      </c>
      <c r="B22" s="8" t="s">
        <v>49</v>
      </c>
      <c r="C22" s="12">
        <v>21.15</v>
      </c>
      <c r="D22" s="12">
        <v>29.35</v>
      </c>
      <c r="E22" s="13"/>
      <c r="F22" s="13" t="s">
        <v>50</v>
      </c>
      <c r="G22" s="13"/>
      <c r="H22" s="24"/>
      <c r="I22" s="24"/>
      <c r="J22" s="25"/>
      <c r="K22" s="24"/>
      <c r="L22" s="24"/>
      <c r="M22" s="10"/>
    </row>
    <row r="23" s="1" customFormat="1" ht="32" customHeight="1" spans="1:13">
      <c r="A23" s="7">
        <v>18</v>
      </c>
      <c r="B23" s="26" t="s">
        <v>116</v>
      </c>
      <c r="C23" s="27" t="s">
        <v>140</v>
      </c>
      <c r="D23" s="28"/>
      <c r="E23" s="28"/>
      <c r="F23" s="28"/>
      <c r="G23" s="28"/>
      <c r="H23" s="28"/>
      <c r="I23" s="28"/>
      <c r="J23" s="28"/>
      <c r="K23" s="28"/>
      <c r="L23" s="29"/>
      <c r="M23" s="40" t="s">
        <v>73</v>
      </c>
    </row>
    <row r="24" s="1" customFormat="1" ht="32" customHeight="1" spans="1:13">
      <c r="A24" s="7">
        <v>19</v>
      </c>
      <c r="B24" s="26" t="s">
        <v>118</v>
      </c>
      <c r="C24" s="27" t="s">
        <v>141</v>
      </c>
      <c r="D24" s="28"/>
      <c r="E24" s="28"/>
      <c r="F24" s="28"/>
      <c r="G24" s="28"/>
      <c r="H24" s="28"/>
      <c r="I24" s="28"/>
      <c r="J24" s="28"/>
      <c r="K24" s="28"/>
      <c r="L24" s="29"/>
      <c r="M24" s="40" t="s">
        <v>20</v>
      </c>
    </row>
    <row r="25" s="1" customFormat="1" ht="80" customHeight="1" spans="1:13">
      <c r="A25" s="7">
        <v>20</v>
      </c>
      <c r="B25" s="31" t="s">
        <v>55</v>
      </c>
      <c r="C25" s="27" t="s">
        <v>129</v>
      </c>
      <c r="D25" s="28"/>
      <c r="E25" s="28"/>
      <c r="F25" s="28"/>
      <c r="G25" s="28"/>
      <c r="H25" s="28"/>
      <c r="I25" s="28"/>
      <c r="J25" s="28"/>
      <c r="K25" s="28"/>
      <c r="L25" s="29"/>
      <c r="M25" s="39"/>
    </row>
    <row r="26" s="1" customFormat="1" ht="14" customHeight="1" spans="1:13">
      <c r="C26" s="33"/>
      <c r="D26" s="33"/>
      <c r="J26" s="34"/>
    </row>
    <row r="27" s="1" customFormat="1" ht="45" customHeight="1" spans="1:13">
      <c r="A27" s="5" t="s">
        <v>142</v>
      </c>
    </row>
    <row r="28" s="1" customFormat="1" ht="30" customHeight="1" spans="1:13">
      <c r="A28" s="6" t="s">
        <v>58</v>
      </c>
      <c r="B28" s="6" t="s">
        <v>59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7">
        <v>1</v>
      </c>
      <c r="B29" s="8" t="s">
        <v>60</v>
      </c>
      <c r="C29" s="10">
        <v>0</v>
      </c>
      <c r="D29" s="10">
        <v>0</v>
      </c>
      <c r="E29" s="10">
        <f t="shared" ref="E29:E35" si="2">D29+C29</f>
        <v>0</v>
      </c>
      <c r="F29" s="10" t="s">
        <v>35</v>
      </c>
      <c r="G29" s="10">
        <f>0+0+0+0+0+0+0+0+0+0+0+0+0+0</f>
        <v>0</v>
      </c>
      <c r="H29" s="10"/>
      <c r="I29" s="10"/>
      <c r="J29" s="11"/>
      <c r="K29" s="22"/>
      <c r="L29" s="22"/>
      <c r="M29" s="10"/>
    </row>
    <row r="30" s="1" customFormat="1" ht="25" customHeight="1" spans="1:13">
      <c r="A30" s="7">
        <v>2</v>
      </c>
      <c r="B30" s="8" t="s">
        <v>61</v>
      </c>
      <c r="C30" s="10">
        <v>8.33</v>
      </c>
      <c r="D30" s="10">
        <v>8.29</v>
      </c>
      <c r="E30" s="10">
        <f t="shared" si="2"/>
        <v>16.62</v>
      </c>
      <c r="F30" s="10" t="s">
        <v>35</v>
      </c>
      <c r="G30" s="10">
        <f>0+0+0+0+0+0+12.6+12.59+14.7+16.7+8.28+16.61+16.56+16.62</f>
        <v>114.66</v>
      </c>
      <c r="H30" s="10"/>
      <c r="I30" s="10"/>
      <c r="J30" s="11"/>
      <c r="K30" s="22"/>
      <c r="L30" s="22"/>
      <c r="M30" s="21"/>
    </row>
    <row r="31" s="1" customFormat="1" ht="25" customHeight="1" spans="1:13">
      <c r="A31" s="7">
        <v>3</v>
      </c>
      <c r="B31" s="8" t="s">
        <v>62</v>
      </c>
      <c r="C31" s="10">
        <v>8</v>
      </c>
      <c r="D31" s="10">
        <v>11</v>
      </c>
      <c r="E31" s="10">
        <f t="shared" si="2"/>
        <v>19</v>
      </c>
      <c r="F31" s="10" t="s">
        <v>35</v>
      </c>
      <c r="G31" s="10">
        <f>9+33+13+24+43.31+38+19+17+26+16+38+42.27+10+19</f>
        <v>347.58</v>
      </c>
      <c r="H31" s="10"/>
      <c r="I31" s="10"/>
      <c r="J31" s="11"/>
      <c r="K31" s="22"/>
      <c r="L31" s="22"/>
      <c r="M31" s="21"/>
    </row>
    <row r="32" s="1" customFormat="1" ht="25" customHeight="1" spans="1:13">
      <c r="A32" s="7">
        <v>4</v>
      </c>
      <c r="B32" s="8" t="s">
        <v>31</v>
      </c>
      <c r="C32" s="10">
        <v>0</v>
      </c>
      <c r="D32" s="10">
        <v>0</v>
      </c>
      <c r="E32" s="10">
        <f t="shared" si="2"/>
        <v>0</v>
      </c>
      <c r="F32" s="10" t="s">
        <v>14</v>
      </c>
      <c r="G32" s="10">
        <f>0+0+0+0+0+0+0+0+8.1945+5.4135+14.796+0+12.3255+0</f>
        <v>40.7295</v>
      </c>
      <c r="H32" s="10"/>
      <c r="J32" s="11"/>
      <c r="K32" s="22"/>
      <c r="L32" s="22"/>
      <c r="M32" s="22"/>
    </row>
    <row r="33" s="1" customFormat="1" ht="25" customHeight="1" spans="1:13">
      <c r="A33" s="7">
        <v>5</v>
      </c>
      <c r="B33" s="8" t="s">
        <v>33</v>
      </c>
      <c r="C33" s="10">
        <v>0</v>
      </c>
      <c r="D33" s="10">
        <v>0</v>
      </c>
      <c r="E33" s="10">
        <f t="shared" si="2"/>
        <v>0</v>
      </c>
      <c r="F33" s="10" t="s">
        <v>14</v>
      </c>
      <c r="G33" s="10">
        <f>0+0+0+0+0+0+0+0+0+0+0+0+0+0</f>
        <v>0</v>
      </c>
      <c r="H33" s="10"/>
      <c r="I33" s="10"/>
      <c r="J33" s="14"/>
      <c r="K33" s="22"/>
      <c r="L33" s="22"/>
      <c r="M33" s="22"/>
    </row>
    <row r="34" s="1" customFormat="1" ht="25" customHeight="1" spans="1:13">
      <c r="A34" s="7">
        <v>6</v>
      </c>
      <c r="B34" s="8" t="s">
        <v>63</v>
      </c>
      <c r="C34" s="10">
        <v>141</v>
      </c>
      <c r="D34" s="10">
        <v>166</v>
      </c>
      <c r="E34" s="10">
        <f t="shared" si="2"/>
        <v>307</v>
      </c>
      <c r="F34" s="10" t="s">
        <v>35</v>
      </c>
      <c r="G34" s="10">
        <f>580+604+307+408+430+215+238+250+321+330+333+338+268+307</f>
        <v>4929</v>
      </c>
      <c r="H34" s="10"/>
      <c r="I34" s="10"/>
      <c r="J34" s="35"/>
      <c r="K34" s="22"/>
      <c r="L34" s="10"/>
      <c r="M34" s="22"/>
    </row>
    <row r="35" s="1" customFormat="1" ht="25" customHeight="1" spans="1:13">
      <c r="A35" s="7">
        <v>7</v>
      </c>
      <c r="B35" s="8" t="s">
        <v>64</v>
      </c>
      <c r="C35" s="10">
        <v>507</v>
      </c>
      <c r="D35" s="10">
        <v>507</v>
      </c>
      <c r="E35" s="10">
        <f t="shared" si="2"/>
        <v>1014</v>
      </c>
      <c r="F35" s="10" t="s">
        <v>35</v>
      </c>
      <c r="G35" s="10">
        <f>1010+819+776+499+966+1008+1007+1010+1005+1008+1008+980+786+1014</f>
        <v>12896</v>
      </c>
      <c r="H35" s="10"/>
      <c r="I35" s="10"/>
      <c r="J35" s="36"/>
      <c r="K35" s="22"/>
      <c r="L35" s="10"/>
      <c r="M35" s="22"/>
    </row>
    <row r="36" s="1" customFormat="1" ht="25" customHeight="1" spans="1:13">
      <c r="A36" s="7">
        <v>8</v>
      </c>
      <c r="B36" s="8" t="s">
        <v>65</v>
      </c>
      <c r="C36" s="10">
        <v>0</v>
      </c>
      <c r="D36" s="10">
        <v>0</v>
      </c>
      <c r="E36" s="10">
        <f>C36+D36</f>
        <v>0</v>
      </c>
      <c r="F36" s="10" t="s">
        <v>35</v>
      </c>
      <c r="G36" s="10">
        <f>0+0+0+0+0+0+0+0+0+0+0+0+0+0</f>
        <v>0</v>
      </c>
      <c r="H36" s="22"/>
      <c r="I36" s="7">
        <v>1282.5</v>
      </c>
      <c r="J36" s="14"/>
      <c r="K36" s="37"/>
      <c r="L36" s="27"/>
      <c r="M36" s="38"/>
    </row>
    <row r="37" s="1" customFormat="1" ht="25" customHeight="1" spans="1:13">
      <c r="A37" s="7">
        <v>9</v>
      </c>
      <c r="B37" s="8" t="s">
        <v>66</v>
      </c>
      <c r="C37" s="10">
        <v>0</v>
      </c>
      <c r="D37" s="10">
        <v>0</v>
      </c>
      <c r="E37" s="10">
        <f>C37+D37</f>
        <v>0</v>
      </c>
      <c r="F37" s="10" t="s">
        <v>35</v>
      </c>
      <c r="G37" s="10">
        <f>0+0+0+0+0+0+0+0+0+0+0+0+0+0</f>
        <v>0</v>
      </c>
      <c r="H37" s="22"/>
      <c r="I37" s="7">
        <v>81.6484</v>
      </c>
      <c r="J37" s="35"/>
      <c r="K37" s="37"/>
      <c r="L37" s="27"/>
      <c r="M37" s="38"/>
    </row>
    <row r="38" s="1" customFormat="1" ht="25" customHeight="1" spans="1:13">
      <c r="A38" s="7">
        <v>10</v>
      </c>
      <c r="B38" s="8" t="s">
        <v>67</v>
      </c>
      <c r="C38" s="7">
        <v>1</v>
      </c>
      <c r="D38" s="7">
        <v>5</v>
      </c>
      <c r="E38" s="10">
        <f>D38+C38</f>
        <v>6</v>
      </c>
      <c r="F38" s="10" t="s">
        <v>45</v>
      </c>
      <c r="G38" s="10">
        <f>0+0+2+0+0+0+2+0+3+4+2+2+4+6</f>
        <v>25</v>
      </c>
      <c r="H38" s="22"/>
      <c r="I38" s="10">
        <v>0</v>
      </c>
      <c r="J38" s="35"/>
      <c r="K38" s="27"/>
      <c r="L38" s="19" t="s">
        <v>68</v>
      </c>
      <c r="M38" s="7">
        <v>22</v>
      </c>
    </row>
    <row r="39" s="1" customFormat="1" ht="80" customHeight="1" spans="1:13">
      <c r="A39" s="7">
        <v>11</v>
      </c>
      <c r="B39" s="32" t="s">
        <v>55</v>
      </c>
      <c r="C39" s="27" t="s">
        <v>69</v>
      </c>
      <c r="D39" s="28"/>
      <c r="E39" s="28"/>
      <c r="F39" s="28"/>
      <c r="G39" s="28"/>
      <c r="H39" s="28"/>
      <c r="I39" s="28"/>
      <c r="J39" s="28"/>
      <c r="K39" s="28"/>
      <c r="L39" s="29"/>
      <c r="M39" s="32"/>
    </row>
    <row r="47" s="1" customFormat="1" spans="1:13">
      <c r="C47" s="33"/>
      <c r="D47" s="33"/>
      <c r="J47" s="34"/>
    </row>
    <row r="48" spans="1:13">
      <c r="L48" s="1"/>
    </row>
  </sheetData>
  <mergeCells count="9">
    <mergeCell ref="A1:M1"/>
    <mergeCell ref="C23:L23"/>
    <mergeCell ref="C24:L24"/>
    <mergeCell ref="C25:L25"/>
    <mergeCell ref="A27:M27"/>
    <mergeCell ref="C39:L39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zoomScale="85" zoomScaleNormal="85" workbookViewId="0">
      <selection activeCell="J10" sqref="J10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143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8" customHeight="1" spans="1:13">
      <c r="A3" s="7">
        <v>1</v>
      </c>
      <c r="B3" s="8" t="s">
        <v>13</v>
      </c>
      <c r="C3" s="9">
        <v>8</v>
      </c>
      <c r="D3" s="9">
        <v>7.5</v>
      </c>
      <c r="E3" s="10">
        <f t="shared" ref="E3:E12" si="0">C3+D3</f>
        <v>15.5</v>
      </c>
      <c r="F3" s="10" t="s">
        <v>14</v>
      </c>
      <c r="G3" s="10">
        <f>12+0+0+0+6+13+13+13+15+9+13+9+15+13.5+15.5</f>
        <v>147</v>
      </c>
      <c r="H3" s="10">
        <v>330</v>
      </c>
      <c r="I3" s="10">
        <f>H3-G3</f>
        <v>183</v>
      </c>
      <c r="J3" s="11"/>
      <c r="K3" s="10"/>
      <c r="L3" s="10"/>
      <c r="M3" s="10">
        <f>I3/15</f>
        <v>12.2</v>
      </c>
    </row>
    <row r="4" s="1" customFormat="1" ht="38" customHeight="1" spans="1:13">
      <c r="A4" s="12">
        <v>2</v>
      </c>
      <c r="B4" s="8" t="s">
        <v>18</v>
      </c>
      <c r="C4" s="9">
        <v>14</v>
      </c>
      <c r="D4" s="9"/>
      <c r="E4" s="10">
        <f t="shared" si="0"/>
        <v>14</v>
      </c>
      <c r="F4" s="10" t="s">
        <v>14</v>
      </c>
      <c r="G4" s="10">
        <f>12+8+0+0+0+6+14+12+14+14+10+12+10+14+14</f>
        <v>140</v>
      </c>
      <c r="H4" s="13"/>
      <c r="I4" s="13"/>
      <c r="J4" s="11"/>
      <c r="K4" s="10"/>
      <c r="L4" s="10"/>
      <c r="M4" s="10"/>
    </row>
    <row r="5" s="1" customFormat="1" ht="38" customHeight="1" spans="1:13">
      <c r="A5" s="12">
        <v>3</v>
      </c>
      <c r="B5" s="8" t="s">
        <v>21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65+0+0+0+0+0+0+0+0+0+0+0+0+0+0</f>
        <v>65</v>
      </c>
      <c r="H5" s="10">
        <v>4950</v>
      </c>
      <c r="I5" s="10">
        <f>H5-G5-G7-G6</f>
        <v>2847</v>
      </c>
      <c r="J5" s="14"/>
      <c r="K5" s="10"/>
      <c r="L5" s="10"/>
      <c r="M5" s="10"/>
    </row>
    <row r="6" s="1" customFormat="1" ht="38" customHeight="1" spans="1:13">
      <c r="A6" s="15"/>
      <c r="B6" s="8" t="s">
        <v>23</v>
      </c>
      <c r="C6" s="10">
        <v>105</v>
      </c>
      <c r="D6" s="10">
        <v>98</v>
      </c>
      <c r="E6" s="10">
        <f t="shared" si="0"/>
        <v>203</v>
      </c>
      <c r="F6" s="10" t="s">
        <v>14</v>
      </c>
      <c r="G6" s="10">
        <f>0+0+0+0+183+194+174+196+189+174+99+228+173+212+203</f>
        <v>2025</v>
      </c>
      <c r="H6" s="15"/>
      <c r="I6" s="15"/>
      <c r="J6" s="11"/>
      <c r="K6" s="10"/>
      <c r="L6" s="10"/>
      <c r="M6" s="16"/>
    </row>
    <row r="7" s="1" customFormat="1" ht="38" customHeight="1" spans="1:13">
      <c r="A7" s="15"/>
      <c r="B7" s="8" t="s">
        <v>25</v>
      </c>
      <c r="C7" s="10">
        <v>1</v>
      </c>
      <c r="D7" s="10">
        <v>0</v>
      </c>
      <c r="E7" s="10">
        <f t="shared" si="0"/>
        <v>1</v>
      </c>
      <c r="F7" s="10" t="s">
        <v>14</v>
      </c>
      <c r="G7" s="10">
        <f>0+0+0+8+1+0+0+0+0+0+0+3+0+0+1</f>
        <v>13</v>
      </c>
      <c r="H7" s="15"/>
      <c r="I7" s="15"/>
      <c r="J7" s="11"/>
      <c r="K7" s="10"/>
      <c r="L7" s="10"/>
      <c r="M7" s="10"/>
    </row>
    <row r="8" s="1" customFormat="1" ht="38" customHeight="1" spans="1:13">
      <c r="A8" s="15"/>
      <c r="B8" s="8" t="s">
        <v>27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0+0+0+0+0+0+0+0+0+0+0+0+0+0+0</f>
        <v>0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29</v>
      </c>
      <c r="C9" s="13">
        <v>31.58</v>
      </c>
      <c r="D9" s="13"/>
      <c r="E9" s="10">
        <f t="shared" si="0"/>
        <v>31.58</v>
      </c>
      <c r="F9" s="13" t="s">
        <v>14</v>
      </c>
      <c r="G9" s="10">
        <f>0+31.23+0+31.02+0+30.93+30.89+30.97+30.96+0+31.05+30.81+0+0+31.58</f>
        <v>279.44</v>
      </c>
      <c r="H9" s="13">
        <v>6.08</v>
      </c>
      <c r="I9" s="13">
        <f>H9-K10</f>
        <v>3.651833</v>
      </c>
      <c r="J9" s="19" t="s">
        <v>30</v>
      </c>
      <c r="K9" s="10">
        <v>90</v>
      </c>
      <c r="L9" s="10">
        <v>0.89</v>
      </c>
      <c r="M9" s="20"/>
    </row>
    <row r="10" s="1" customFormat="1" ht="25" customHeight="1" spans="1:13">
      <c r="A10" s="7">
        <v>5</v>
      </c>
      <c r="B10" s="8" t="s">
        <v>31</v>
      </c>
      <c r="C10" s="10">
        <v>7.452</v>
      </c>
      <c r="D10" s="10">
        <v>1.6875</v>
      </c>
      <c r="E10" s="10">
        <f t="shared" si="0"/>
        <v>9.1395</v>
      </c>
      <c r="F10" s="10" t="s">
        <v>14</v>
      </c>
      <c r="G10" s="10">
        <f>6.831+0+0+0+6.6555+7.614+14.958+12.744+10.611+5.832+10.314+9.369+6.1965+9.4635+9.1395</f>
        <v>109.728</v>
      </c>
      <c r="H10" s="10"/>
      <c r="I10" s="10">
        <f>G10/(G3*0.1865)</f>
        <v>4.00240739727526</v>
      </c>
      <c r="J10" s="19" t="s">
        <v>32</v>
      </c>
      <c r="K10" s="20">
        <f>0+0.268578+0+0.257466+0+0.256719+0.253298+0.27873+0.281736+0+0.27945+0.271128+0+0+0.281062</f>
        <v>2.428167</v>
      </c>
      <c r="L10" s="10"/>
      <c r="M10" s="10">
        <f>C9*L9/100</f>
        <v>0.281062</v>
      </c>
    </row>
    <row r="11" s="1" customFormat="1" ht="25" customHeight="1" spans="1:13">
      <c r="A11" s="7">
        <v>6</v>
      </c>
      <c r="B11" s="8" t="s">
        <v>33</v>
      </c>
      <c r="C11" s="10">
        <v>15.6216</v>
      </c>
      <c r="D11" s="10">
        <v>0</v>
      </c>
      <c r="E11" s="10">
        <f t="shared" si="0"/>
        <v>15.6216</v>
      </c>
      <c r="F11" s="10" t="s">
        <v>14</v>
      </c>
      <c r="G11" s="10">
        <f>14.352+0+0+0+6.7344+17.5536+13.2664+17.664+16.56+14.6096+11.5+16.56+10.9848+11.6472+15.6216</f>
        <v>167.0536</v>
      </c>
      <c r="H11" s="10"/>
      <c r="I11" s="10">
        <f>G11/(G3*0.1865)</f>
        <v>6.09339971913698</v>
      </c>
      <c r="J11" s="11"/>
      <c r="K11" s="10"/>
      <c r="L11" s="10"/>
      <c r="M11" s="21"/>
    </row>
    <row r="12" s="1" customFormat="1" ht="25" customHeight="1" spans="1:13">
      <c r="A12" s="7">
        <v>7</v>
      </c>
      <c r="B12" s="8" t="s">
        <v>34</v>
      </c>
      <c r="C12" s="10">
        <v>252</v>
      </c>
      <c r="D12" s="10">
        <v>225</v>
      </c>
      <c r="E12" s="10">
        <f t="shared" si="0"/>
        <v>477</v>
      </c>
      <c r="F12" s="10" t="s">
        <v>35</v>
      </c>
      <c r="G12" s="10">
        <f>472+11+0+16+206+451+454+465+490+368+388+385+456+440+477</f>
        <v>5079</v>
      </c>
      <c r="H12" s="10">
        <f>G12*1.05</f>
        <v>5332.95</v>
      </c>
      <c r="I12" s="10"/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36</v>
      </c>
      <c r="C13" s="10">
        <v>210</v>
      </c>
      <c r="D13" s="10">
        <v>164</v>
      </c>
      <c r="E13" s="10">
        <f t="shared" ref="E13:E21" si="1">D13+C13</f>
        <v>374</v>
      </c>
      <c r="F13" s="10" t="s">
        <v>35</v>
      </c>
      <c r="G13" s="10">
        <f>372+0+0+0+195+420+417+363+467+242+386+282+393+382+374</f>
        <v>4293</v>
      </c>
      <c r="H13" s="10"/>
      <c r="I13" s="10"/>
      <c r="J13" s="14"/>
      <c r="K13" s="10"/>
      <c r="L13" s="10"/>
      <c r="M13" s="10"/>
    </row>
    <row r="14" s="1" customFormat="1" ht="25" customHeight="1" spans="1:13">
      <c r="A14" s="7">
        <v>9</v>
      </c>
      <c r="B14" s="8" t="s">
        <v>37</v>
      </c>
      <c r="C14" s="10">
        <v>494.47</v>
      </c>
      <c r="D14" s="10">
        <v>373.49</v>
      </c>
      <c r="E14" s="10">
        <f t="shared" si="1"/>
        <v>867.96</v>
      </c>
      <c r="F14" s="10" t="s">
        <v>35</v>
      </c>
      <c r="G14" s="10">
        <f>209.75+0+0+0+370.64+733.22+886.44+846.58+728.24+930.46+896.96+902.95+629.84+963.57+867.96</f>
        <v>8966.61</v>
      </c>
      <c r="H14" s="10"/>
      <c r="I14" s="10"/>
      <c r="J14" s="19" t="s">
        <v>38</v>
      </c>
      <c r="K14" s="10">
        <v>3.13</v>
      </c>
      <c r="L14" s="10">
        <v>3.09</v>
      </c>
      <c r="M14" s="10"/>
    </row>
    <row r="15" s="1" customFormat="1" ht="25" customHeight="1" spans="1:13">
      <c r="A15" s="7">
        <v>10</v>
      </c>
      <c r="B15" s="8" t="s">
        <v>39</v>
      </c>
      <c r="C15" s="10">
        <v>18</v>
      </c>
      <c r="D15" s="10">
        <v>15</v>
      </c>
      <c r="E15" s="10">
        <f t="shared" si="1"/>
        <v>33</v>
      </c>
      <c r="F15" s="10" t="s">
        <v>14</v>
      </c>
      <c r="G15" s="10">
        <f>24+0+0+0+21+27+33+30+33+21+30+21+33+30+33</f>
        <v>336</v>
      </c>
      <c r="H15" s="10"/>
      <c r="I15" s="10">
        <f>G15/(G3*0.1865)</f>
        <v>12.2558406740712</v>
      </c>
      <c r="J15" s="19" t="s">
        <v>40</v>
      </c>
      <c r="K15" s="20">
        <f>0.641835+0+0+0+1.0970944+2.2635878+2.9007565+2.4932712+2.1651567+2.7262642+2.5433786+2.6076891+1.9524176+3.0179391+2.7017752</f>
        <v>27.1111654</v>
      </c>
      <c r="L15" s="10"/>
      <c r="M15" s="10">
        <f>(C14*K14+L14*D14)/1000</f>
        <v>2.7017752</v>
      </c>
    </row>
    <row r="16" s="1" customFormat="1" ht="25" customHeight="1" spans="1:13">
      <c r="A16" s="7">
        <v>11</v>
      </c>
      <c r="B16" s="8" t="s">
        <v>41</v>
      </c>
      <c r="C16" s="7">
        <v>0</v>
      </c>
      <c r="D16" s="7">
        <v>0.0375</v>
      </c>
      <c r="E16" s="10">
        <f t="shared" si="1"/>
        <v>0.0375</v>
      </c>
      <c r="F16" s="10" t="s">
        <v>14</v>
      </c>
      <c r="G16" s="10">
        <f>0+0+0+0+0+0.0875+0+0.075+0+0.0875+0.0375+0.0375+0+0+0.0375</f>
        <v>0.3625</v>
      </c>
      <c r="H16" s="22"/>
      <c r="I16" s="22"/>
      <c r="J16" s="11"/>
      <c r="K16" s="22"/>
      <c r="L16" s="22"/>
      <c r="M16" s="10"/>
    </row>
    <row r="17" s="1" customFormat="1" ht="25" customHeight="1" spans="1:13">
      <c r="A17" s="12">
        <v>12</v>
      </c>
      <c r="B17" s="8" t="s">
        <v>42</v>
      </c>
      <c r="C17" s="10">
        <v>2</v>
      </c>
      <c r="D17" s="7">
        <v>0</v>
      </c>
      <c r="E17" s="10">
        <f t="shared" si="1"/>
        <v>2</v>
      </c>
      <c r="F17" s="10" t="s">
        <v>14</v>
      </c>
      <c r="G17" s="10">
        <f>2+0+0+0+0+2+0+2+0+2+2+0+2+0+2</f>
        <v>14</v>
      </c>
      <c r="H17" s="22"/>
      <c r="I17" s="10">
        <f>G17/(G3*0.1865)</f>
        <v>0.510660028086302</v>
      </c>
      <c r="J17" s="11"/>
      <c r="K17" s="22"/>
      <c r="L17" s="22"/>
      <c r="M17" s="10"/>
    </row>
    <row r="18" s="1" customFormat="1" ht="25" customHeight="1" spans="1:13">
      <c r="A18" s="7">
        <v>13</v>
      </c>
      <c r="B18" s="8" t="s">
        <v>43</v>
      </c>
      <c r="C18" s="10">
        <v>2</v>
      </c>
      <c r="D18" s="7">
        <v>0</v>
      </c>
      <c r="E18" s="10">
        <f t="shared" si="1"/>
        <v>2</v>
      </c>
      <c r="F18" s="10" t="s">
        <v>14</v>
      </c>
      <c r="G18" s="10">
        <f>2+0+0+0+0+2+0+2+0+2+2+0+2+0+2</f>
        <v>14</v>
      </c>
      <c r="H18" s="22"/>
      <c r="I18" s="10">
        <f>G18/(G3*0.1865)</f>
        <v>0.510660028086302</v>
      </c>
      <c r="J18" s="11"/>
      <c r="K18" s="22"/>
      <c r="L18" s="22"/>
      <c r="M18" s="10"/>
    </row>
    <row r="19" s="1" customFormat="1" ht="25" customHeight="1" spans="1:13">
      <c r="A19" s="7">
        <v>14</v>
      </c>
      <c r="B19" s="8" t="s">
        <v>44</v>
      </c>
      <c r="C19" s="10">
        <v>8</v>
      </c>
      <c r="D19" s="7">
        <v>4</v>
      </c>
      <c r="E19" s="10">
        <f t="shared" si="1"/>
        <v>12</v>
      </c>
      <c r="F19" s="10" t="s">
        <v>45</v>
      </c>
      <c r="G19" s="10">
        <f>5+0+0+0+3+7+8+6+7+7+7+6+8+5+12</f>
        <v>81</v>
      </c>
      <c r="H19" s="22"/>
      <c r="I19" s="22"/>
      <c r="J19" s="11"/>
      <c r="K19" s="22"/>
      <c r="L19" s="22"/>
      <c r="M19" s="10"/>
    </row>
    <row r="20" s="1" customFormat="1" ht="25" customHeight="1" spans="1:13">
      <c r="A20" s="7">
        <v>15</v>
      </c>
      <c r="B20" s="8" t="s">
        <v>46</v>
      </c>
      <c r="C20" s="7">
        <v>618</v>
      </c>
      <c r="D20" s="7">
        <v>628</v>
      </c>
      <c r="E20" s="10">
        <f t="shared" si="1"/>
        <v>1246</v>
      </c>
      <c r="F20" s="10" t="s">
        <v>35</v>
      </c>
      <c r="G20" s="10">
        <f>507+0+0+339+1006+1051+1056+1200+1113+1132+810+1370+1187+1194+1246</f>
        <v>13211</v>
      </c>
      <c r="H20" s="23"/>
      <c r="I20" s="10">
        <f>E20/M20</f>
        <v>51.9166666666667</v>
      </c>
      <c r="J20" s="19" t="s">
        <v>47</v>
      </c>
      <c r="K20" s="10">
        <f>7.5+0+0+6+24+24+24+24+24+24+15.5+24+24+24+24</f>
        <v>269</v>
      </c>
      <c r="L20" s="10">
        <f>G20/K20</f>
        <v>49.1115241635688</v>
      </c>
      <c r="M20" s="10">
        <v>24</v>
      </c>
    </row>
    <row r="21" s="1" customFormat="1" ht="25" customHeight="1" spans="1:13">
      <c r="A21" s="12">
        <v>16</v>
      </c>
      <c r="B21" s="8" t="s">
        <v>48</v>
      </c>
      <c r="C21" s="7">
        <v>807</v>
      </c>
      <c r="D21" s="7">
        <v>758</v>
      </c>
      <c r="E21" s="10">
        <f t="shared" si="1"/>
        <v>1565</v>
      </c>
      <c r="F21" s="10" t="s">
        <v>35</v>
      </c>
      <c r="G21" s="10">
        <f>547+0+0+662+1124+1392+1384+1483+1450+1339+986+1680+1486+1500+1565</f>
        <v>16598</v>
      </c>
      <c r="H21" s="22"/>
      <c r="I21" s="10">
        <f>E21/M20</f>
        <v>65.2083333333333</v>
      </c>
      <c r="J21" s="11"/>
      <c r="K21" s="22"/>
      <c r="L21" s="22"/>
      <c r="M21" s="10"/>
    </row>
    <row r="22" s="1" customFormat="1" ht="25" customHeight="1" spans="1:13">
      <c r="A22" s="7">
        <v>17</v>
      </c>
      <c r="B22" s="8" t="s">
        <v>49</v>
      </c>
      <c r="C22" s="12">
        <v>28.54</v>
      </c>
      <c r="D22" s="12">
        <v>30.43</v>
      </c>
      <c r="E22" s="13"/>
      <c r="F22" s="13" t="s">
        <v>50</v>
      </c>
      <c r="G22" s="13"/>
      <c r="H22" s="24"/>
      <c r="I22" s="24"/>
      <c r="J22" s="25"/>
      <c r="K22" s="24"/>
      <c r="L22" s="24"/>
      <c r="M22" s="10"/>
    </row>
    <row r="23" s="1" customFormat="1" ht="32" customHeight="1" spans="1:13">
      <c r="A23" s="7">
        <v>18</v>
      </c>
      <c r="B23" s="26" t="s">
        <v>116</v>
      </c>
      <c r="C23" s="27" t="s">
        <v>144</v>
      </c>
      <c r="D23" s="28"/>
      <c r="E23" s="28"/>
      <c r="F23" s="28"/>
      <c r="G23" s="28"/>
      <c r="H23" s="28"/>
      <c r="I23" s="28"/>
      <c r="J23" s="28"/>
      <c r="K23" s="28"/>
      <c r="L23" s="29"/>
      <c r="M23" s="40" t="s">
        <v>20</v>
      </c>
    </row>
    <row r="24" s="1" customFormat="1" ht="32" customHeight="1" spans="1:13">
      <c r="A24" s="7">
        <v>19</v>
      </c>
      <c r="B24" s="26" t="s">
        <v>118</v>
      </c>
      <c r="C24" s="27" t="s">
        <v>140</v>
      </c>
      <c r="D24" s="28"/>
      <c r="E24" s="28"/>
      <c r="F24" s="28"/>
      <c r="G24" s="28"/>
      <c r="H24" s="28"/>
      <c r="I24" s="28"/>
      <c r="J24" s="28"/>
      <c r="K24" s="28"/>
      <c r="L24" s="29"/>
      <c r="M24" s="40" t="s">
        <v>20</v>
      </c>
    </row>
    <row r="25" s="1" customFormat="1" ht="80" customHeight="1" spans="1:13">
      <c r="A25" s="7">
        <v>20</v>
      </c>
      <c r="B25" s="31" t="s">
        <v>55</v>
      </c>
      <c r="C25" s="27" t="s">
        <v>129</v>
      </c>
      <c r="D25" s="28"/>
      <c r="E25" s="28"/>
      <c r="F25" s="28"/>
      <c r="G25" s="28"/>
      <c r="H25" s="28"/>
      <c r="I25" s="28"/>
      <c r="J25" s="28"/>
      <c r="K25" s="28"/>
      <c r="L25" s="29"/>
      <c r="M25" s="39"/>
    </row>
    <row r="26" s="1" customFormat="1" ht="14" customHeight="1" spans="1:13">
      <c r="C26" s="33"/>
      <c r="D26" s="33"/>
      <c r="J26" s="34"/>
    </row>
    <row r="27" s="1" customFormat="1" ht="45" customHeight="1" spans="1:13">
      <c r="A27" s="5" t="s">
        <v>145</v>
      </c>
    </row>
    <row r="28" s="1" customFormat="1" ht="30" customHeight="1" spans="1:13">
      <c r="A28" s="6" t="s">
        <v>58</v>
      </c>
      <c r="B28" s="6" t="s">
        <v>59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7">
        <v>1</v>
      </c>
      <c r="B29" s="8" t="s">
        <v>60</v>
      </c>
      <c r="C29" s="10">
        <v>0</v>
      </c>
      <c r="D29" s="10">
        <v>0</v>
      </c>
      <c r="E29" s="10">
        <f t="shared" ref="E29:E35" si="2">D29+C29</f>
        <v>0</v>
      </c>
      <c r="F29" s="10" t="s">
        <v>35</v>
      </c>
      <c r="G29" s="10">
        <f>0+0+0+0+0+0+0+0+0+0+0+0+0+0+0</f>
        <v>0</v>
      </c>
      <c r="H29" s="10"/>
      <c r="I29" s="10"/>
      <c r="J29" s="11"/>
      <c r="K29" s="22"/>
      <c r="L29" s="22"/>
      <c r="M29" s="10"/>
    </row>
    <row r="30" s="1" customFormat="1" ht="25" customHeight="1" spans="1:13">
      <c r="A30" s="7">
        <v>2</v>
      </c>
      <c r="B30" s="8" t="s">
        <v>61</v>
      </c>
      <c r="C30" s="10">
        <v>8.42</v>
      </c>
      <c r="D30" s="10">
        <v>8.32</v>
      </c>
      <c r="E30" s="10">
        <f t="shared" si="2"/>
        <v>16.74</v>
      </c>
      <c r="F30" s="10" t="s">
        <v>35</v>
      </c>
      <c r="G30" s="10">
        <f>0+0+0+0+0+0+12.6+12.59+14.7+16.7+8.28+16.61+16.56+16.62+16.74</f>
        <v>131.4</v>
      </c>
      <c r="H30" s="10"/>
      <c r="I30" s="10"/>
      <c r="J30" s="11"/>
      <c r="K30" s="22"/>
      <c r="L30" s="22"/>
      <c r="M30" s="21"/>
    </row>
    <row r="31" s="1" customFormat="1" ht="25" customHeight="1" spans="1:13">
      <c r="A31" s="7">
        <v>3</v>
      </c>
      <c r="B31" s="8" t="s">
        <v>62</v>
      </c>
      <c r="C31" s="10">
        <v>10</v>
      </c>
      <c r="D31" s="10">
        <v>28</v>
      </c>
      <c r="E31" s="10">
        <f t="shared" si="2"/>
        <v>38</v>
      </c>
      <c r="F31" s="10" t="s">
        <v>35</v>
      </c>
      <c r="G31" s="10">
        <f>9+33+13+24+43.31+38+19+17+26+16+38+42.27+10+19+38</f>
        <v>385.58</v>
      </c>
      <c r="H31" s="10"/>
      <c r="I31" s="10"/>
      <c r="J31" s="11"/>
      <c r="K31" s="22"/>
      <c r="L31" s="22"/>
      <c r="M31" s="21"/>
    </row>
    <row r="32" s="1" customFormat="1" ht="25" customHeight="1" spans="1:13">
      <c r="A32" s="7">
        <v>4</v>
      </c>
      <c r="B32" s="8" t="s">
        <v>31</v>
      </c>
      <c r="C32" s="10">
        <v>9.1665</v>
      </c>
      <c r="D32" s="10">
        <v>0</v>
      </c>
      <c r="E32" s="10">
        <f t="shared" si="2"/>
        <v>9.1665</v>
      </c>
      <c r="F32" s="10" t="s">
        <v>14</v>
      </c>
      <c r="G32" s="10">
        <f>0+0+0+0+0+0+0+0+8.1945+5.4135+14.796+0+12.3255+0+9.1665</f>
        <v>49.896</v>
      </c>
      <c r="H32" s="10"/>
      <c r="J32" s="11"/>
      <c r="K32" s="22"/>
      <c r="L32" s="22"/>
      <c r="M32" s="22"/>
    </row>
    <row r="33" s="1" customFormat="1" ht="25" customHeight="1" spans="1:13">
      <c r="A33" s="7">
        <v>5</v>
      </c>
      <c r="B33" s="8" t="s">
        <v>33</v>
      </c>
      <c r="C33" s="10">
        <v>0</v>
      </c>
      <c r="D33" s="10">
        <v>0</v>
      </c>
      <c r="E33" s="10">
        <f t="shared" si="2"/>
        <v>0</v>
      </c>
      <c r="F33" s="10" t="s">
        <v>14</v>
      </c>
      <c r="G33" s="10">
        <f>0+0+0+0+0+0+0+0+0+0+0+0+0+0+0</f>
        <v>0</v>
      </c>
      <c r="H33" s="10"/>
      <c r="I33" s="10"/>
      <c r="J33" s="14"/>
      <c r="K33" s="22"/>
      <c r="L33" s="22"/>
      <c r="M33" s="22"/>
    </row>
    <row r="34" s="1" customFormat="1" ht="25" customHeight="1" spans="1:13">
      <c r="A34" s="7">
        <v>6</v>
      </c>
      <c r="B34" s="8" t="s">
        <v>63</v>
      </c>
      <c r="C34" s="10">
        <v>166</v>
      </c>
      <c r="D34" s="10">
        <v>106</v>
      </c>
      <c r="E34" s="10">
        <f t="shared" si="2"/>
        <v>272</v>
      </c>
      <c r="F34" s="10" t="s">
        <v>35</v>
      </c>
      <c r="G34" s="10">
        <f>580+604+307+408+430+215+238+250+321+330+333+338+268+307+272</f>
        <v>5201</v>
      </c>
      <c r="H34" s="10"/>
      <c r="I34" s="10"/>
      <c r="J34" s="35"/>
      <c r="K34" s="22"/>
      <c r="L34" s="10"/>
      <c r="M34" s="22"/>
    </row>
    <row r="35" s="1" customFormat="1" ht="25" customHeight="1" spans="1:13">
      <c r="A35" s="7">
        <v>7</v>
      </c>
      <c r="B35" s="8" t="s">
        <v>64</v>
      </c>
      <c r="C35" s="10">
        <v>507</v>
      </c>
      <c r="D35" s="10">
        <v>509</v>
      </c>
      <c r="E35" s="10">
        <f t="shared" si="2"/>
        <v>1016</v>
      </c>
      <c r="F35" s="10" t="s">
        <v>35</v>
      </c>
      <c r="G35" s="10">
        <f>1010+819+776+499+966+1008+1007+1010+1005+1008+1008+980+786+1014+1016</f>
        <v>13912</v>
      </c>
      <c r="H35" s="10"/>
      <c r="I35" s="10"/>
      <c r="J35" s="36"/>
      <c r="K35" s="22"/>
      <c r="L35" s="10"/>
      <c r="M35" s="22"/>
    </row>
    <row r="36" s="1" customFormat="1" ht="25" customHeight="1" spans="1:13">
      <c r="A36" s="7">
        <v>8</v>
      </c>
      <c r="B36" s="8" t="s">
        <v>65</v>
      </c>
      <c r="C36" s="10">
        <v>0</v>
      </c>
      <c r="D36" s="10">
        <v>0</v>
      </c>
      <c r="E36" s="10">
        <f>C36+D36</f>
        <v>0</v>
      </c>
      <c r="F36" s="10" t="s">
        <v>35</v>
      </c>
      <c r="G36" s="10">
        <f>0+0+0+0+0+0+0+0+0+0+0+0+0+0+0</f>
        <v>0</v>
      </c>
      <c r="H36" s="22"/>
      <c r="I36" s="7">
        <v>967.5</v>
      </c>
      <c r="J36" s="14"/>
      <c r="K36" s="37"/>
      <c r="L36" s="27"/>
      <c r="M36" s="38"/>
    </row>
    <row r="37" s="1" customFormat="1" ht="25" customHeight="1" spans="1:13">
      <c r="A37" s="7">
        <v>9</v>
      </c>
      <c r="B37" s="8" t="s">
        <v>66</v>
      </c>
      <c r="C37" s="10">
        <v>0</v>
      </c>
      <c r="D37" s="10">
        <v>0</v>
      </c>
      <c r="E37" s="10">
        <f>C37+D37</f>
        <v>0</v>
      </c>
      <c r="F37" s="10" t="s">
        <v>35</v>
      </c>
      <c r="G37" s="10">
        <f>0+0+0+0+0+0+0+0+0+0+0+0+0+0+0</f>
        <v>0</v>
      </c>
      <c r="H37" s="22"/>
      <c r="I37" s="7">
        <v>79.9112</v>
      </c>
      <c r="J37" s="35"/>
      <c r="K37" s="37"/>
      <c r="L37" s="27"/>
      <c r="M37" s="38"/>
    </row>
    <row r="38" s="1" customFormat="1" ht="25" customHeight="1" spans="1:13">
      <c r="A38" s="7">
        <v>10</v>
      </c>
      <c r="B38" s="8" t="s">
        <v>67</v>
      </c>
      <c r="C38" s="7">
        <v>1</v>
      </c>
      <c r="D38" s="7">
        <v>2</v>
      </c>
      <c r="E38" s="10">
        <f>D38+C38</f>
        <v>3</v>
      </c>
      <c r="F38" s="10" t="s">
        <v>45</v>
      </c>
      <c r="G38" s="10">
        <f>0+0+2+0+0+0+2+0+3+4+2+2+4+6+3</f>
        <v>28</v>
      </c>
      <c r="H38" s="22"/>
      <c r="I38" s="10">
        <v>0</v>
      </c>
      <c r="J38" s="35"/>
      <c r="K38" s="27"/>
      <c r="L38" s="19" t="s">
        <v>68</v>
      </c>
      <c r="M38" s="7">
        <v>10</v>
      </c>
    </row>
    <row r="39" s="1" customFormat="1" ht="80" customHeight="1" spans="1:13">
      <c r="A39" s="7">
        <v>11</v>
      </c>
      <c r="B39" s="32" t="s">
        <v>55</v>
      </c>
      <c r="C39" s="27" t="s">
        <v>69</v>
      </c>
      <c r="D39" s="28"/>
      <c r="E39" s="28"/>
      <c r="F39" s="28"/>
      <c r="G39" s="28"/>
      <c r="H39" s="28"/>
      <c r="I39" s="28"/>
      <c r="J39" s="28"/>
      <c r="K39" s="28"/>
      <c r="L39" s="29"/>
      <c r="M39" s="32"/>
    </row>
    <row r="47" s="1" customFormat="1" spans="1:13">
      <c r="C47" s="33"/>
      <c r="D47" s="33"/>
      <c r="J47" s="34"/>
    </row>
    <row r="48" spans="1:13">
      <c r="L48" s="1"/>
    </row>
  </sheetData>
  <mergeCells count="9">
    <mergeCell ref="A1:M1"/>
    <mergeCell ref="C23:L23"/>
    <mergeCell ref="C24:L24"/>
    <mergeCell ref="C25:L25"/>
    <mergeCell ref="A27:M27"/>
    <mergeCell ref="C39:L39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zoomScale="85" zoomScaleNormal="85" topLeftCell="A16" workbookViewId="0">
      <selection activeCell="B23" sqref="B23:M24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146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8" customHeight="1" spans="1:13">
      <c r="A3" s="7">
        <v>1</v>
      </c>
      <c r="B3" s="8" t="s">
        <v>13</v>
      </c>
      <c r="C3" s="9">
        <v>6</v>
      </c>
      <c r="D3" s="9">
        <v>5</v>
      </c>
      <c r="E3" s="10">
        <f t="shared" ref="E3:E12" si="0">C3+D3</f>
        <v>11</v>
      </c>
      <c r="F3" s="10" t="s">
        <v>14</v>
      </c>
      <c r="G3" s="10">
        <f>12+0+0+0+6+13+13+13+15+9+13+9+15+13.5+15.5+11</f>
        <v>158</v>
      </c>
      <c r="H3" s="10">
        <v>330</v>
      </c>
      <c r="I3" s="10">
        <f>H3-G3</f>
        <v>172</v>
      </c>
      <c r="J3" s="11"/>
      <c r="K3" s="10"/>
      <c r="L3" s="10"/>
      <c r="M3" s="10">
        <f>I3/14</f>
        <v>12.2857142857143</v>
      </c>
    </row>
    <row r="4" s="1" customFormat="1" ht="38" customHeight="1" spans="1:13">
      <c r="A4" s="12">
        <v>2</v>
      </c>
      <c r="B4" s="8" t="s">
        <v>18</v>
      </c>
      <c r="C4" s="9">
        <v>16</v>
      </c>
      <c r="D4" s="9"/>
      <c r="E4" s="10">
        <f t="shared" si="0"/>
        <v>16</v>
      </c>
      <c r="F4" s="10" t="s">
        <v>14</v>
      </c>
      <c r="G4" s="10">
        <f>12+8+0+0+0+6+14+12+14+14+10+12+10+14+14+16</f>
        <v>156</v>
      </c>
      <c r="H4" s="13"/>
      <c r="I4" s="13"/>
      <c r="J4" s="11"/>
      <c r="K4" s="10"/>
      <c r="L4" s="10"/>
      <c r="M4" s="10"/>
    </row>
    <row r="5" s="1" customFormat="1" ht="38" customHeight="1" spans="1:13">
      <c r="A5" s="12">
        <v>3</v>
      </c>
      <c r="B5" s="8" t="s">
        <v>21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65+0+0+0+0+0+0+0+0+0+0+0+0+0+0+0</f>
        <v>65</v>
      </c>
      <c r="H5" s="10">
        <v>4950</v>
      </c>
      <c r="I5" s="10">
        <f>H5-G5-G7-G6</f>
        <v>2675</v>
      </c>
      <c r="J5" s="14"/>
      <c r="K5" s="10"/>
      <c r="L5" s="10"/>
      <c r="M5" s="10"/>
    </row>
    <row r="6" s="1" customFormat="1" ht="38" customHeight="1" spans="1:13">
      <c r="A6" s="15"/>
      <c r="B6" s="8" t="s">
        <v>23</v>
      </c>
      <c r="C6" s="10">
        <v>94</v>
      </c>
      <c r="D6" s="10">
        <v>78</v>
      </c>
      <c r="E6" s="10">
        <f t="shared" si="0"/>
        <v>172</v>
      </c>
      <c r="F6" s="10" t="s">
        <v>14</v>
      </c>
      <c r="G6" s="10">
        <f>0+0+0+0+183+194+174+196+189+174+99+228+173+212+203+172</f>
        <v>2197</v>
      </c>
      <c r="H6" s="15"/>
      <c r="I6" s="15"/>
      <c r="J6" s="11"/>
      <c r="K6" s="10"/>
      <c r="L6" s="10"/>
      <c r="M6" s="16"/>
    </row>
    <row r="7" s="1" customFormat="1" ht="38" customHeight="1" spans="1:13">
      <c r="A7" s="15"/>
      <c r="B7" s="8" t="s">
        <v>25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0+0+0+8+1+0+0+0+0+0+0+3+0+0+1+0</f>
        <v>13</v>
      </c>
      <c r="H7" s="15"/>
      <c r="I7" s="15"/>
      <c r="J7" s="11"/>
      <c r="K7" s="10"/>
      <c r="L7" s="10"/>
      <c r="M7" s="10"/>
    </row>
    <row r="8" s="1" customFormat="1" ht="38" customHeight="1" spans="1:13">
      <c r="A8" s="15"/>
      <c r="B8" s="8" t="s">
        <v>27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0+0+0+0+0+0+0+0+0+0+0+0+0+0+0+0</f>
        <v>0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29</v>
      </c>
      <c r="C9" s="13">
        <v>30.96</v>
      </c>
      <c r="D9" s="13"/>
      <c r="E9" s="10">
        <f t="shared" si="0"/>
        <v>30.96</v>
      </c>
      <c r="F9" s="13" t="s">
        <v>14</v>
      </c>
      <c r="G9" s="10">
        <f>0+31.23+0+31.02+0+30.93+30.89+30.97+30.96+0+31.05+30.81+0+0+31.58+30.96</f>
        <v>310.4</v>
      </c>
      <c r="H9" s="13">
        <v>6.08</v>
      </c>
      <c r="I9" s="13">
        <f>H9-K10</f>
        <v>3.376289</v>
      </c>
      <c r="J9" s="19" t="s">
        <v>30</v>
      </c>
      <c r="K9" s="10">
        <v>90</v>
      </c>
      <c r="L9" s="10">
        <v>0.89</v>
      </c>
      <c r="M9" s="20"/>
    </row>
    <row r="10" s="1" customFormat="1" ht="25" customHeight="1" spans="1:13">
      <c r="A10" s="7">
        <v>5</v>
      </c>
      <c r="B10" s="8" t="s">
        <v>31</v>
      </c>
      <c r="C10" s="10">
        <v>7.6815</v>
      </c>
      <c r="D10" s="10">
        <v>2.0925</v>
      </c>
      <c r="E10" s="10">
        <f t="shared" si="0"/>
        <v>9.774</v>
      </c>
      <c r="F10" s="10" t="s">
        <v>14</v>
      </c>
      <c r="G10" s="10">
        <f>6.831+0+0+0+6.6555+7.614+14.958+12.744+10.611+5.832+10.314+9.369+6.1965+9.4635+9.1395+9.774</f>
        <v>119.502</v>
      </c>
      <c r="H10" s="10"/>
      <c r="I10" s="10">
        <f>G10/(G3*0.1865)</f>
        <v>4.05545186140428</v>
      </c>
      <c r="J10" s="19" t="s">
        <v>32</v>
      </c>
      <c r="K10" s="20">
        <f>0+0.268578+0+0.257466+0+0.256719+0.253298+0.27873+0.281736+0+0.27945+0.271128+0+0+0.281062+0.275544</f>
        <v>2.703711</v>
      </c>
      <c r="L10" s="10"/>
      <c r="M10" s="10">
        <f>C9*L9/100</f>
        <v>0.275544</v>
      </c>
    </row>
    <row r="11" s="1" customFormat="1" ht="25" customHeight="1" spans="1:13">
      <c r="A11" s="7">
        <v>6</v>
      </c>
      <c r="B11" s="8" t="s">
        <v>33</v>
      </c>
      <c r="C11" s="10">
        <v>16.2104</v>
      </c>
      <c r="D11" s="10">
        <v>0</v>
      </c>
      <c r="E11" s="10">
        <f t="shared" si="0"/>
        <v>16.2104</v>
      </c>
      <c r="F11" s="10" t="s">
        <v>14</v>
      </c>
      <c r="G11" s="10">
        <f>14.352+0+0+0+6.7344+17.5536+13.2664+17.664+16.56+14.6096+11.5+16.56+10.9848+11.6472+15.6216+16.2104</f>
        <v>183.264</v>
      </c>
      <c r="H11" s="10"/>
      <c r="I11" s="10">
        <f>G11/(G3*0.1865)</f>
        <v>6.21929616180813</v>
      </c>
      <c r="J11" s="11"/>
      <c r="K11" s="10"/>
      <c r="L11" s="10"/>
      <c r="M11" s="21"/>
    </row>
    <row r="12" s="1" customFormat="1" ht="25" customHeight="1" spans="1:13">
      <c r="A12" s="7">
        <v>7</v>
      </c>
      <c r="B12" s="8" t="s">
        <v>34</v>
      </c>
      <c r="C12" s="10">
        <v>231</v>
      </c>
      <c r="D12" s="10">
        <v>176</v>
      </c>
      <c r="E12" s="10">
        <f t="shared" si="0"/>
        <v>407</v>
      </c>
      <c r="F12" s="10" t="s">
        <v>35</v>
      </c>
      <c r="G12" s="10">
        <f>472+11+0+16+206+451+454+465+490+368+388+385+456+440+477+407</f>
        <v>5486</v>
      </c>
      <c r="H12" s="10">
        <f>G12*1.05</f>
        <v>5760.3</v>
      </c>
      <c r="I12" s="10"/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36</v>
      </c>
      <c r="C13" s="10">
        <v>186</v>
      </c>
      <c r="D13" s="10">
        <v>155</v>
      </c>
      <c r="E13" s="10">
        <f t="shared" ref="E13:E21" si="1">D13+C13</f>
        <v>341</v>
      </c>
      <c r="F13" s="10" t="s">
        <v>35</v>
      </c>
      <c r="G13" s="10">
        <f>372+0+0+0+195+420+417+363+467+242+386+282+393+382+374+341</f>
        <v>4634</v>
      </c>
      <c r="H13" s="10"/>
      <c r="I13" s="10"/>
      <c r="J13" s="14"/>
      <c r="K13" s="10"/>
      <c r="L13" s="10"/>
      <c r="M13" s="10"/>
    </row>
    <row r="14" s="1" customFormat="1" ht="25" customHeight="1" spans="1:13">
      <c r="A14" s="7">
        <v>9</v>
      </c>
      <c r="B14" s="8" t="s">
        <v>37</v>
      </c>
      <c r="C14" s="10">
        <v>293.42</v>
      </c>
      <c r="D14" s="10">
        <v>386.47</v>
      </c>
      <c r="E14" s="10">
        <f t="shared" si="1"/>
        <v>679.89</v>
      </c>
      <c r="F14" s="10" t="s">
        <v>35</v>
      </c>
      <c r="G14" s="10">
        <f>209.75+0+0+0+370.64+733.22+886.44+846.58+728.24+930.46+896.96+902.95+629.84+963.57+867.96+679.89</f>
        <v>9646.5</v>
      </c>
      <c r="H14" s="10"/>
      <c r="I14" s="10"/>
      <c r="J14" s="19" t="s">
        <v>38</v>
      </c>
      <c r="K14" s="10">
        <v>3.25</v>
      </c>
      <c r="L14" s="10">
        <v>3.45</v>
      </c>
      <c r="M14" s="10"/>
    </row>
    <row r="15" s="1" customFormat="1" ht="25" customHeight="1" spans="1:13">
      <c r="A15" s="7">
        <v>10</v>
      </c>
      <c r="B15" s="8" t="s">
        <v>39</v>
      </c>
      <c r="C15" s="10">
        <v>12</v>
      </c>
      <c r="D15" s="10">
        <v>15</v>
      </c>
      <c r="E15" s="10">
        <f t="shared" si="1"/>
        <v>27</v>
      </c>
      <c r="F15" s="10" t="s">
        <v>14</v>
      </c>
      <c r="G15" s="10">
        <f>24+0+0+0+21+27+33+30+33+21+30+21+33+30+33+27</f>
        <v>363</v>
      </c>
      <c r="H15" s="10"/>
      <c r="I15" s="10">
        <f>G15/(G3*0.1865)</f>
        <v>12.3188651712085</v>
      </c>
      <c r="J15" s="19" t="s">
        <v>40</v>
      </c>
      <c r="K15" s="20">
        <f>0.641835+0+0+0+1.0970944+2.2635878+2.9007565+2.4932712+2.1651567+2.7262642+2.5433786+2.6076891+1.9524176+3.0179391+2.7017752+2.2869365</f>
        <v>29.3981019</v>
      </c>
      <c r="L15" s="10"/>
      <c r="M15" s="10">
        <f>(C14*K14+L14*D14)/1000</f>
        <v>2.2869365</v>
      </c>
    </row>
    <row r="16" s="1" customFormat="1" ht="25" customHeight="1" spans="1:13">
      <c r="A16" s="7">
        <v>11</v>
      </c>
      <c r="B16" s="8" t="s">
        <v>41</v>
      </c>
      <c r="C16" s="7">
        <v>0.0375</v>
      </c>
      <c r="D16" s="7">
        <v>0</v>
      </c>
      <c r="E16" s="10">
        <f t="shared" si="1"/>
        <v>0.0375</v>
      </c>
      <c r="F16" s="10" t="s">
        <v>14</v>
      </c>
      <c r="G16" s="10">
        <f>0+0+0+0+0+0.0875+0+0.075+0+0.0875+0.0375+0.0375+0+0+0.0375+0.0375</f>
        <v>0.4</v>
      </c>
      <c r="H16" s="22"/>
      <c r="I16" s="22"/>
      <c r="J16" s="11"/>
      <c r="K16" s="22"/>
      <c r="L16" s="22"/>
      <c r="M16" s="10"/>
    </row>
    <row r="17" s="1" customFormat="1" ht="25" customHeight="1" spans="1:13">
      <c r="A17" s="12">
        <v>12</v>
      </c>
      <c r="B17" s="8" t="s">
        <v>42</v>
      </c>
      <c r="C17" s="10">
        <v>0</v>
      </c>
      <c r="D17" s="7">
        <v>0</v>
      </c>
      <c r="E17" s="10">
        <f t="shared" si="1"/>
        <v>0</v>
      </c>
      <c r="F17" s="10" t="s">
        <v>14</v>
      </c>
      <c r="G17" s="10">
        <f>2+0+0+0+0+2+0+2+0+2+2+0+2+0+2+0</f>
        <v>14</v>
      </c>
      <c r="H17" s="22"/>
      <c r="I17" s="10">
        <f>G17/(G3*0.1865)</f>
        <v>0.475107747649913</v>
      </c>
      <c r="J17" s="11"/>
      <c r="K17" s="22"/>
      <c r="L17" s="22"/>
      <c r="M17" s="10"/>
    </row>
    <row r="18" s="1" customFormat="1" ht="25" customHeight="1" spans="1:13">
      <c r="A18" s="7">
        <v>13</v>
      </c>
      <c r="B18" s="8" t="s">
        <v>43</v>
      </c>
      <c r="C18" s="10">
        <v>0</v>
      </c>
      <c r="D18" s="7">
        <v>0</v>
      </c>
      <c r="E18" s="10">
        <f t="shared" si="1"/>
        <v>0</v>
      </c>
      <c r="F18" s="10" t="s">
        <v>14</v>
      </c>
      <c r="G18" s="10">
        <f>2+0+0+0+0+2+0+2+0+2+2+0+2+0+2+0</f>
        <v>14</v>
      </c>
      <c r="H18" s="22"/>
      <c r="I18" s="10">
        <f>G18/(G3*0.1865)</f>
        <v>0.475107747649913</v>
      </c>
      <c r="J18" s="11"/>
      <c r="K18" s="22"/>
      <c r="L18" s="22"/>
      <c r="M18" s="10"/>
    </row>
    <row r="19" s="1" customFormat="1" ht="25" customHeight="1" spans="1:13">
      <c r="A19" s="7">
        <v>14</v>
      </c>
      <c r="B19" s="8" t="s">
        <v>44</v>
      </c>
      <c r="C19" s="10">
        <v>2</v>
      </c>
      <c r="D19" s="7">
        <v>2</v>
      </c>
      <c r="E19" s="10">
        <f t="shared" si="1"/>
        <v>4</v>
      </c>
      <c r="F19" s="10" t="s">
        <v>45</v>
      </c>
      <c r="G19" s="10">
        <f>5+0+0+0+3+7+8+6+7+7+7+6+8+5+12+4</f>
        <v>85</v>
      </c>
      <c r="H19" s="22"/>
      <c r="I19" s="22"/>
      <c r="J19" s="11"/>
      <c r="K19" s="22"/>
      <c r="L19" s="22"/>
      <c r="M19" s="10"/>
    </row>
    <row r="20" s="1" customFormat="1" ht="25" customHeight="1" spans="1:13">
      <c r="A20" s="7">
        <v>15</v>
      </c>
      <c r="B20" s="8" t="s">
        <v>46</v>
      </c>
      <c r="C20" s="7">
        <v>594</v>
      </c>
      <c r="D20" s="7">
        <v>504</v>
      </c>
      <c r="E20" s="10">
        <f t="shared" si="1"/>
        <v>1098</v>
      </c>
      <c r="F20" s="10" t="s">
        <v>35</v>
      </c>
      <c r="G20" s="10">
        <f>507+0+0+339+1006+1051+1056+1200+1113+1132+810+1370+1187+1194+1246+1098</f>
        <v>14309</v>
      </c>
      <c r="H20" s="23"/>
      <c r="I20" s="10">
        <f>E20/M20</f>
        <v>45.75</v>
      </c>
      <c r="J20" s="19" t="s">
        <v>47</v>
      </c>
      <c r="K20" s="10">
        <f>7.5+0+0+6+24+24+24+24+24+24+15.5+24+24+24+24+24</f>
        <v>293</v>
      </c>
      <c r="L20" s="10">
        <f>G20/K20</f>
        <v>48.8361774744027</v>
      </c>
      <c r="M20" s="10">
        <v>24</v>
      </c>
    </row>
    <row r="21" s="1" customFormat="1" ht="25" customHeight="1" spans="1:13">
      <c r="A21" s="12">
        <v>16</v>
      </c>
      <c r="B21" s="8" t="s">
        <v>48</v>
      </c>
      <c r="C21" s="7">
        <v>731</v>
      </c>
      <c r="D21" s="7">
        <v>595</v>
      </c>
      <c r="E21" s="10">
        <f t="shared" si="1"/>
        <v>1326</v>
      </c>
      <c r="F21" s="10" t="s">
        <v>35</v>
      </c>
      <c r="G21" s="10">
        <f>547+0+0+662+1124+1392+1384+1483+1450+1339+986+1680+1486+1500+1565+1326</f>
        <v>17924</v>
      </c>
      <c r="H21" s="22"/>
      <c r="I21" s="10">
        <f>E21/M20</f>
        <v>55.25</v>
      </c>
      <c r="J21" s="11"/>
      <c r="K21" s="22"/>
      <c r="L21" s="22"/>
      <c r="M21" s="10"/>
    </row>
    <row r="22" s="1" customFormat="1" ht="25" customHeight="1" spans="1:13">
      <c r="A22" s="7">
        <v>17</v>
      </c>
      <c r="B22" s="8" t="s">
        <v>49</v>
      </c>
      <c r="C22" s="12">
        <v>32.13</v>
      </c>
      <c r="D22" s="12">
        <v>28.36</v>
      </c>
      <c r="E22" s="13"/>
      <c r="F22" s="13" t="s">
        <v>50</v>
      </c>
      <c r="G22" s="13"/>
      <c r="H22" s="24"/>
      <c r="I22" s="24"/>
      <c r="J22" s="25"/>
      <c r="K22" s="24"/>
      <c r="L22" s="24"/>
      <c r="M22" s="10"/>
    </row>
    <row r="23" s="1" customFormat="1" ht="32" customHeight="1" spans="1:13">
      <c r="A23" s="7">
        <v>18</v>
      </c>
      <c r="B23" s="26" t="s">
        <v>116</v>
      </c>
      <c r="C23" s="27" t="s">
        <v>147</v>
      </c>
      <c r="D23" s="28"/>
      <c r="E23" s="28"/>
      <c r="F23" s="28"/>
      <c r="G23" s="28"/>
      <c r="H23" s="28"/>
      <c r="I23" s="28"/>
      <c r="J23" s="28"/>
      <c r="K23" s="28"/>
      <c r="L23" s="29"/>
      <c r="M23" s="40" t="s">
        <v>73</v>
      </c>
    </row>
    <row r="24" s="1" customFormat="1" ht="32" customHeight="1" spans="1:13">
      <c r="A24" s="7">
        <v>19</v>
      </c>
      <c r="B24" s="26" t="s">
        <v>118</v>
      </c>
      <c r="C24" s="27" t="s">
        <v>148</v>
      </c>
      <c r="D24" s="28"/>
      <c r="E24" s="28"/>
      <c r="F24" s="28"/>
      <c r="G24" s="28"/>
      <c r="H24" s="28"/>
      <c r="I24" s="28"/>
      <c r="J24" s="28"/>
      <c r="K24" s="28"/>
      <c r="L24" s="29"/>
      <c r="M24" s="40" t="s">
        <v>20</v>
      </c>
    </row>
    <row r="25" s="1" customFormat="1" ht="80" customHeight="1" spans="1:13">
      <c r="A25" s="7">
        <v>20</v>
      </c>
      <c r="B25" s="31" t="s">
        <v>55</v>
      </c>
      <c r="C25" s="27" t="s">
        <v>129</v>
      </c>
      <c r="D25" s="28"/>
      <c r="E25" s="28"/>
      <c r="F25" s="28"/>
      <c r="G25" s="28"/>
      <c r="H25" s="28"/>
      <c r="I25" s="28"/>
      <c r="J25" s="28"/>
      <c r="K25" s="28"/>
      <c r="L25" s="29"/>
      <c r="M25" s="39"/>
    </row>
    <row r="26" s="1" customFormat="1" ht="14" customHeight="1" spans="1:13">
      <c r="C26" s="33"/>
      <c r="D26" s="33"/>
      <c r="J26" s="34"/>
    </row>
    <row r="27" s="1" customFormat="1" ht="45" customHeight="1" spans="1:13">
      <c r="A27" s="5" t="s">
        <v>149</v>
      </c>
    </row>
    <row r="28" s="1" customFormat="1" ht="30" customHeight="1" spans="1:13">
      <c r="A28" s="6" t="s">
        <v>58</v>
      </c>
      <c r="B28" s="6" t="s">
        <v>59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7">
        <v>1</v>
      </c>
      <c r="B29" s="8" t="s">
        <v>60</v>
      </c>
      <c r="C29" s="10">
        <v>0</v>
      </c>
      <c r="D29" s="10">
        <v>0</v>
      </c>
      <c r="E29" s="10">
        <f t="shared" ref="E29:E35" si="2">D29+C29</f>
        <v>0</v>
      </c>
      <c r="F29" s="10" t="s">
        <v>35</v>
      </c>
      <c r="G29" s="10">
        <f>0+0+0+0+0+0+0+0+0+0+0+0+0+0+0+0</f>
        <v>0</v>
      </c>
      <c r="H29" s="10"/>
      <c r="I29" s="10"/>
      <c r="J29" s="11"/>
      <c r="K29" s="22"/>
      <c r="L29" s="22"/>
      <c r="M29" s="10"/>
    </row>
    <row r="30" s="1" customFormat="1" ht="25" customHeight="1" spans="1:13">
      <c r="A30" s="7">
        <v>2</v>
      </c>
      <c r="B30" s="8" t="s">
        <v>61</v>
      </c>
      <c r="C30" s="10">
        <v>8.34</v>
      </c>
      <c r="D30" s="10">
        <v>8.32</v>
      </c>
      <c r="E30" s="10">
        <f t="shared" si="2"/>
        <v>16.66</v>
      </c>
      <c r="F30" s="10" t="s">
        <v>35</v>
      </c>
      <c r="G30" s="10">
        <f>0+0+0+0+0+0+12.6+12.59+14.7+16.7+8.28+16.61+16.56+16.62+16.74+16.66</f>
        <v>148.06</v>
      </c>
      <c r="H30" s="10"/>
      <c r="I30" s="10"/>
      <c r="J30" s="11"/>
      <c r="K30" s="22"/>
      <c r="L30" s="22"/>
      <c r="M30" s="21"/>
    </row>
    <row r="31" s="1" customFormat="1" ht="25" customHeight="1" spans="1:13">
      <c r="A31" s="7">
        <v>3</v>
      </c>
      <c r="B31" s="8" t="s">
        <v>62</v>
      </c>
      <c r="C31" s="10">
        <v>0</v>
      </c>
      <c r="D31" s="10">
        <v>8</v>
      </c>
      <c r="E31" s="10">
        <f t="shared" si="2"/>
        <v>8</v>
      </c>
      <c r="F31" s="10" t="s">
        <v>35</v>
      </c>
      <c r="G31" s="10">
        <f>9+33+13+24+43.31+38+19+17+26+16+38+42.27+10+19+38+8</f>
        <v>393.58</v>
      </c>
      <c r="H31" s="10"/>
      <c r="I31" s="10"/>
      <c r="J31" s="11"/>
      <c r="K31" s="22"/>
      <c r="L31" s="22"/>
      <c r="M31" s="21"/>
    </row>
    <row r="32" s="1" customFormat="1" ht="25" customHeight="1" spans="1:13">
      <c r="A32" s="7">
        <v>4</v>
      </c>
      <c r="B32" s="8" t="s">
        <v>31</v>
      </c>
      <c r="C32" s="10">
        <v>5.94</v>
      </c>
      <c r="D32" s="10">
        <v>0</v>
      </c>
      <c r="E32" s="10">
        <f t="shared" si="2"/>
        <v>5.94</v>
      </c>
      <c r="F32" s="10" t="s">
        <v>14</v>
      </c>
      <c r="G32" s="10">
        <f>0+0+0+0+0+0+0+0+8.1945+5.4135+14.796+0+12.3255+0+9.1665+5.94</f>
        <v>55.836</v>
      </c>
      <c r="H32" s="10"/>
      <c r="J32" s="11"/>
      <c r="K32" s="22"/>
      <c r="L32" s="22"/>
      <c r="M32" s="22"/>
    </row>
    <row r="33" s="1" customFormat="1" ht="25" customHeight="1" spans="1:13">
      <c r="A33" s="7">
        <v>5</v>
      </c>
      <c r="B33" s="8" t="s">
        <v>33</v>
      </c>
      <c r="C33" s="10">
        <v>0</v>
      </c>
      <c r="D33" s="10">
        <v>0</v>
      </c>
      <c r="E33" s="10">
        <f t="shared" si="2"/>
        <v>0</v>
      </c>
      <c r="F33" s="10" t="s">
        <v>14</v>
      </c>
      <c r="G33" s="10">
        <f>0+0+0+0+0+0+0+0+0+0+0+0+0+0+0+0</f>
        <v>0</v>
      </c>
      <c r="H33" s="10"/>
      <c r="I33" s="10"/>
      <c r="J33" s="14"/>
      <c r="K33" s="22"/>
      <c r="L33" s="22"/>
      <c r="M33" s="22"/>
    </row>
    <row r="34" s="1" customFormat="1" ht="25" customHeight="1" spans="1:13">
      <c r="A34" s="7">
        <v>6</v>
      </c>
      <c r="B34" s="8" t="s">
        <v>63</v>
      </c>
      <c r="C34" s="10">
        <v>0</v>
      </c>
      <c r="D34" s="10">
        <v>0</v>
      </c>
      <c r="E34" s="10">
        <f t="shared" si="2"/>
        <v>0</v>
      </c>
      <c r="F34" s="10" t="s">
        <v>35</v>
      </c>
      <c r="G34" s="10">
        <f>580+604+307+408+430+215+238+250+321+330+333+338+268+307+272+0</f>
        <v>5201</v>
      </c>
      <c r="H34" s="10"/>
      <c r="I34" s="10"/>
      <c r="J34" s="35"/>
      <c r="K34" s="22"/>
      <c r="L34" s="10"/>
      <c r="M34" s="22"/>
    </row>
    <row r="35" s="1" customFormat="1" ht="25" customHeight="1" spans="1:13">
      <c r="A35" s="7">
        <v>7</v>
      </c>
      <c r="B35" s="8" t="s">
        <v>64</v>
      </c>
      <c r="C35" s="10">
        <v>508</v>
      </c>
      <c r="D35" s="10">
        <v>507</v>
      </c>
      <c r="E35" s="10">
        <f t="shared" si="2"/>
        <v>1015</v>
      </c>
      <c r="F35" s="10" t="s">
        <v>35</v>
      </c>
      <c r="G35" s="10">
        <f>1010+819+776+499+966+1008+1007+1010+1005+1008+1008+980+786+1014+1016+1015</f>
        <v>14927</v>
      </c>
      <c r="H35" s="10"/>
      <c r="I35" s="10"/>
      <c r="J35" s="36"/>
      <c r="K35" s="22"/>
      <c r="L35" s="10"/>
      <c r="M35" s="22"/>
    </row>
    <row r="36" s="1" customFormat="1" ht="25" customHeight="1" spans="1:13">
      <c r="A36" s="7">
        <v>8</v>
      </c>
      <c r="B36" s="8" t="s">
        <v>65</v>
      </c>
      <c r="C36" s="10">
        <v>0</v>
      </c>
      <c r="D36" s="10">
        <v>0</v>
      </c>
      <c r="E36" s="10">
        <f>C36+D36</f>
        <v>0</v>
      </c>
      <c r="F36" s="10" t="s">
        <v>35</v>
      </c>
      <c r="G36" s="10">
        <f>0+0+0+0+0+0+0+0+0+0+0+0+0+0+0+0</f>
        <v>0</v>
      </c>
      <c r="H36" s="22"/>
      <c r="I36" s="7">
        <v>487.5</v>
      </c>
      <c r="J36" s="14"/>
      <c r="K36" s="37"/>
      <c r="L36" s="27"/>
      <c r="M36" s="38"/>
    </row>
    <row r="37" s="1" customFormat="1" ht="25" customHeight="1" spans="1:13">
      <c r="A37" s="7">
        <v>9</v>
      </c>
      <c r="B37" s="8" t="s">
        <v>66</v>
      </c>
      <c r="C37" s="10">
        <v>0</v>
      </c>
      <c r="D37" s="10">
        <v>0</v>
      </c>
      <c r="E37" s="10">
        <f>C37+D37</f>
        <v>0</v>
      </c>
      <c r="F37" s="10" t="s">
        <v>35</v>
      </c>
      <c r="G37" s="10">
        <f>0+0+0+0+0+0+0+0+0+0+0+0+0+0+0+0</f>
        <v>0</v>
      </c>
      <c r="H37" s="22"/>
      <c r="I37" s="7">
        <v>84.2542</v>
      </c>
      <c r="J37" s="35"/>
      <c r="K37" s="37"/>
      <c r="L37" s="27"/>
      <c r="M37" s="38"/>
    </row>
    <row r="38" s="1" customFormat="1" ht="25" customHeight="1" spans="1:13">
      <c r="A38" s="7">
        <v>10</v>
      </c>
      <c r="B38" s="8" t="s">
        <v>67</v>
      </c>
      <c r="C38" s="7">
        <v>2</v>
      </c>
      <c r="D38" s="7">
        <v>2</v>
      </c>
      <c r="E38" s="10">
        <f>D38+C38</f>
        <v>4</v>
      </c>
      <c r="F38" s="10" t="s">
        <v>45</v>
      </c>
      <c r="G38" s="10">
        <f>0+0+2+0+0+0+2+0+3+4+2+2+4+6+3+4</f>
        <v>32</v>
      </c>
      <c r="H38" s="22"/>
      <c r="I38" s="10">
        <v>0</v>
      </c>
      <c r="J38" s="35"/>
      <c r="K38" s="27"/>
      <c r="L38" s="19" t="s">
        <v>68</v>
      </c>
      <c r="M38" s="7">
        <v>14</v>
      </c>
    </row>
    <row r="39" s="1" customFormat="1" ht="80" customHeight="1" spans="1:13">
      <c r="A39" s="7">
        <v>11</v>
      </c>
      <c r="B39" s="32" t="s">
        <v>55</v>
      </c>
      <c r="C39" s="27" t="s">
        <v>69</v>
      </c>
      <c r="D39" s="28"/>
      <c r="E39" s="28"/>
      <c r="F39" s="28"/>
      <c r="G39" s="28"/>
      <c r="H39" s="28"/>
      <c r="I39" s="28"/>
      <c r="J39" s="28"/>
      <c r="K39" s="28"/>
      <c r="L39" s="29"/>
      <c r="M39" s="32"/>
    </row>
    <row r="47" s="1" customFormat="1" spans="1:13">
      <c r="C47" s="33"/>
      <c r="D47" s="33"/>
      <c r="J47" s="34"/>
    </row>
    <row r="48" spans="1:13">
      <c r="L48" s="1"/>
    </row>
  </sheetData>
  <mergeCells count="9">
    <mergeCell ref="A1:M1"/>
    <mergeCell ref="C23:L23"/>
    <mergeCell ref="C24:L24"/>
    <mergeCell ref="C25:L25"/>
    <mergeCell ref="A27:M27"/>
    <mergeCell ref="C39:L39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zoomScale="85" zoomScaleNormal="85" topLeftCell="A12" workbookViewId="0">
      <selection activeCell="N21" sqref="N2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150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8" customHeight="1" spans="1:13">
      <c r="A3" s="7">
        <v>1</v>
      </c>
      <c r="B3" s="8" t="s">
        <v>13</v>
      </c>
      <c r="C3" s="9">
        <v>5</v>
      </c>
      <c r="D3" s="9">
        <v>7.5</v>
      </c>
      <c r="E3" s="10">
        <f t="shared" ref="E3:E12" si="0">C3+D3</f>
        <v>12.5</v>
      </c>
      <c r="F3" s="10" t="s">
        <v>14</v>
      </c>
      <c r="G3" s="10">
        <f>12+0+0+0+6+13+13+13+15+9+13+9+15+13.5+15.5+11+12.5</f>
        <v>170.5</v>
      </c>
      <c r="H3" s="10">
        <v>330</v>
      </c>
      <c r="I3" s="10">
        <f>H3-G3</f>
        <v>159.5</v>
      </c>
      <c r="J3" s="11"/>
      <c r="K3" s="10"/>
      <c r="L3" s="10"/>
      <c r="M3" s="10">
        <f>I3/13</f>
        <v>12.2692307692308</v>
      </c>
    </row>
    <row r="4" s="1" customFormat="1" ht="38" customHeight="1" spans="1:13">
      <c r="A4" s="12">
        <v>2</v>
      </c>
      <c r="B4" s="8" t="s">
        <v>18</v>
      </c>
      <c r="C4" s="9">
        <v>10</v>
      </c>
      <c r="D4" s="9"/>
      <c r="E4" s="10">
        <f t="shared" si="0"/>
        <v>10</v>
      </c>
      <c r="F4" s="10" t="s">
        <v>14</v>
      </c>
      <c r="G4" s="10">
        <f>12+8+0+0+0+6+14+12+14+14+10+12+10+14+14+16+10</f>
        <v>166</v>
      </c>
      <c r="H4" s="13"/>
      <c r="I4" s="13"/>
      <c r="J4" s="11"/>
      <c r="K4" s="10"/>
      <c r="L4" s="10"/>
      <c r="M4" s="10"/>
    </row>
    <row r="5" s="1" customFormat="1" ht="38" customHeight="1" spans="1:13">
      <c r="A5" s="12">
        <v>3</v>
      </c>
      <c r="B5" s="8" t="s">
        <v>21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65+0+0+0+0+0+0+0+0+0+0+0+0+0+0+0+0</f>
        <v>65</v>
      </c>
      <c r="H5" s="10">
        <v>4950</v>
      </c>
      <c r="I5" s="10">
        <f>H5-G5-G7-G6</f>
        <v>2510</v>
      </c>
      <c r="J5" s="14"/>
      <c r="K5" s="10"/>
      <c r="L5" s="10"/>
      <c r="M5" s="10"/>
    </row>
    <row r="6" s="1" customFormat="1" ht="38" customHeight="1" spans="1:13">
      <c r="A6" s="15"/>
      <c r="B6" s="8" t="s">
        <v>23</v>
      </c>
      <c r="C6" s="10">
        <v>83</v>
      </c>
      <c r="D6" s="10">
        <v>82</v>
      </c>
      <c r="E6" s="10">
        <f t="shared" si="0"/>
        <v>165</v>
      </c>
      <c r="F6" s="10" t="s">
        <v>14</v>
      </c>
      <c r="G6" s="10">
        <f>0+0+0+0+183+194+174+196+189+174+99+228+173+212+203+172+165</f>
        <v>2362</v>
      </c>
      <c r="H6" s="15"/>
      <c r="I6" s="15"/>
      <c r="J6" s="11"/>
      <c r="K6" s="10"/>
      <c r="L6" s="10"/>
      <c r="M6" s="16"/>
    </row>
    <row r="7" s="1" customFormat="1" ht="38" customHeight="1" spans="1:13">
      <c r="A7" s="15"/>
      <c r="B7" s="8" t="s">
        <v>25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0+0+0+8+1+0+0+0+0+0+0+3+0+0+1+0+0</f>
        <v>13</v>
      </c>
      <c r="H7" s="15"/>
      <c r="I7" s="15"/>
      <c r="J7" s="11"/>
      <c r="K7" s="10"/>
      <c r="L7" s="10"/>
      <c r="M7" s="10"/>
    </row>
    <row r="8" s="1" customFormat="1" ht="38" customHeight="1" spans="1:13">
      <c r="A8" s="15"/>
      <c r="B8" s="8" t="s">
        <v>27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0+0+0+0+0+0+0+0+0+0+0+0+0+0+0+0+0</f>
        <v>0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29</v>
      </c>
      <c r="C9" s="13">
        <v>31.28</v>
      </c>
      <c r="D9" s="13"/>
      <c r="E9" s="10">
        <f t="shared" si="0"/>
        <v>31.28</v>
      </c>
      <c r="F9" s="13" t="s">
        <v>14</v>
      </c>
      <c r="G9" s="10">
        <f>0+31.23+0+31.02+0+30.93+30.89+30.97+30.96+0+31.05+30.81+0+0+31.58+30.96+31.28</f>
        <v>341.68</v>
      </c>
      <c r="H9" s="13">
        <v>6.08</v>
      </c>
      <c r="I9" s="13">
        <f>H9-K10</f>
        <v>3.091641</v>
      </c>
      <c r="J9" s="19" t="s">
        <v>30</v>
      </c>
      <c r="K9" s="10">
        <v>120</v>
      </c>
      <c r="L9" s="10">
        <v>0.91</v>
      </c>
      <c r="M9" s="20"/>
    </row>
    <row r="10" s="1" customFormat="1" ht="25" customHeight="1" spans="1:13">
      <c r="A10" s="7">
        <v>5</v>
      </c>
      <c r="B10" s="8" t="s">
        <v>31</v>
      </c>
      <c r="C10" s="10">
        <v>6.291</v>
      </c>
      <c r="D10" s="10">
        <v>2.241</v>
      </c>
      <c r="E10" s="10">
        <f t="shared" si="0"/>
        <v>8.532</v>
      </c>
      <c r="F10" s="10" t="s">
        <v>14</v>
      </c>
      <c r="G10" s="10">
        <f>6.831+0+0+0+6.6555+7.614+14.958+12.744+10.611+5.832+10.314+9.369+6.1965+9.4635+9.1395+9.774+8.532</f>
        <v>128.034</v>
      </c>
      <c r="H10" s="10"/>
      <c r="I10" s="10">
        <f>G10/(G3*0.1865)</f>
        <v>4.026447996352</v>
      </c>
      <c r="J10" s="19" t="s">
        <v>32</v>
      </c>
      <c r="K10" s="20">
        <f>0+0.268578+0+0.257466+0+0.256719+0.253298+0.27873+0.281736+0+0.27945+0.271128+0+0+0.281062+0.275544+0.284648</f>
        <v>2.988359</v>
      </c>
      <c r="L10" s="10"/>
      <c r="M10" s="10">
        <f>C9*L9/100</f>
        <v>0.284648</v>
      </c>
    </row>
    <row r="11" s="1" customFormat="1" ht="25" customHeight="1" spans="1:13">
      <c r="A11" s="7">
        <v>6</v>
      </c>
      <c r="B11" s="8" t="s">
        <v>33</v>
      </c>
      <c r="C11" s="10">
        <v>14.2232</v>
      </c>
      <c r="D11" s="10">
        <v>0</v>
      </c>
      <c r="E11" s="10">
        <f t="shared" si="0"/>
        <v>14.2232</v>
      </c>
      <c r="F11" s="10" t="s">
        <v>14</v>
      </c>
      <c r="G11" s="10">
        <f>14.352+0+0+0+6.7344+17.5536+13.2664+17.664+16.56+14.6096+11.5+16.56+10.9848+11.6472+15.6216+16.2104+14.2232</f>
        <v>197.4872</v>
      </c>
      <c r="H11" s="10"/>
      <c r="I11" s="10">
        <f>G11/(G3*0.1865)</f>
        <v>6.21063108818882</v>
      </c>
      <c r="J11" s="11"/>
      <c r="K11" s="10"/>
      <c r="L11" s="10"/>
      <c r="M11" s="21"/>
    </row>
    <row r="12" s="1" customFormat="1" ht="25" customHeight="1" spans="1:13">
      <c r="A12" s="7">
        <v>7</v>
      </c>
      <c r="B12" s="8" t="s">
        <v>34</v>
      </c>
      <c r="C12" s="10">
        <v>207</v>
      </c>
      <c r="D12" s="10">
        <v>243</v>
      </c>
      <c r="E12" s="10">
        <f t="shared" si="0"/>
        <v>450</v>
      </c>
      <c r="F12" s="10" t="s">
        <v>35</v>
      </c>
      <c r="G12" s="10">
        <f>472+11+0+16+206+451+454+465+490+368+388+385+456+440+477+407+450</f>
        <v>5936</v>
      </c>
      <c r="H12" s="10">
        <f>G12*1.05</f>
        <v>6232.8</v>
      </c>
      <c r="I12" s="10"/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36</v>
      </c>
      <c r="C13" s="10">
        <v>136</v>
      </c>
      <c r="D13" s="10">
        <v>197</v>
      </c>
      <c r="E13" s="10">
        <f t="shared" ref="E13:E21" si="1">D13+C13</f>
        <v>333</v>
      </c>
      <c r="F13" s="10" t="s">
        <v>35</v>
      </c>
      <c r="G13" s="10">
        <f>372+0+0+0+195+420+417+363+467+242+386+282+393+382+374+341+333</f>
        <v>4967</v>
      </c>
      <c r="H13" s="10"/>
      <c r="I13" s="10"/>
      <c r="J13" s="14"/>
      <c r="K13" s="10"/>
      <c r="L13" s="10"/>
      <c r="M13" s="10"/>
    </row>
    <row r="14" s="1" customFormat="1" ht="25" customHeight="1" spans="1:13">
      <c r="A14" s="7">
        <v>9</v>
      </c>
      <c r="B14" s="8" t="s">
        <v>37</v>
      </c>
      <c r="C14" s="10">
        <v>385.82</v>
      </c>
      <c r="D14" s="10">
        <v>395.56</v>
      </c>
      <c r="E14" s="10">
        <f t="shared" si="1"/>
        <v>781.38</v>
      </c>
      <c r="F14" s="10" t="s">
        <v>35</v>
      </c>
      <c r="G14" s="10">
        <f>209.75+0+0+0+370.64+733.22+886.44+846.58+728.24+930.46+896.96+902.95+629.84+963.57+867.96+679.89+781.38</f>
        <v>10427.88</v>
      </c>
      <c r="H14" s="10"/>
      <c r="I14" s="10"/>
      <c r="J14" s="19" t="s">
        <v>38</v>
      </c>
      <c r="K14" s="10">
        <v>3.27</v>
      </c>
      <c r="L14" s="10">
        <v>3.24</v>
      </c>
      <c r="M14" s="10"/>
    </row>
    <row r="15" s="1" customFormat="1" ht="25" customHeight="1" spans="1:13">
      <c r="A15" s="7">
        <v>10</v>
      </c>
      <c r="B15" s="8" t="s">
        <v>39</v>
      </c>
      <c r="C15" s="10">
        <v>15</v>
      </c>
      <c r="D15" s="10">
        <v>15</v>
      </c>
      <c r="E15" s="10">
        <f t="shared" si="1"/>
        <v>30</v>
      </c>
      <c r="F15" s="10" t="s">
        <v>14</v>
      </c>
      <c r="G15" s="10">
        <f>24+0+0+0+21+27+33+30+33+21+30+21+33+30+33+27+30</f>
        <v>393</v>
      </c>
      <c r="H15" s="10"/>
      <c r="I15" s="10">
        <f>G15/(G3*0.1865)</f>
        <v>12.3591707090799</v>
      </c>
      <c r="J15" s="19" t="s">
        <v>40</v>
      </c>
      <c r="K15" s="20">
        <f>0.641835+0+0+0+1.0970944+2.2635878+2.9007565+2.4932712+2.1651567+2.7262642+2.5433786+2.6076891+1.9524176+3.0179391+2.7017752+2.2869365+2.5432458</f>
        <v>31.9413477</v>
      </c>
      <c r="L15" s="10"/>
      <c r="M15" s="10">
        <f>(C14*K14+L14*D14)/1000</f>
        <v>2.5432458</v>
      </c>
    </row>
    <row r="16" s="1" customFormat="1" ht="25" customHeight="1" spans="1:13">
      <c r="A16" s="7">
        <v>11</v>
      </c>
      <c r="B16" s="8" t="s">
        <v>41</v>
      </c>
      <c r="C16" s="7">
        <v>0.0375</v>
      </c>
      <c r="D16" s="7">
        <v>0</v>
      </c>
      <c r="E16" s="10">
        <f t="shared" si="1"/>
        <v>0.0375</v>
      </c>
      <c r="F16" s="10" t="s">
        <v>14</v>
      </c>
      <c r="G16" s="10">
        <f>0+0+0+0+0+0.0875+0+0.075+0+0.0875+0.0375+0.0375+0+0+0.0375+0.0375+0.0375</f>
        <v>0.4375</v>
      </c>
      <c r="H16" s="22"/>
      <c r="I16" s="22"/>
      <c r="J16" s="11"/>
      <c r="K16" s="22"/>
      <c r="L16" s="22"/>
      <c r="M16" s="10"/>
    </row>
    <row r="17" s="1" customFormat="1" ht="25" customHeight="1" spans="1:13">
      <c r="A17" s="12">
        <v>12</v>
      </c>
      <c r="B17" s="8" t="s">
        <v>42</v>
      </c>
      <c r="C17" s="10">
        <v>2</v>
      </c>
      <c r="D17" s="7">
        <v>0</v>
      </c>
      <c r="E17" s="10">
        <f t="shared" si="1"/>
        <v>2</v>
      </c>
      <c r="F17" s="10" t="s">
        <v>14</v>
      </c>
      <c r="G17" s="10">
        <f>2+0+0+0+0+2+0+2+0+2+2+0+2+0+2+0+2</f>
        <v>16</v>
      </c>
      <c r="H17" s="22"/>
      <c r="I17" s="10">
        <f>G17/(G3*0.1865)</f>
        <v>0.503172344390021</v>
      </c>
      <c r="J17" s="11"/>
      <c r="K17" s="22"/>
      <c r="L17" s="22"/>
      <c r="M17" s="10"/>
    </row>
    <row r="18" s="1" customFormat="1" ht="25" customHeight="1" spans="1:13">
      <c r="A18" s="7">
        <v>13</v>
      </c>
      <c r="B18" s="8" t="s">
        <v>43</v>
      </c>
      <c r="C18" s="10">
        <v>2</v>
      </c>
      <c r="D18" s="7">
        <v>0</v>
      </c>
      <c r="E18" s="10">
        <f t="shared" si="1"/>
        <v>2</v>
      </c>
      <c r="F18" s="10" t="s">
        <v>14</v>
      </c>
      <c r="G18" s="10">
        <f>2+0+0+0+0+2+0+2+0+2+2+0+2+0+2+0+2</f>
        <v>16</v>
      </c>
      <c r="H18" s="22"/>
      <c r="I18" s="10">
        <f>G18/(G3*0.1865)</f>
        <v>0.503172344390021</v>
      </c>
      <c r="J18" s="11"/>
      <c r="K18" s="22"/>
      <c r="L18" s="22"/>
      <c r="M18" s="10"/>
    </row>
    <row r="19" s="1" customFormat="1" ht="25" customHeight="1" spans="1:13">
      <c r="A19" s="7">
        <v>14</v>
      </c>
      <c r="B19" s="8" t="s">
        <v>44</v>
      </c>
      <c r="C19" s="10">
        <v>3</v>
      </c>
      <c r="D19" s="7">
        <v>5</v>
      </c>
      <c r="E19" s="10">
        <f t="shared" si="1"/>
        <v>8</v>
      </c>
      <c r="F19" s="10" t="s">
        <v>45</v>
      </c>
      <c r="G19" s="10">
        <f>5+0+0+0+3+7+8+6+7+7+7+6+8+5+12+4+8</f>
        <v>93</v>
      </c>
      <c r="H19" s="22"/>
      <c r="I19" s="22"/>
      <c r="J19" s="11"/>
      <c r="K19" s="22"/>
      <c r="L19" s="22"/>
      <c r="M19" s="10"/>
    </row>
    <row r="20" s="1" customFormat="1" ht="25" customHeight="1" spans="1:13">
      <c r="A20" s="7">
        <v>15</v>
      </c>
      <c r="B20" s="8" t="s">
        <v>46</v>
      </c>
      <c r="C20" s="7">
        <v>541</v>
      </c>
      <c r="D20" s="7">
        <v>515</v>
      </c>
      <c r="E20" s="10">
        <f t="shared" si="1"/>
        <v>1056</v>
      </c>
      <c r="F20" s="10" t="s">
        <v>35</v>
      </c>
      <c r="G20" s="10">
        <f>507+0+0+339+1006+1051+1056+1200+1113+1132+810+1370+1187+1194+1246+1098+1056</f>
        <v>15365</v>
      </c>
      <c r="H20" s="23"/>
      <c r="I20" s="10">
        <f>E20/M20</f>
        <v>44</v>
      </c>
      <c r="J20" s="19" t="s">
        <v>47</v>
      </c>
      <c r="K20" s="10">
        <f>7.5+0+0+6+24+24+24+24+24+24+15.5+24+24+24+24+24+24</f>
        <v>317</v>
      </c>
      <c r="L20" s="10">
        <f>G20/K20</f>
        <v>48.4700315457413</v>
      </c>
      <c r="M20" s="10">
        <v>24</v>
      </c>
    </row>
    <row r="21" s="1" customFormat="1" ht="25" customHeight="1" spans="1:13">
      <c r="A21" s="12">
        <v>16</v>
      </c>
      <c r="B21" s="8" t="s">
        <v>48</v>
      </c>
      <c r="C21" s="7">
        <v>680</v>
      </c>
      <c r="D21" s="7">
        <v>686</v>
      </c>
      <c r="E21" s="10">
        <f t="shared" si="1"/>
        <v>1366</v>
      </c>
      <c r="F21" s="10" t="s">
        <v>35</v>
      </c>
      <c r="G21" s="10">
        <f>547+0+0+662+1124+1392+1384+1483+1450+1339+986+1680+1486+1500+1565+1326+1366</f>
        <v>19290</v>
      </c>
      <c r="H21" s="22"/>
      <c r="I21" s="10">
        <f>E21/M20</f>
        <v>56.9166666666667</v>
      </c>
      <c r="J21" s="11"/>
      <c r="K21" s="22"/>
      <c r="L21" s="22"/>
      <c r="M21" s="10"/>
    </row>
    <row r="22" s="1" customFormat="1" ht="25" customHeight="1" spans="1:13">
      <c r="A22" s="7">
        <v>17</v>
      </c>
      <c r="B22" s="8" t="s">
        <v>49</v>
      </c>
      <c r="C22" s="12">
        <v>24.13</v>
      </c>
      <c r="D22" s="12">
        <v>29.49</v>
      </c>
      <c r="E22" s="13"/>
      <c r="F22" s="13" t="s">
        <v>50</v>
      </c>
      <c r="G22" s="13"/>
      <c r="H22" s="24"/>
      <c r="I22" s="24"/>
      <c r="J22" s="25"/>
      <c r="K22" s="24"/>
      <c r="L22" s="24"/>
      <c r="M22" s="10"/>
    </row>
    <row r="23" s="1" customFormat="1" ht="32" customHeight="1" spans="1:13">
      <c r="A23" s="7">
        <v>18</v>
      </c>
      <c r="B23" s="31" t="s">
        <v>151</v>
      </c>
      <c r="C23" s="27" t="s">
        <v>152</v>
      </c>
      <c r="D23" s="28"/>
      <c r="E23" s="28"/>
      <c r="F23" s="28"/>
      <c r="G23" s="28"/>
      <c r="H23" s="28"/>
      <c r="I23" s="28"/>
      <c r="J23" s="28"/>
      <c r="K23" s="28"/>
      <c r="L23" s="29"/>
      <c r="M23" s="30" t="s">
        <v>73</v>
      </c>
    </row>
    <row r="24" s="1" customFormat="1" ht="32" customHeight="1" spans="1:13">
      <c r="A24" s="7">
        <v>19</v>
      </c>
      <c r="B24" s="31" t="s">
        <v>153</v>
      </c>
      <c r="C24" s="27" t="s">
        <v>147</v>
      </c>
      <c r="D24" s="28"/>
      <c r="E24" s="28"/>
      <c r="F24" s="28"/>
      <c r="G24" s="28"/>
      <c r="H24" s="28"/>
      <c r="I24" s="28"/>
      <c r="J24" s="28"/>
      <c r="K24" s="28"/>
      <c r="L24" s="29"/>
      <c r="M24" s="30" t="s">
        <v>20</v>
      </c>
    </row>
    <row r="25" s="1" customFormat="1" ht="80" customHeight="1" spans="1:13">
      <c r="A25" s="7">
        <v>20</v>
      </c>
      <c r="B25" s="31" t="s">
        <v>55</v>
      </c>
      <c r="C25" s="27" t="s">
        <v>129</v>
      </c>
      <c r="D25" s="28"/>
      <c r="E25" s="28"/>
      <c r="F25" s="28"/>
      <c r="G25" s="28"/>
      <c r="H25" s="28"/>
      <c r="I25" s="28"/>
      <c r="J25" s="28"/>
      <c r="K25" s="28"/>
      <c r="L25" s="29"/>
      <c r="M25" s="39"/>
    </row>
    <row r="26" s="1" customFormat="1" ht="14" customHeight="1" spans="1:13">
      <c r="C26" s="33"/>
      <c r="D26" s="33"/>
      <c r="J26" s="34"/>
    </row>
    <row r="27" s="1" customFormat="1" ht="45" customHeight="1" spans="1:13">
      <c r="A27" s="5" t="s">
        <v>154</v>
      </c>
    </row>
    <row r="28" s="1" customFormat="1" ht="30" customHeight="1" spans="1:13">
      <c r="A28" s="6" t="s">
        <v>58</v>
      </c>
      <c r="B28" s="6" t="s">
        <v>59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7">
        <v>1</v>
      </c>
      <c r="B29" s="8" t="s">
        <v>60</v>
      </c>
      <c r="C29" s="10">
        <v>0</v>
      </c>
      <c r="D29" s="10">
        <v>0</v>
      </c>
      <c r="E29" s="10">
        <f t="shared" ref="E29:E35" si="2">D29+C29</f>
        <v>0</v>
      </c>
      <c r="F29" s="10" t="s">
        <v>35</v>
      </c>
      <c r="G29" s="10">
        <f>0+0+0+0+0+0+0+0+0+0+0+0+0+0+0+0+0</f>
        <v>0</v>
      </c>
      <c r="H29" s="10"/>
      <c r="I29" s="10"/>
      <c r="J29" s="11"/>
      <c r="K29" s="22"/>
      <c r="L29" s="22"/>
      <c r="M29" s="10"/>
    </row>
    <row r="30" s="1" customFormat="1" ht="25" customHeight="1" spans="1:13">
      <c r="A30" s="7">
        <v>2</v>
      </c>
      <c r="B30" s="8" t="s">
        <v>61</v>
      </c>
      <c r="C30" s="10">
        <v>8.33</v>
      </c>
      <c r="D30" s="10">
        <v>8.32</v>
      </c>
      <c r="E30" s="10">
        <f t="shared" si="2"/>
        <v>16.65</v>
      </c>
      <c r="F30" s="10" t="s">
        <v>35</v>
      </c>
      <c r="G30" s="10">
        <f>0+0+0+0+0+0+12.6+12.59+14.7+16.7+8.28+16.61+16.56+16.62+16.74+16.66+16.65</f>
        <v>164.71</v>
      </c>
      <c r="H30" s="10"/>
      <c r="I30" s="10"/>
      <c r="J30" s="11"/>
      <c r="K30" s="22"/>
      <c r="L30" s="22"/>
      <c r="M30" s="21"/>
    </row>
    <row r="31" s="1" customFormat="1" ht="25" customHeight="1" spans="1:13">
      <c r="A31" s="7">
        <v>3</v>
      </c>
      <c r="B31" s="8" t="s">
        <v>62</v>
      </c>
      <c r="C31" s="10">
        <v>14</v>
      </c>
      <c r="D31" s="10">
        <v>15</v>
      </c>
      <c r="E31" s="10">
        <f t="shared" si="2"/>
        <v>29</v>
      </c>
      <c r="F31" s="10" t="s">
        <v>35</v>
      </c>
      <c r="G31" s="10">
        <f>9+33+13+24+43.31+38+19+17+26+16+38+42.27+10+19+38+8+29</f>
        <v>422.58</v>
      </c>
      <c r="H31" s="10"/>
      <c r="I31" s="10"/>
      <c r="J31" s="11"/>
      <c r="K31" s="22"/>
      <c r="L31" s="22"/>
      <c r="M31" s="21"/>
    </row>
    <row r="32" s="1" customFormat="1" ht="25" customHeight="1" spans="1:13">
      <c r="A32" s="7">
        <v>4</v>
      </c>
      <c r="B32" s="8" t="s">
        <v>31</v>
      </c>
      <c r="C32" s="10">
        <v>16.2675</v>
      </c>
      <c r="D32" s="10">
        <v>0</v>
      </c>
      <c r="E32" s="10">
        <f t="shared" si="2"/>
        <v>16.2675</v>
      </c>
      <c r="F32" s="10" t="s">
        <v>14</v>
      </c>
      <c r="G32" s="10">
        <f>0+0+0+0+0+0+0+0+8.1945+5.4135+14.796+0+12.3255+0+9.1665+5.94+16.2675</f>
        <v>72.1035</v>
      </c>
      <c r="H32" s="10"/>
      <c r="J32" s="11"/>
      <c r="K32" s="22"/>
      <c r="L32" s="22"/>
      <c r="M32" s="22"/>
    </row>
    <row r="33" s="1" customFormat="1" ht="25" customHeight="1" spans="1:13">
      <c r="A33" s="7">
        <v>5</v>
      </c>
      <c r="B33" s="8" t="s">
        <v>33</v>
      </c>
      <c r="C33" s="10">
        <v>0</v>
      </c>
      <c r="D33" s="10">
        <v>0</v>
      </c>
      <c r="E33" s="10">
        <f t="shared" si="2"/>
        <v>0</v>
      </c>
      <c r="F33" s="10" t="s">
        <v>14</v>
      </c>
      <c r="G33" s="10">
        <f>0+0+0+0+0+0+0+0+0+0+0+0+0+0+0+0+0</f>
        <v>0</v>
      </c>
      <c r="H33" s="10"/>
      <c r="I33" s="10"/>
      <c r="J33" s="14"/>
      <c r="K33" s="22"/>
      <c r="L33" s="22"/>
      <c r="M33" s="22"/>
    </row>
    <row r="34" s="1" customFormat="1" ht="25" customHeight="1" spans="1:13">
      <c r="A34" s="7">
        <v>6</v>
      </c>
      <c r="B34" s="8" t="s">
        <v>63</v>
      </c>
      <c r="C34" s="10">
        <v>0</v>
      </c>
      <c r="D34" s="10">
        <v>145</v>
      </c>
      <c r="E34" s="10">
        <f t="shared" si="2"/>
        <v>145</v>
      </c>
      <c r="F34" s="10" t="s">
        <v>35</v>
      </c>
      <c r="G34" s="10">
        <f>580+604+307+408+430+215+238+250+321+330+333+338+268+307+272+0+145</f>
        <v>5346</v>
      </c>
      <c r="H34" s="10"/>
      <c r="I34" s="10"/>
      <c r="J34" s="35"/>
      <c r="K34" s="22"/>
      <c r="L34" s="10"/>
      <c r="M34" s="22"/>
    </row>
    <row r="35" s="1" customFormat="1" ht="25" customHeight="1" spans="1:13">
      <c r="A35" s="7">
        <v>7</v>
      </c>
      <c r="B35" s="8" t="s">
        <v>64</v>
      </c>
      <c r="C35" s="10">
        <v>508</v>
      </c>
      <c r="D35" s="10">
        <v>507</v>
      </c>
      <c r="E35" s="10">
        <f t="shared" si="2"/>
        <v>1015</v>
      </c>
      <c r="F35" s="10" t="s">
        <v>35</v>
      </c>
      <c r="G35" s="10">
        <f>1010+819+776+499+966+1008+1007+1010+1005+1008+1008+980+786+1014+1016+1015+1015</f>
        <v>15942</v>
      </c>
      <c r="H35" s="10"/>
      <c r="I35" s="10"/>
      <c r="J35" s="36"/>
      <c r="K35" s="22"/>
      <c r="L35" s="10"/>
      <c r="M35" s="22"/>
    </row>
    <row r="36" s="1" customFormat="1" ht="25" customHeight="1" spans="1:13">
      <c r="A36" s="7">
        <v>8</v>
      </c>
      <c r="B36" s="8" t="s">
        <v>65</v>
      </c>
      <c r="C36" s="10">
        <v>0</v>
      </c>
      <c r="D36" s="10">
        <v>0</v>
      </c>
      <c r="E36" s="10">
        <f>C36+D36</f>
        <v>0</v>
      </c>
      <c r="F36" s="10" t="s">
        <v>35</v>
      </c>
      <c r="G36" s="10">
        <f>0+0+0+0+0+0+0+0+0+0+0+0+0+0+0+0+0</f>
        <v>0</v>
      </c>
      <c r="H36" s="22"/>
      <c r="I36" s="7">
        <v>0</v>
      </c>
      <c r="J36" s="14"/>
      <c r="K36" s="37"/>
      <c r="L36" s="27"/>
      <c r="M36" s="38"/>
    </row>
    <row r="37" s="1" customFormat="1" ht="25" customHeight="1" spans="1:13">
      <c r="A37" s="7">
        <v>9</v>
      </c>
      <c r="B37" s="8" t="s">
        <v>66</v>
      </c>
      <c r="C37" s="10">
        <v>0</v>
      </c>
      <c r="D37" s="10">
        <v>0</v>
      </c>
      <c r="E37" s="10">
        <f>C37+D37</f>
        <v>0</v>
      </c>
      <c r="F37" s="10" t="s">
        <v>35</v>
      </c>
      <c r="G37" s="10">
        <f>0+0+0+0+0+0+0+0+0+0+0+0+0+0+0+0+0</f>
        <v>0</v>
      </c>
      <c r="H37" s="22"/>
      <c r="I37" s="7">
        <v>84.2542</v>
      </c>
      <c r="J37" s="35"/>
      <c r="K37" s="37"/>
      <c r="L37" s="27"/>
      <c r="M37" s="38"/>
    </row>
    <row r="38" s="1" customFormat="1" ht="25" customHeight="1" spans="1:13">
      <c r="A38" s="7">
        <v>10</v>
      </c>
      <c r="B38" s="8" t="s">
        <v>67</v>
      </c>
      <c r="C38" s="7">
        <v>2</v>
      </c>
      <c r="D38" s="7">
        <v>2</v>
      </c>
      <c r="E38" s="10">
        <f>D38+C38</f>
        <v>4</v>
      </c>
      <c r="F38" s="10" t="s">
        <v>45</v>
      </c>
      <c r="G38" s="10">
        <f>0+0+2+0+0+0+2+0+3+4+2+2+4+6+3+4+4</f>
        <v>36</v>
      </c>
      <c r="H38" s="22"/>
      <c r="I38" s="10">
        <v>0</v>
      </c>
      <c r="J38" s="35"/>
      <c r="K38" s="27"/>
      <c r="L38" s="19" t="s">
        <v>68</v>
      </c>
      <c r="M38" s="7">
        <v>8</v>
      </c>
    </row>
    <row r="39" s="1" customFormat="1" ht="80" customHeight="1" spans="1:13">
      <c r="A39" s="7">
        <v>11</v>
      </c>
      <c r="B39" s="32" t="s">
        <v>55</v>
      </c>
      <c r="C39" s="27" t="s">
        <v>69</v>
      </c>
      <c r="D39" s="28"/>
      <c r="E39" s="28"/>
      <c r="F39" s="28"/>
      <c r="G39" s="28"/>
      <c r="H39" s="28"/>
      <c r="I39" s="28"/>
      <c r="J39" s="28"/>
      <c r="K39" s="28"/>
      <c r="L39" s="29"/>
      <c r="M39" s="32"/>
    </row>
    <row r="47" s="1" customFormat="1" spans="1:13">
      <c r="C47" s="33"/>
      <c r="D47" s="33"/>
      <c r="J47" s="34"/>
    </row>
    <row r="48" spans="1:13">
      <c r="L48" s="1"/>
    </row>
  </sheetData>
  <mergeCells count="9">
    <mergeCell ref="A1:M1"/>
    <mergeCell ref="C23:L23"/>
    <mergeCell ref="C24:L24"/>
    <mergeCell ref="C25:L25"/>
    <mergeCell ref="A27:M27"/>
    <mergeCell ref="C39:L39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zoomScale="85" zoomScaleNormal="85" workbookViewId="0">
      <selection activeCell="N1" sqref="N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155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8" customHeight="1" spans="1:13">
      <c r="A3" s="7">
        <v>1</v>
      </c>
      <c r="B3" s="8" t="s">
        <v>13</v>
      </c>
      <c r="C3" s="9">
        <v>6.5</v>
      </c>
      <c r="D3" s="9">
        <v>5.5</v>
      </c>
      <c r="E3" s="10">
        <f t="shared" ref="E3:E12" si="0">C3+D3</f>
        <v>12</v>
      </c>
      <c r="F3" s="10" t="s">
        <v>14</v>
      </c>
      <c r="G3" s="10">
        <f>12+0+0+0+6+13+13+13+15+9+13+9+15+13.5+15.5+11+12.5+12</f>
        <v>182.5</v>
      </c>
      <c r="H3" s="10">
        <v>330</v>
      </c>
      <c r="I3" s="10">
        <f>H3-G3</f>
        <v>147.5</v>
      </c>
      <c r="J3" s="11"/>
      <c r="K3" s="10"/>
      <c r="L3" s="10"/>
      <c r="M3" s="10">
        <f>I3/12</f>
        <v>12.2916666666667</v>
      </c>
    </row>
    <row r="4" s="1" customFormat="1" ht="38" customHeight="1" spans="1:13">
      <c r="A4" s="12">
        <v>2</v>
      </c>
      <c r="B4" s="8" t="s">
        <v>18</v>
      </c>
      <c r="C4" s="9">
        <v>14</v>
      </c>
      <c r="D4" s="9"/>
      <c r="E4" s="10">
        <f t="shared" si="0"/>
        <v>14</v>
      </c>
      <c r="F4" s="10" t="s">
        <v>14</v>
      </c>
      <c r="G4" s="10">
        <f>12+8+0+0+0+6+14+12+14+14+10+12+10+14+14+16+10+14</f>
        <v>180</v>
      </c>
      <c r="H4" s="13"/>
      <c r="I4" s="13"/>
      <c r="J4" s="11"/>
      <c r="K4" s="10"/>
      <c r="L4" s="10"/>
      <c r="M4" s="10"/>
    </row>
    <row r="5" s="1" customFormat="1" ht="38" customHeight="1" spans="1:13">
      <c r="A5" s="12">
        <v>3</v>
      </c>
      <c r="B5" s="8" t="s">
        <v>21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65+0+0+0+0+0+0+0+0+0+0+0+0+0+0+0+0+0</f>
        <v>65</v>
      </c>
      <c r="H5" s="10">
        <v>4950</v>
      </c>
      <c r="I5" s="10">
        <f>H5-G5-G7-G6</f>
        <v>2446</v>
      </c>
      <c r="J5" s="14"/>
      <c r="K5" s="10"/>
      <c r="L5" s="10"/>
      <c r="M5" s="10"/>
    </row>
    <row r="6" s="1" customFormat="1" ht="38" customHeight="1" spans="1:13">
      <c r="A6" s="15"/>
      <c r="B6" s="8" t="s">
        <v>23</v>
      </c>
      <c r="C6" s="10">
        <v>27</v>
      </c>
      <c r="D6" s="10">
        <v>37</v>
      </c>
      <c r="E6" s="10">
        <f t="shared" si="0"/>
        <v>64</v>
      </c>
      <c r="F6" s="10" t="s">
        <v>14</v>
      </c>
      <c r="G6" s="10">
        <f>0+0+0+0+183+194+174+196+189+174+99+228+173+212+203+172+165+64</f>
        <v>2426</v>
      </c>
      <c r="H6" s="15"/>
      <c r="I6" s="15"/>
      <c r="J6" s="11"/>
      <c r="K6" s="10"/>
      <c r="L6" s="10"/>
      <c r="M6" s="16"/>
    </row>
    <row r="7" s="1" customFormat="1" ht="38" customHeight="1" spans="1:13">
      <c r="A7" s="15"/>
      <c r="B7" s="8" t="s">
        <v>25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0+0+0+8+1+0+0+0+0+0+0+3+0+0+1+0+0+0</f>
        <v>13</v>
      </c>
      <c r="H7" s="15"/>
      <c r="I7" s="15"/>
      <c r="J7" s="11"/>
      <c r="K7" s="10"/>
      <c r="L7" s="10"/>
      <c r="M7" s="10"/>
    </row>
    <row r="8" s="1" customFormat="1" ht="38" customHeight="1" spans="1:13">
      <c r="A8" s="15"/>
      <c r="B8" s="8" t="s">
        <v>27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0+0+0+0+0+0+0+0+0+0+0+0+0+0+0+0+0+0</f>
        <v>0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29</v>
      </c>
      <c r="C9" s="13">
        <v>0</v>
      </c>
      <c r="D9" s="13"/>
      <c r="E9" s="10">
        <f t="shared" si="0"/>
        <v>0</v>
      </c>
      <c r="F9" s="13" t="s">
        <v>14</v>
      </c>
      <c r="G9" s="10">
        <f>0+31.23+0+31.02+0+30.93+30.89+30.97+30.96+0+31.05+30.81+0+0+31.58+30.96+31.28+0</f>
        <v>341.68</v>
      </c>
      <c r="H9" s="13">
        <v>6.08</v>
      </c>
      <c r="I9" s="13">
        <f>H9-K10</f>
        <v>3.091641</v>
      </c>
      <c r="J9" s="19" t="s">
        <v>30</v>
      </c>
      <c r="K9" s="10">
        <v>120</v>
      </c>
      <c r="L9" s="10">
        <v>0</v>
      </c>
      <c r="M9" s="20"/>
    </row>
    <row r="10" s="1" customFormat="1" ht="25" customHeight="1" spans="1:13">
      <c r="A10" s="7">
        <v>5</v>
      </c>
      <c r="B10" s="8" t="s">
        <v>31</v>
      </c>
      <c r="C10" s="10">
        <v>7.128</v>
      </c>
      <c r="D10" s="10">
        <v>0</v>
      </c>
      <c r="E10" s="10">
        <f t="shared" si="0"/>
        <v>7.128</v>
      </c>
      <c r="F10" s="10" t="s">
        <v>14</v>
      </c>
      <c r="G10" s="10">
        <f>6.831+0+0+0+6.6555+7.614+14.958+12.744+10.611+5.832+10.314+9.369+6.1965+9.4635+9.1395+9.774+8.532+7.128</f>
        <v>135.162</v>
      </c>
      <c r="H10" s="10"/>
      <c r="I10" s="10">
        <f>G10/(G3*0.1865)</f>
        <v>3.97111902750744</v>
      </c>
      <c r="J10" s="19" t="s">
        <v>32</v>
      </c>
      <c r="K10" s="20">
        <f>0+0.268578+0+0.257466+0+0.256719+0.253298+0.27873+0.281736+0+0.27945+0.271128+0+0+0.281062+0.275544+0.284648+0</f>
        <v>2.988359</v>
      </c>
      <c r="L10" s="10"/>
      <c r="M10" s="10">
        <f>C9*L9/100</f>
        <v>0</v>
      </c>
    </row>
    <row r="11" s="1" customFormat="1" ht="25" customHeight="1" spans="1:13">
      <c r="A11" s="7">
        <v>6</v>
      </c>
      <c r="B11" s="8" t="s">
        <v>33</v>
      </c>
      <c r="C11" s="10">
        <v>14.4808</v>
      </c>
      <c r="D11" s="10">
        <v>0</v>
      </c>
      <c r="E11" s="10">
        <f t="shared" si="0"/>
        <v>14.4808</v>
      </c>
      <c r="F11" s="10" t="s">
        <v>14</v>
      </c>
      <c r="G11" s="10">
        <f>14.352+0+0+0+6.7344+17.5536+13.2664+17.664+16.56+14.6096+11.5+16.56+10.9848+11.6472+15.6216+16.2104+14.2232+14.4808</f>
        <v>211.968</v>
      </c>
      <c r="H11" s="10"/>
      <c r="I11" s="10">
        <f>G11/(G3*0.1865)</f>
        <v>6.22771310000367</v>
      </c>
      <c r="J11" s="11"/>
      <c r="K11" s="10"/>
      <c r="L11" s="10"/>
      <c r="M11" s="21"/>
    </row>
    <row r="12" s="1" customFormat="1" ht="25" customHeight="1" spans="1:13">
      <c r="A12" s="7">
        <v>7</v>
      </c>
      <c r="B12" s="8" t="s">
        <v>34</v>
      </c>
      <c r="C12" s="10">
        <v>305</v>
      </c>
      <c r="D12" s="10">
        <v>12</v>
      </c>
      <c r="E12" s="10">
        <f t="shared" si="0"/>
        <v>317</v>
      </c>
      <c r="F12" s="10" t="s">
        <v>35</v>
      </c>
      <c r="G12" s="10">
        <f>472+11+0+16+206+451+454+465+490+368+388+385+456+440+477+407+450+317</f>
        <v>6253</v>
      </c>
      <c r="H12" s="10">
        <f>G12*1.05</f>
        <v>6565.65</v>
      </c>
      <c r="I12" s="10"/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36</v>
      </c>
      <c r="C13" s="10">
        <v>289</v>
      </c>
      <c r="D13" s="10">
        <v>23</v>
      </c>
      <c r="E13" s="10">
        <f t="shared" ref="E13:E21" si="1">D13+C13</f>
        <v>312</v>
      </c>
      <c r="F13" s="10" t="s">
        <v>35</v>
      </c>
      <c r="G13" s="10">
        <f>372+0+0+0+195+420+417+363+467+242+386+282+393+382+374+341+333+312</f>
        <v>5279</v>
      </c>
      <c r="H13" s="10"/>
      <c r="I13" s="10"/>
      <c r="J13" s="14"/>
      <c r="K13" s="10"/>
      <c r="L13" s="10"/>
      <c r="M13" s="10"/>
    </row>
    <row r="14" s="1" customFormat="1" ht="25" customHeight="1" spans="1:13">
      <c r="A14" s="7">
        <v>9</v>
      </c>
      <c r="B14" s="8" t="s">
        <v>37</v>
      </c>
      <c r="C14" s="10">
        <v>227.01</v>
      </c>
      <c r="D14" s="10">
        <v>407.76</v>
      </c>
      <c r="E14" s="10">
        <f t="shared" si="1"/>
        <v>634.77</v>
      </c>
      <c r="F14" s="10" t="s">
        <v>35</v>
      </c>
      <c r="G14" s="10">
        <f>209.75+0+0+0+370.64+733.22+886.44+846.58+728.24+930.46+896.96+902.95+629.84+963.57+867.96+679.89+781.38+634.77</f>
        <v>11062.65</v>
      </c>
      <c r="H14" s="10"/>
      <c r="I14" s="10"/>
      <c r="J14" s="19" t="s">
        <v>38</v>
      </c>
      <c r="K14" s="10">
        <v>3.32</v>
      </c>
      <c r="L14" s="10">
        <v>3.13</v>
      </c>
      <c r="M14" s="10"/>
    </row>
    <row r="15" s="1" customFormat="1" ht="25" customHeight="1" spans="1:13">
      <c r="A15" s="7">
        <v>10</v>
      </c>
      <c r="B15" s="8" t="s">
        <v>39</v>
      </c>
      <c r="C15" s="10">
        <v>21</v>
      </c>
      <c r="D15" s="10">
        <v>3</v>
      </c>
      <c r="E15" s="10">
        <f t="shared" si="1"/>
        <v>24</v>
      </c>
      <c r="F15" s="10" t="s">
        <v>14</v>
      </c>
      <c r="G15" s="10">
        <f>24+0+0+0+21+27+33+30+33+21+30+21+33+30+33+27+30+24</f>
        <v>417</v>
      </c>
      <c r="H15" s="10"/>
      <c r="I15" s="10">
        <f>G15/(G3*0.1865)</f>
        <v>12.2516434683609</v>
      </c>
      <c r="J15" s="19" t="s">
        <v>40</v>
      </c>
      <c r="K15" s="20">
        <f>0.641835+0+0+0+1.0970944+2.2635878+2.9007565+2.4932712+2.1651567+2.7262642+2.5433786+2.6076891+1.9524176+3.0179391+2.7017752+2.2869365+2.5432458+2.029962</f>
        <v>33.9713097</v>
      </c>
      <c r="L15" s="10"/>
      <c r="M15" s="10">
        <f>(C14*K14+L14*D14)/1000</f>
        <v>2.029962</v>
      </c>
    </row>
    <row r="16" s="1" customFormat="1" ht="25" customHeight="1" spans="1:13">
      <c r="A16" s="7">
        <v>11</v>
      </c>
      <c r="B16" s="8" t="s">
        <v>41</v>
      </c>
      <c r="C16" s="7">
        <v>0</v>
      </c>
      <c r="D16" s="7">
        <v>0</v>
      </c>
      <c r="E16" s="10">
        <f t="shared" si="1"/>
        <v>0</v>
      </c>
      <c r="F16" s="10" t="s">
        <v>14</v>
      </c>
      <c r="G16" s="10">
        <f>0+0+0+0+0+0.0875+0+0.075+0+0.0875+0.0375+0.0375+0+0+0.0375+0.0375+0.0375+0</f>
        <v>0.4375</v>
      </c>
      <c r="H16" s="22"/>
      <c r="I16" s="22"/>
      <c r="J16" s="11"/>
      <c r="K16" s="22"/>
      <c r="L16" s="22"/>
      <c r="M16" s="10"/>
    </row>
    <row r="17" s="1" customFormat="1" ht="25" customHeight="1" spans="1:13">
      <c r="A17" s="12">
        <v>12</v>
      </c>
      <c r="B17" s="8" t="s">
        <v>42</v>
      </c>
      <c r="C17" s="10">
        <v>0</v>
      </c>
      <c r="D17" s="7">
        <v>0</v>
      </c>
      <c r="E17" s="10">
        <f t="shared" si="1"/>
        <v>0</v>
      </c>
      <c r="F17" s="10" t="s">
        <v>14</v>
      </c>
      <c r="G17" s="10">
        <f>2+0+0+0+0+2+0+2+0+2+2+0+2+0+2+0+2+0</f>
        <v>16</v>
      </c>
      <c r="H17" s="22"/>
      <c r="I17" s="10">
        <f>G17/(G3*0.1865)</f>
        <v>0.470087039553417</v>
      </c>
      <c r="J17" s="11"/>
      <c r="K17" s="22"/>
      <c r="L17" s="22"/>
      <c r="M17" s="10"/>
    </row>
    <row r="18" s="1" customFormat="1" ht="25" customHeight="1" spans="1:13">
      <c r="A18" s="7">
        <v>13</v>
      </c>
      <c r="B18" s="8" t="s">
        <v>43</v>
      </c>
      <c r="C18" s="10">
        <v>0</v>
      </c>
      <c r="D18" s="7">
        <v>0</v>
      </c>
      <c r="E18" s="10">
        <f t="shared" si="1"/>
        <v>0</v>
      </c>
      <c r="F18" s="10" t="s">
        <v>14</v>
      </c>
      <c r="G18" s="10">
        <f>2+0+0+0+0+2+0+2+0+2+2+0+2+0+2+0+2+0</f>
        <v>16</v>
      </c>
      <c r="H18" s="22"/>
      <c r="I18" s="10">
        <f>G18/(G3*0.1865)</f>
        <v>0.470087039553417</v>
      </c>
      <c r="J18" s="11"/>
      <c r="K18" s="22"/>
      <c r="L18" s="22"/>
      <c r="M18" s="10"/>
    </row>
    <row r="19" s="1" customFormat="1" ht="25" customHeight="1" spans="1:13">
      <c r="A19" s="7">
        <v>14</v>
      </c>
      <c r="B19" s="8" t="s">
        <v>44</v>
      </c>
      <c r="C19" s="10">
        <v>2</v>
      </c>
      <c r="D19" s="7">
        <v>0</v>
      </c>
      <c r="E19" s="10">
        <f t="shared" si="1"/>
        <v>2</v>
      </c>
      <c r="F19" s="10" t="s">
        <v>45</v>
      </c>
      <c r="G19" s="10">
        <f>5+0+0+0+3+7+8+6+7+7+7+6+8+5+12+4+8+2</f>
        <v>95</v>
      </c>
      <c r="H19" s="22"/>
      <c r="I19" s="22"/>
      <c r="J19" s="11"/>
      <c r="K19" s="22"/>
      <c r="L19" s="22"/>
      <c r="M19" s="10"/>
    </row>
    <row r="20" s="1" customFormat="1" ht="25" customHeight="1" spans="1:13">
      <c r="A20" s="7">
        <v>15</v>
      </c>
      <c r="B20" s="8" t="s">
        <v>46</v>
      </c>
      <c r="C20" s="7">
        <v>165</v>
      </c>
      <c r="D20" s="7">
        <v>470</v>
      </c>
      <c r="E20" s="10">
        <f t="shared" si="1"/>
        <v>635</v>
      </c>
      <c r="F20" s="10" t="s">
        <v>35</v>
      </c>
      <c r="G20" s="10">
        <f>507+0+0+339+1006+1051+1056+1200+1113+1132+810+1370+1187+1194+1246+1098+1056+635</f>
        <v>16000</v>
      </c>
      <c r="H20" s="23"/>
      <c r="I20" s="10">
        <f>E20/M20</f>
        <v>55.2173913043478</v>
      </c>
      <c r="J20" s="19" t="s">
        <v>47</v>
      </c>
      <c r="K20" s="10">
        <f>7.5+0+0+6+24+24+24+24+24+24+15.5+24+24+24+24+24+24+11.5</f>
        <v>328.5</v>
      </c>
      <c r="L20" s="10">
        <f>G20/K20</f>
        <v>48.7062404870624</v>
      </c>
      <c r="M20" s="10">
        <v>11.5</v>
      </c>
    </row>
    <row r="21" s="1" customFormat="1" ht="25" customHeight="1" spans="1:13">
      <c r="A21" s="12">
        <v>16</v>
      </c>
      <c r="B21" s="8" t="s">
        <v>48</v>
      </c>
      <c r="C21" s="7">
        <v>256</v>
      </c>
      <c r="D21" s="7">
        <v>435</v>
      </c>
      <c r="E21" s="10">
        <f t="shared" si="1"/>
        <v>691</v>
      </c>
      <c r="F21" s="10" t="s">
        <v>35</v>
      </c>
      <c r="G21" s="10">
        <f>547+0+0+662+1124+1392+1384+1483+1450+1339+986+1680+1486+1500+1565+1326+1366+691</f>
        <v>19981</v>
      </c>
      <c r="H21" s="22"/>
      <c r="I21" s="10">
        <f>E21/M20</f>
        <v>60.0869565217391</v>
      </c>
      <c r="J21" s="11"/>
      <c r="K21" s="22"/>
      <c r="L21" s="22"/>
      <c r="M21" s="10"/>
    </row>
    <row r="22" s="1" customFormat="1" ht="25" customHeight="1" spans="1:13">
      <c r="A22" s="7">
        <v>17</v>
      </c>
      <c r="B22" s="8" t="s">
        <v>49</v>
      </c>
      <c r="C22" s="12">
        <v>25.12</v>
      </c>
      <c r="D22" s="12">
        <v>0</v>
      </c>
      <c r="E22" s="13"/>
      <c r="F22" s="13" t="s">
        <v>50</v>
      </c>
      <c r="G22" s="13"/>
      <c r="H22" s="24"/>
      <c r="I22" s="24"/>
      <c r="J22" s="25"/>
      <c r="K22" s="24"/>
      <c r="L22" s="24"/>
      <c r="M22" s="10"/>
    </row>
    <row r="23" s="1" customFormat="1" ht="32" customHeight="1" spans="1:13">
      <c r="A23" s="7">
        <v>18</v>
      </c>
      <c r="B23" s="26" t="s">
        <v>151</v>
      </c>
      <c r="C23" s="27" t="s">
        <v>152</v>
      </c>
      <c r="D23" s="28"/>
      <c r="E23" s="28"/>
      <c r="F23" s="28"/>
      <c r="G23" s="28"/>
      <c r="H23" s="29"/>
      <c r="I23" s="30" t="s">
        <v>20</v>
      </c>
      <c r="J23" s="26" t="s">
        <v>156</v>
      </c>
      <c r="K23" s="27" t="s">
        <v>157</v>
      </c>
      <c r="L23" s="28"/>
      <c r="M23" s="29"/>
    </row>
    <row r="24" s="1" customFormat="1" ht="32" customHeight="1" spans="1:13">
      <c r="A24" s="7">
        <v>19</v>
      </c>
      <c r="B24" s="26" t="s">
        <v>153</v>
      </c>
      <c r="C24" s="27" t="s">
        <v>158</v>
      </c>
      <c r="D24" s="28"/>
      <c r="E24" s="28"/>
      <c r="F24" s="28"/>
      <c r="G24" s="28"/>
      <c r="H24" s="29"/>
      <c r="I24" s="30" t="s">
        <v>20</v>
      </c>
      <c r="J24" s="26" t="s">
        <v>159</v>
      </c>
      <c r="K24" s="27" t="s">
        <v>160</v>
      </c>
      <c r="L24" s="28"/>
      <c r="M24" s="29"/>
    </row>
    <row r="25" s="1" customFormat="1" ht="80" customHeight="1" spans="1:13">
      <c r="A25" s="7">
        <v>20</v>
      </c>
      <c r="B25" s="31" t="s">
        <v>55</v>
      </c>
      <c r="C25" s="27" t="s">
        <v>129</v>
      </c>
      <c r="D25" s="28"/>
      <c r="E25" s="28"/>
      <c r="F25" s="28"/>
      <c r="G25" s="28"/>
      <c r="H25" s="28"/>
      <c r="I25" s="28"/>
      <c r="J25" s="28"/>
      <c r="K25" s="28"/>
      <c r="L25" s="28"/>
      <c r="M25" s="29"/>
    </row>
    <row r="26" s="1" customFormat="1" ht="14" customHeight="1" spans="1:13">
      <c r="C26" s="33"/>
      <c r="D26" s="33"/>
      <c r="J26" s="34"/>
    </row>
    <row r="27" s="1" customFormat="1" ht="45" customHeight="1" spans="1:13">
      <c r="A27" s="5" t="s">
        <v>161</v>
      </c>
    </row>
    <row r="28" s="1" customFormat="1" ht="30" customHeight="1" spans="1:13">
      <c r="A28" s="6" t="s">
        <v>58</v>
      </c>
      <c r="B28" s="6" t="s">
        <v>59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7">
        <v>1</v>
      </c>
      <c r="B29" s="8" t="s">
        <v>60</v>
      </c>
      <c r="C29" s="10">
        <v>0</v>
      </c>
      <c r="D29" s="10">
        <v>0</v>
      </c>
      <c r="E29" s="10">
        <f t="shared" ref="E29:E35" si="2">D29+C29</f>
        <v>0</v>
      </c>
      <c r="F29" s="10" t="s">
        <v>35</v>
      </c>
      <c r="G29" s="10">
        <f>0+0+0+0+0+0+0+0+0+0+0+0+0+0+0+0+0+0</f>
        <v>0</v>
      </c>
      <c r="H29" s="10"/>
      <c r="I29" s="10"/>
      <c r="J29" s="11"/>
      <c r="K29" s="22"/>
      <c r="L29" s="22"/>
      <c r="M29" s="10"/>
    </row>
    <row r="30" s="1" customFormat="1" ht="25" customHeight="1" spans="1:13">
      <c r="A30" s="7">
        <v>2</v>
      </c>
      <c r="B30" s="8" t="s">
        <v>61</v>
      </c>
      <c r="C30" s="10">
        <v>0</v>
      </c>
      <c r="D30" s="10">
        <v>0</v>
      </c>
      <c r="E30" s="10">
        <f t="shared" si="2"/>
        <v>0</v>
      </c>
      <c r="F30" s="10" t="s">
        <v>35</v>
      </c>
      <c r="G30" s="10">
        <f>0+0+0+0+0+0+12.6+12.59+14.7+16.7+8.28+16.61+16.56+16.62+16.74+16.66+16.65+0</f>
        <v>164.71</v>
      </c>
      <c r="H30" s="10"/>
      <c r="I30" s="10"/>
      <c r="J30" s="11"/>
      <c r="K30" s="22"/>
      <c r="L30" s="22"/>
      <c r="M30" s="21"/>
    </row>
    <row r="31" s="1" customFormat="1" ht="25" customHeight="1" spans="1:13">
      <c r="A31" s="7">
        <v>3</v>
      </c>
      <c r="B31" s="8" t="s">
        <v>62</v>
      </c>
      <c r="C31" s="10">
        <v>38.3</v>
      </c>
      <c r="D31" s="10">
        <v>13</v>
      </c>
      <c r="E31" s="10">
        <f t="shared" si="2"/>
        <v>51.3</v>
      </c>
      <c r="F31" s="10" t="s">
        <v>35</v>
      </c>
      <c r="G31" s="10">
        <f>9+33+13+24+43.31+38+19+17+26+16+38+42.27+10+19+38+8+29+51.3</f>
        <v>473.88</v>
      </c>
      <c r="H31" s="10"/>
      <c r="I31" s="10"/>
      <c r="J31" s="11"/>
      <c r="K31" s="22"/>
      <c r="L31" s="22"/>
      <c r="M31" s="21"/>
    </row>
    <row r="32" s="1" customFormat="1" ht="25" customHeight="1" spans="1:13">
      <c r="A32" s="7">
        <v>4</v>
      </c>
      <c r="B32" s="8" t="s">
        <v>31</v>
      </c>
      <c r="C32" s="10">
        <v>0</v>
      </c>
      <c r="D32" s="10">
        <v>0</v>
      </c>
      <c r="E32" s="10">
        <f t="shared" si="2"/>
        <v>0</v>
      </c>
      <c r="F32" s="10" t="s">
        <v>14</v>
      </c>
      <c r="G32" s="10">
        <f>0+0+0+0+0+0+0+0+8.1945+5.4135+14.796+0+12.3255+0+9.1665+5.94+16.2675+0</f>
        <v>72.1035</v>
      </c>
      <c r="H32" s="10"/>
      <c r="J32" s="11"/>
      <c r="K32" s="22"/>
      <c r="L32" s="22"/>
      <c r="M32" s="22"/>
    </row>
    <row r="33" s="1" customFormat="1" ht="25" customHeight="1" spans="1:13">
      <c r="A33" s="7">
        <v>5</v>
      </c>
      <c r="B33" s="8" t="s">
        <v>33</v>
      </c>
      <c r="C33" s="10">
        <v>0</v>
      </c>
      <c r="D33" s="10">
        <v>0</v>
      </c>
      <c r="E33" s="10">
        <f t="shared" si="2"/>
        <v>0</v>
      </c>
      <c r="F33" s="10" t="s">
        <v>14</v>
      </c>
      <c r="G33" s="10">
        <f>0+0+0+0+0+0+0+0+0+0+0+0+0+0+0+0+0+0</f>
        <v>0</v>
      </c>
      <c r="H33" s="10"/>
      <c r="I33" s="10"/>
      <c r="J33" s="14"/>
      <c r="K33" s="22"/>
      <c r="L33" s="22"/>
      <c r="M33" s="22"/>
    </row>
    <row r="34" s="1" customFormat="1" ht="25" customHeight="1" spans="1:13">
      <c r="A34" s="7">
        <v>6</v>
      </c>
      <c r="B34" s="8" t="s">
        <v>63</v>
      </c>
      <c r="C34" s="10">
        <v>301</v>
      </c>
      <c r="D34" s="10">
        <v>294</v>
      </c>
      <c r="E34" s="10">
        <f t="shared" si="2"/>
        <v>595</v>
      </c>
      <c r="F34" s="10" t="s">
        <v>35</v>
      </c>
      <c r="G34" s="10">
        <f>580+604+307+408+430+215+238+250+321+330+333+338+268+307+272+0+145+595</f>
        <v>5941</v>
      </c>
      <c r="H34" s="10"/>
      <c r="I34" s="10"/>
      <c r="J34" s="35"/>
      <c r="K34" s="22"/>
      <c r="L34" s="10"/>
      <c r="M34" s="22"/>
    </row>
    <row r="35" s="1" customFormat="1" ht="25" customHeight="1" spans="1:13">
      <c r="A35" s="7">
        <v>7</v>
      </c>
      <c r="B35" s="8" t="s">
        <v>64</v>
      </c>
      <c r="C35" s="10">
        <v>507</v>
      </c>
      <c r="D35" s="10">
        <v>465</v>
      </c>
      <c r="E35" s="10">
        <f t="shared" si="2"/>
        <v>972</v>
      </c>
      <c r="F35" s="10" t="s">
        <v>35</v>
      </c>
      <c r="G35" s="10">
        <f>1010+819+776+499+966+1008+1007+1010+1005+1008+1008+980+786+1014+1016+1015+1015+972</f>
        <v>16914</v>
      </c>
      <c r="H35" s="10"/>
      <c r="I35" s="10"/>
      <c r="J35" s="36"/>
      <c r="K35" s="22"/>
      <c r="L35" s="10"/>
      <c r="M35" s="22"/>
    </row>
    <row r="36" s="1" customFormat="1" ht="25" customHeight="1" spans="1:13">
      <c r="A36" s="7">
        <v>8</v>
      </c>
      <c r="B36" s="8" t="s">
        <v>65</v>
      </c>
      <c r="C36" s="10">
        <v>0</v>
      </c>
      <c r="D36" s="10">
        <v>0</v>
      </c>
      <c r="E36" s="10">
        <f>C36+D36</f>
        <v>0</v>
      </c>
      <c r="F36" s="10" t="s">
        <v>35</v>
      </c>
      <c r="G36" s="10">
        <f>0+0+0+0+0+0+0+0+0+0+0+0+0+0+0+0+0+0</f>
        <v>0</v>
      </c>
      <c r="H36" s="22"/>
      <c r="I36" s="7">
        <v>0</v>
      </c>
      <c r="J36" s="14"/>
      <c r="K36" s="37"/>
      <c r="L36" s="27"/>
      <c r="M36" s="38"/>
    </row>
    <row r="37" s="1" customFormat="1" ht="25" customHeight="1" spans="1:13">
      <c r="A37" s="7">
        <v>9</v>
      </c>
      <c r="B37" s="8" t="s">
        <v>66</v>
      </c>
      <c r="C37" s="10">
        <v>0</v>
      </c>
      <c r="D37" s="10">
        <v>0</v>
      </c>
      <c r="E37" s="10">
        <f>C37+D37</f>
        <v>0</v>
      </c>
      <c r="F37" s="10" t="s">
        <v>35</v>
      </c>
      <c r="G37" s="10">
        <f>0+0+0+0+0+0+0+0+0+0+0+0+0+0+0+0+0+0</f>
        <v>0</v>
      </c>
      <c r="H37" s="22"/>
      <c r="I37" s="7">
        <v>83.3856</v>
      </c>
      <c r="J37" s="35"/>
      <c r="K37" s="37"/>
      <c r="L37" s="27"/>
      <c r="M37" s="38"/>
    </row>
    <row r="38" s="1" customFormat="1" ht="25" customHeight="1" spans="1:13">
      <c r="A38" s="7">
        <v>10</v>
      </c>
      <c r="B38" s="8" t="s">
        <v>67</v>
      </c>
      <c r="C38" s="7">
        <v>0</v>
      </c>
      <c r="D38" s="7">
        <v>0</v>
      </c>
      <c r="E38" s="10">
        <f>D38+C38</f>
        <v>0</v>
      </c>
      <c r="F38" s="10" t="s">
        <v>45</v>
      </c>
      <c r="G38" s="10">
        <f>0+0+2+0+0+0+2+0+3+4+2+2+4+6+3+4+4+0</f>
        <v>36</v>
      </c>
      <c r="H38" s="22"/>
      <c r="I38" s="10">
        <v>0</v>
      </c>
      <c r="J38" s="35"/>
      <c r="K38" s="27"/>
      <c r="L38" s="19" t="s">
        <v>68</v>
      </c>
      <c r="M38" s="7">
        <v>8</v>
      </c>
    </row>
    <row r="39" s="1" customFormat="1" ht="80" customHeight="1" spans="1:13">
      <c r="A39" s="7">
        <v>11</v>
      </c>
      <c r="B39" s="32" t="s">
        <v>55</v>
      </c>
      <c r="C39" s="27" t="s">
        <v>69</v>
      </c>
      <c r="D39" s="28"/>
      <c r="E39" s="28"/>
      <c r="F39" s="28"/>
      <c r="G39" s="28"/>
      <c r="H39" s="28"/>
      <c r="I39" s="28"/>
      <c r="J39" s="28"/>
      <c r="K39" s="28"/>
      <c r="L39" s="28"/>
      <c r="M39" s="29"/>
    </row>
    <row r="47" s="1" customFormat="1" spans="1:13">
      <c r="C47" s="33"/>
      <c r="D47" s="33"/>
      <c r="J47" s="34"/>
    </row>
    <row r="48" spans="1:13">
      <c r="L48" s="1"/>
    </row>
  </sheetData>
  <mergeCells count="11">
    <mergeCell ref="A1:M1"/>
    <mergeCell ref="C23:H23"/>
    <mergeCell ref="K23:M23"/>
    <mergeCell ref="C24:H24"/>
    <mergeCell ref="K24:M24"/>
    <mergeCell ref="C25:M25"/>
    <mergeCell ref="A27:M27"/>
    <mergeCell ref="C39:M39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zoomScale="85" zoomScaleNormal="85" workbookViewId="0">
      <selection activeCell="N1" sqref="N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162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8" customHeight="1" spans="1:13">
      <c r="A3" s="7">
        <v>1</v>
      </c>
      <c r="B3" s="8" t="s">
        <v>13</v>
      </c>
      <c r="C3" s="9">
        <v>0</v>
      </c>
      <c r="D3" s="9">
        <v>5.5</v>
      </c>
      <c r="E3" s="10">
        <f t="shared" ref="E3:E12" si="0">C3+D3</f>
        <v>5.5</v>
      </c>
      <c r="F3" s="10" t="s">
        <v>14</v>
      </c>
      <c r="G3" s="10">
        <f>12+0+0+0+6+13+13+13+15+9+13+9+15+13.5+15.5+11+12.5+12+5.5</f>
        <v>188</v>
      </c>
      <c r="H3" s="10">
        <v>330</v>
      </c>
      <c r="I3" s="10">
        <f>H3-G3</f>
        <v>142</v>
      </c>
      <c r="J3" s="11"/>
      <c r="K3" s="10"/>
      <c r="L3" s="10"/>
      <c r="M3" s="10">
        <f>I3/11</f>
        <v>12.9090909090909</v>
      </c>
    </row>
    <row r="4" s="1" customFormat="1" ht="38" customHeight="1" spans="1:13">
      <c r="A4" s="12">
        <v>2</v>
      </c>
      <c r="B4" s="8" t="s">
        <v>18</v>
      </c>
      <c r="C4" s="9">
        <v>12</v>
      </c>
      <c r="D4" s="9"/>
      <c r="E4" s="10">
        <f t="shared" si="0"/>
        <v>12</v>
      </c>
      <c r="F4" s="10" t="s">
        <v>14</v>
      </c>
      <c r="G4" s="10">
        <f>12+8+0+0+0+6+14+12+14+14+10+12+10+14+14+16+10+14+12</f>
        <v>192</v>
      </c>
      <c r="H4" s="13"/>
      <c r="I4" s="13"/>
      <c r="J4" s="11"/>
      <c r="K4" s="10"/>
      <c r="L4" s="10"/>
      <c r="M4" s="10"/>
    </row>
    <row r="5" s="1" customFormat="1" ht="38" customHeight="1" spans="1:13">
      <c r="A5" s="12">
        <v>3</v>
      </c>
      <c r="B5" s="8" t="s">
        <v>21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65+0+0+0+0+0+0+0+0+0+0+0+0+0+0+0+0+0+0</f>
        <v>65</v>
      </c>
      <c r="H5" s="10">
        <v>4950</v>
      </c>
      <c r="I5" s="10">
        <f>H5-G5-G7-G6</f>
        <v>2250</v>
      </c>
      <c r="J5" s="14"/>
      <c r="K5" s="10"/>
      <c r="L5" s="10"/>
      <c r="M5" s="10"/>
    </row>
    <row r="6" s="1" customFormat="1" ht="38" customHeight="1" spans="1:13">
      <c r="A6" s="15"/>
      <c r="B6" s="8" t="s">
        <v>23</v>
      </c>
      <c r="C6" s="10">
        <v>94</v>
      </c>
      <c r="D6" s="10">
        <v>102</v>
      </c>
      <c r="E6" s="10">
        <f t="shared" si="0"/>
        <v>196</v>
      </c>
      <c r="F6" s="10" t="s">
        <v>14</v>
      </c>
      <c r="G6" s="10">
        <f>0+0+0+0+183+194+174+196+189+174+99+228+173+212+203+172+165+64+196</f>
        <v>2622</v>
      </c>
      <c r="H6" s="15"/>
      <c r="I6" s="15"/>
      <c r="J6" s="11"/>
      <c r="K6" s="10"/>
      <c r="L6" s="10"/>
      <c r="M6" s="16"/>
    </row>
    <row r="7" s="1" customFormat="1" ht="38" customHeight="1" spans="1:13">
      <c r="A7" s="15"/>
      <c r="B7" s="8" t="s">
        <v>25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0+0+0+8+1+0+0+0+0+0+0+3+0+0+1+0+0+0+0</f>
        <v>13</v>
      </c>
      <c r="H7" s="15"/>
      <c r="I7" s="15"/>
      <c r="J7" s="11"/>
      <c r="K7" s="10"/>
      <c r="L7" s="10"/>
      <c r="M7" s="10"/>
    </row>
    <row r="8" s="1" customFormat="1" ht="38" customHeight="1" spans="1:13">
      <c r="A8" s="15"/>
      <c r="B8" s="8" t="s">
        <v>27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0+0+0+0+0+0+0+0+0+0+0+0+0+0+0+0+0+0+0</f>
        <v>0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29</v>
      </c>
      <c r="C9" s="13">
        <v>0</v>
      </c>
      <c r="D9" s="13"/>
      <c r="E9" s="10">
        <f t="shared" si="0"/>
        <v>0</v>
      </c>
      <c r="F9" s="13" t="s">
        <v>14</v>
      </c>
      <c r="G9" s="10">
        <f>0+31.23+0+31.02+0+30.93+30.89+30.97+30.96+0+31.05+30.81+0+0+31.58+30.96+31.28+0+0</f>
        <v>341.68</v>
      </c>
      <c r="H9" s="13">
        <v>6.08</v>
      </c>
      <c r="I9" s="13">
        <f>H9-K10</f>
        <v>3.091641</v>
      </c>
      <c r="J9" s="19" t="s">
        <v>30</v>
      </c>
      <c r="K9" s="10">
        <v>180</v>
      </c>
      <c r="L9" s="10">
        <v>0</v>
      </c>
      <c r="M9" s="20"/>
    </row>
    <row r="10" s="1" customFormat="1" ht="25" customHeight="1" spans="1:13">
      <c r="A10" s="7">
        <v>5</v>
      </c>
      <c r="B10" s="8" t="s">
        <v>31</v>
      </c>
      <c r="C10" s="10">
        <v>6.3855</v>
      </c>
      <c r="D10" s="10">
        <v>3.0645</v>
      </c>
      <c r="E10" s="10">
        <f t="shared" si="0"/>
        <v>9.45</v>
      </c>
      <c r="F10" s="10" t="s">
        <v>14</v>
      </c>
      <c r="G10" s="10">
        <f>6.831+0+0+0+6.6555+7.614+14.958+12.744+10.611+5.832+10.314+9.369+6.1965+9.4635+9.1395+9.774+8.532+7.128+9.45</f>
        <v>144.612</v>
      </c>
      <c r="H10" s="10"/>
      <c r="I10" s="10">
        <f>G10/(G3*0.1865)</f>
        <v>4.1244652330158</v>
      </c>
      <c r="J10" s="19" t="s">
        <v>32</v>
      </c>
      <c r="K10" s="20">
        <f>0+0.268578+0+0.257466+0+0.256719+0.253298+0.27873+0.281736+0+0.27945+0.271128+0+0+0.281062+0.275544+0.284648+0+0</f>
        <v>2.988359</v>
      </c>
      <c r="L10" s="10"/>
      <c r="M10" s="10">
        <f>C9*L9/100</f>
        <v>0</v>
      </c>
    </row>
    <row r="11" s="1" customFormat="1" ht="25" customHeight="1" spans="1:13">
      <c r="A11" s="7">
        <v>6</v>
      </c>
      <c r="B11" s="8" t="s">
        <v>33</v>
      </c>
      <c r="C11" s="10">
        <v>6.9736</v>
      </c>
      <c r="D11" s="10">
        <v>0</v>
      </c>
      <c r="E11" s="10">
        <f t="shared" si="0"/>
        <v>6.9736</v>
      </c>
      <c r="F11" s="10" t="s">
        <v>14</v>
      </c>
      <c r="G11" s="10">
        <f>14.352+0+0+0+6.7344+17.5536+13.2664+17.664+16.56+14.6096+11.5+16.56+10.9848+11.6472+15.6216+16.2104+14.2232+14.4808+6.9736</f>
        <v>218.9416</v>
      </c>
      <c r="H11" s="10"/>
      <c r="I11" s="10">
        <f>G11/(G3*0.1865)</f>
        <v>6.24441275454909</v>
      </c>
      <c r="J11" s="11"/>
      <c r="K11" s="10"/>
      <c r="L11" s="10"/>
      <c r="M11" s="21"/>
    </row>
    <row r="12" s="1" customFormat="1" ht="25" customHeight="1" spans="1:13">
      <c r="A12" s="7">
        <v>7</v>
      </c>
      <c r="B12" s="8" t="s">
        <v>34</v>
      </c>
      <c r="C12" s="10">
        <v>114</v>
      </c>
      <c r="D12" s="10">
        <v>209</v>
      </c>
      <c r="E12" s="10">
        <f t="shared" si="0"/>
        <v>323</v>
      </c>
      <c r="F12" s="10" t="s">
        <v>35</v>
      </c>
      <c r="G12" s="10">
        <f>472+11+0+16+206+451+454+465+490+368+388+385+456+440+477+407+450+317+323</f>
        <v>6576</v>
      </c>
      <c r="H12" s="10">
        <f>G12*1.05</f>
        <v>6904.8</v>
      </c>
      <c r="I12" s="10"/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36</v>
      </c>
      <c r="C13" s="10">
        <v>45</v>
      </c>
      <c r="D13" s="10">
        <v>150.6</v>
      </c>
      <c r="E13" s="10">
        <f t="shared" ref="E13:E21" si="1">D13+C13</f>
        <v>195.6</v>
      </c>
      <c r="F13" s="10" t="s">
        <v>35</v>
      </c>
      <c r="G13" s="10">
        <f>372+0+0+0+195+420+417+363+467+242+386+282+393+382+374+341+333+312+195.6</f>
        <v>5474.6</v>
      </c>
      <c r="H13" s="10"/>
      <c r="I13" s="10"/>
      <c r="J13" s="14"/>
      <c r="K13" s="10"/>
      <c r="L13" s="10"/>
      <c r="M13" s="10"/>
    </row>
    <row r="14" s="1" customFormat="1" ht="25" customHeight="1" spans="1:13">
      <c r="A14" s="7">
        <v>9</v>
      </c>
      <c r="B14" s="8" t="s">
        <v>37</v>
      </c>
      <c r="C14" s="10">
        <v>229.28</v>
      </c>
      <c r="D14" s="10">
        <v>388.73</v>
      </c>
      <c r="E14" s="10">
        <f t="shared" si="1"/>
        <v>618.01</v>
      </c>
      <c r="F14" s="10" t="s">
        <v>35</v>
      </c>
      <c r="G14" s="10">
        <f>209.75+0+0+0+370.64+733.22+886.44+846.58+728.24+930.46+896.96+902.95+629.84+963.57+867.96+679.89+781.38+634.77+618.01</f>
        <v>11680.66</v>
      </c>
      <c r="H14" s="10"/>
      <c r="I14" s="10"/>
      <c r="J14" s="19" t="s">
        <v>38</v>
      </c>
      <c r="K14" s="10">
        <v>3.22</v>
      </c>
      <c r="L14" s="10">
        <v>3.11</v>
      </c>
      <c r="M14" s="10"/>
    </row>
    <row r="15" s="1" customFormat="1" ht="25" customHeight="1" spans="1:13">
      <c r="A15" s="7">
        <v>10</v>
      </c>
      <c r="B15" s="8" t="s">
        <v>39</v>
      </c>
      <c r="C15" s="10">
        <v>8</v>
      </c>
      <c r="D15" s="10">
        <v>9</v>
      </c>
      <c r="E15" s="10">
        <f t="shared" si="1"/>
        <v>17</v>
      </c>
      <c r="F15" s="10" t="s">
        <v>14</v>
      </c>
      <c r="G15" s="10">
        <f>24+0+0+0+21+27+33+30+33+21+30+21+33+30+33+27+30+24+17</f>
        <v>434</v>
      </c>
      <c r="H15" s="10"/>
      <c r="I15" s="10">
        <f>G15/(G3*0.1865)</f>
        <v>12.3780731276025</v>
      </c>
      <c r="J15" s="19" t="s">
        <v>40</v>
      </c>
      <c r="K15" s="20">
        <f>0.641835+0+0+0+1.0970944+2.2635878+2.9007565+2.4932712+2.1651567+2.7262642+2.5433786+2.6076891+1.9524176+3.0179391+2.7017752+2.2869365+2.5432458+2.029962+1.9472319</f>
        <v>35.9185416</v>
      </c>
      <c r="L15" s="10"/>
      <c r="M15" s="10">
        <f>(C14*K14+L14*D14)/1000</f>
        <v>1.9472319</v>
      </c>
    </row>
    <row r="16" s="1" customFormat="1" ht="25" customHeight="1" spans="1:13">
      <c r="A16" s="7">
        <v>11</v>
      </c>
      <c r="B16" s="8" t="s">
        <v>41</v>
      </c>
      <c r="C16" s="7">
        <v>0</v>
      </c>
      <c r="D16" s="7">
        <v>0.075</v>
      </c>
      <c r="E16" s="10">
        <f t="shared" si="1"/>
        <v>0.075</v>
      </c>
      <c r="F16" s="10" t="s">
        <v>14</v>
      </c>
      <c r="G16" s="10">
        <f>0+0+0+0+0+0.0875+0+0.075+0+0.0875+0.0375+0.0375+0+0+0.0375+0.0375+0.0375+0+0.075</f>
        <v>0.5125</v>
      </c>
      <c r="H16" s="22"/>
      <c r="I16" s="22"/>
      <c r="J16" s="11"/>
      <c r="K16" s="22"/>
      <c r="L16" s="22"/>
      <c r="M16" s="10"/>
    </row>
    <row r="17" s="1" customFormat="1" ht="25" customHeight="1" spans="1:13">
      <c r="A17" s="12">
        <v>12</v>
      </c>
      <c r="B17" s="8" t="s">
        <v>42</v>
      </c>
      <c r="C17" s="10">
        <v>2</v>
      </c>
      <c r="D17" s="7">
        <v>0</v>
      </c>
      <c r="E17" s="10">
        <f t="shared" si="1"/>
        <v>2</v>
      </c>
      <c r="F17" s="10" t="s">
        <v>14</v>
      </c>
      <c r="G17" s="10">
        <f>2+0+0+0+0+2+0+2+0+2+2+0+2+0+2+0+2+0+2</f>
        <v>18</v>
      </c>
      <c r="H17" s="22"/>
      <c r="I17" s="10">
        <f>G17/(G3*0.1865)</f>
        <v>0.513376304831441</v>
      </c>
      <c r="J17" s="11"/>
      <c r="K17" s="22"/>
      <c r="L17" s="22"/>
      <c r="M17" s="10"/>
    </row>
    <row r="18" s="1" customFormat="1" ht="25" customHeight="1" spans="1:13">
      <c r="A18" s="7">
        <v>13</v>
      </c>
      <c r="B18" s="8" t="s">
        <v>43</v>
      </c>
      <c r="C18" s="10">
        <v>2</v>
      </c>
      <c r="D18" s="7">
        <v>0</v>
      </c>
      <c r="E18" s="10">
        <f t="shared" si="1"/>
        <v>2</v>
      </c>
      <c r="F18" s="10" t="s">
        <v>14</v>
      </c>
      <c r="G18" s="10">
        <f>2+0+0+0+0+2+0+2+0+2+2+0+2+0+2+0+2+0+2</f>
        <v>18</v>
      </c>
      <c r="H18" s="22"/>
      <c r="I18" s="10">
        <f>G18/(G3*0.1865)</f>
        <v>0.513376304831441</v>
      </c>
      <c r="J18" s="11"/>
      <c r="K18" s="22"/>
      <c r="L18" s="22"/>
      <c r="M18" s="10"/>
    </row>
    <row r="19" s="1" customFormat="1" ht="25" customHeight="1" spans="1:13">
      <c r="A19" s="7">
        <v>14</v>
      </c>
      <c r="B19" s="8" t="s">
        <v>44</v>
      </c>
      <c r="C19" s="10">
        <v>4</v>
      </c>
      <c r="D19" s="7">
        <v>9</v>
      </c>
      <c r="E19" s="10">
        <f t="shared" si="1"/>
        <v>13</v>
      </c>
      <c r="F19" s="10" t="s">
        <v>45</v>
      </c>
      <c r="G19" s="10">
        <f>5+0+0+0+3+7+8+6+7+7+7+6+8+5+12+4+8+2+13</f>
        <v>108</v>
      </c>
      <c r="H19" s="22"/>
      <c r="I19" s="22"/>
      <c r="J19" s="11"/>
      <c r="K19" s="22"/>
      <c r="L19" s="22"/>
      <c r="M19" s="10"/>
    </row>
    <row r="20" s="1" customFormat="1" ht="25" customHeight="1" spans="1:13">
      <c r="A20" s="7">
        <v>15</v>
      </c>
      <c r="B20" s="8" t="s">
        <v>46</v>
      </c>
      <c r="C20" s="7">
        <v>557</v>
      </c>
      <c r="D20" s="7">
        <v>587</v>
      </c>
      <c r="E20" s="10">
        <f t="shared" si="1"/>
        <v>1144</v>
      </c>
      <c r="F20" s="10" t="s">
        <v>35</v>
      </c>
      <c r="G20" s="10">
        <f>507+0+0+339+1006+1051+1056+1200+1113+1132+810+1370+1187+1194+1246+1098+1056+635+1144</f>
        <v>17144</v>
      </c>
      <c r="H20" s="23"/>
      <c r="I20" s="10">
        <f>E20/M20</f>
        <v>47.6666666666667</v>
      </c>
      <c r="J20" s="19" t="s">
        <v>47</v>
      </c>
      <c r="K20" s="10">
        <f>7.5+0+0+6+24+24+24+24+24+24+15.5+24+24+24+24+24+24+11.5+24</f>
        <v>352.5</v>
      </c>
      <c r="L20" s="10">
        <f>G20/K20</f>
        <v>48.6354609929078</v>
      </c>
      <c r="M20" s="10">
        <v>24</v>
      </c>
    </row>
    <row r="21" s="1" customFormat="1" ht="25" customHeight="1" spans="1:13">
      <c r="A21" s="12">
        <v>16</v>
      </c>
      <c r="B21" s="8" t="s">
        <v>48</v>
      </c>
      <c r="C21" s="7">
        <v>610</v>
      </c>
      <c r="D21" s="7">
        <v>727</v>
      </c>
      <c r="E21" s="10">
        <f t="shared" si="1"/>
        <v>1337</v>
      </c>
      <c r="F21" s="10" t="s">
        <v>35</v>
      </c>
      <c r="G21" s="10">
        <f>547+0+0+662+1124+1392+1384+1483+1450+1339+986+1680+1486+1500+1565+1326+1366+691+1337</f>
        <v>21318</v>
      </c>
      <c r="H21" s="22"/>
      <c r="I21" s="10">
        <f>E21/M20</f>
        <v>55.7083333333333</v>
      </c>
      <c r="J21" s="11"/>
      <c r="K21" s="22"/>
      <c r="L21" s="22"/>
      <c r="M21" s="10"/>
    </row>
    <row r="22" s="1" customFormat="1" ht="25" customHeight="1" spans="1:13">
      <c r="A22" s="7">
        <v>17</v>
      </c>
      <c r="B22" s="8" t="s">
        <v>49</v>
      </c>
      <c r="C22" s="12">
        <v>25.21</v>
      </c>
      <c r="D22" s="12">
        <v>34.37</v>
      </c>
      <c r="E22" s="13"/>
      <c r="F22" s="13" t="s">
        <v>50</v>
      </c>
      <c r="G22" s="13"/>
      <c r="H22" s="24"/>
      <c r="I22" s="24"/>
      <c r="J22" s="25"/>
      <c r="K22" s="24"/>
      <c r="L22" s="24"/>
      <c r="M22" s="10"/>
    </row>
    <row r="23" s="1" customFormat="1" ht="32" customHeight="1" spans="1:13">
      <c r="A23" s="7">
        <v>18</v>
      </c>
      <c r="B23" s="26" t="s">
        <v>151</v>
      </c>
      <c r="C23" s="27" t="s">
        <v>157</v>
      </c>
      <c r="D23" s="28"/>
      <c r="E23" s="28"/>
      <c r="F23" s="28"/>
      <c r="G23" s="28"/>
      <c r="H23" s="29"/>
      <c r="I23" s="30" t="s">
        <v>20</v>
      </c>
      <c r="J23" s="26" t="s">
        <v>156</v>
      </c>
      <c r="K23" s="27" t="s">
        <v>163</v>
      </c>
      <c r="L23" s="28"/>
      <c r="M23" s="29"/>
    </row>
    <row r="24" s="1" customFormat="1" ht="32" customHeight="1" spans="1:13">
      <c r="A24" s="7">
        <v>19</v>
      </c>
      <c r="B24" s="26" t="s">
        <v>153</v>
      </c>
      <c r="C24" s="27" t="s">
        <v>160</v>
      </c>
      <c r="D24" s="28"/>
      <c r="E24" s="28"/>
      <c r="F24" s="28"/>
      <c r="G24" s="28"/>
      <c r="H24" s="29"/>
      <c r="I24" s="30" t="s">
        <v>20</v>
      </c>
      <c r="J24" s="26" t="s">
        <v>159</v>
      </c>
      <c r="K24" s="27" t="s">
        <v>164</v>
      </c>
      <c r="L24" s="28"/>
      <c r="M24" s="29"/>
    </row>
    <row r="25" s="1" customFormat="1" ht="80" customHeight="1" spans="1:13">
      <c r="A25" s="7">
        <v>20</v>
      </c>
      <c r="B25" s="31" t="s">
        <v>55</v>
      </c>
      <c r="C25" s="27" t="s">
        <v>129</v>
      </c>
      <c r="D25" s="28"/>
      <c r="E25" s="28"/>
      <c r="F25" s="28"/>
      <c r="G25" s="28"/>
      <c r="H25" s="28"/>
      <c r="I25" s="28"/>
      <c r="J25" s="28"/>
      <c r="K25" s="28"/>
      <c r="L25" s="28"/>
      <c r="M25" s="29"/>
    </row>
    <row r="26" s="1" customFormat="1" ht="14" customHeight="1" spans="1:13">
      <c r="C26" s="33"/>
      <c r="D26" s="33"/>
      <c r="J26" s="34"/>
    </row>
    <row r="27" s="1" customFormat="1" ht="45" customHeight="1" spans="1:13">
      <c r="A27" s="5" t="s">
        <v>165</v>
      </c>
    </row>
    <row r="28" s="1" customFormat="1" ht="30" customHeight="1" spans="1:13">
      <c r="A28" s="6" t="s">
        <v>58</v>
      </c>
      <c r="B28" s="6" t="s">
        <v>59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7">
        <v>1</v>
      </c>
      <c r="B29" s="8" t="s">
        <v>60</v>
      </c>
      <c r="C29" s="10">
        <v>0</v>
      </c>
      <c r="D29" s="10">
        <v>0</v>
      </c>
      <c r="E29" s="10">
        <f t="shared" ref="E29:E35" si="2">D29+C29</f>
        <v>0</v>
      </c>
      <c r="F29" s="10" t="s">
        <v>35</v>
      </c>
      <c r="G29" s="10">
        <f>0+0+0+0+0+0+0+0+0+0+0+0+0+0+0+0+0+0+0</f>
        <v>0</v>
      </c>
      <c r="H29" s="10"/>
      <c r="I29" s="10"/>
      <c r="J29" s="11"/>
      <c r="K29" s="22"/>
      <c r="L29" s="22"/>
      <c r="M29" s="10"/>
    </row>
    <row r="30" s="1" customFormat="1" ht="25" customHeight="1" spans="1:13">
      <c r="A30" s="7">
        <v>2</v>
      </c>
      <c r="B30" s="8" t="s">
        <v>61</v>
      </c>
      <c r="C30" s="10">
        <v>0</v>
      </c>
      <c r="D30" s="10">
        <v>0</v>
      </c>
      <c r="E30" s="10">
        <f t="shared" si="2"/>
        <v>0</v>
      </c>
      <c r="F30" s="10" t="s">
        <v>35</v>
      </c>
      <c r="G30" s="10">
        <f>0+0+0+0+0+0+12.6+12.59+14.7+16.7+8.28+16.61+16.56+16.62+16.74+16.66+16.65+0+0</f>
        <v>164.71</v>
      </c>
      <c r="H30" s="10"/>
      <c r="I30" s="10"/>
      <c r="J30" s="11"/>
      <c r="K30" s="22"/>
      <c r="L30" s="22"/>
      <c r="M30" s="21"/>
    </row>
    <row r="31" s="1" customFormat="1" ht="25" customHeight="1" spans="1:13">
      <c r="A31" s="7">
        <v>3</v>
      </c>
      <c r="B31" s="8" t="s">
        <v>62</v>
      </c>
      <c r="C31" s="10">
        <v>6</v>
      </c>
      <c r="D31" s="10">
        <v>16</v>
      </c>
      <c r="E31" s="10">
        <f t="shared" si="2"/>
        <v>22</v>
      </c>
      <c r="F31" s="10" t="s">
        <v>35</v>
      </c>
      <c r="G31" s="10">
        <f>9+33+13+24+43.31+38+19+17+26+16+38+42.27+10+19+38+8+29+51.3+22</f>
        <v>495.88</v>
      </c>
      <c r="H31" s="10"/>
      <c r="I31" s="10"/>
      <c r="J31" s="11"/>
      <c r="K31" s="22"/>
      <c r="L31" s="22"/>
      <c r="M31" s="21"/>
    </row>
    <row r="32" s="1" customFormat="1" ht="25" customHeight="1" spans="1:13">
      <c r="A32" s="7">
        <v>4</v>
      </c>
      <c r="B32" s="8" t="s">
        <v>31</v>
      </c>
      <c r="C32" s="10">
        <v>0</v>
      </c>
      <c r="D32" s="10">
        <v>0</v>
      </c>
      <c r="E32" s="10">
        <f t="shared" si="2"/>
        <v>0</v>
      </c>
      <c r="F32" s="10" t="s">
        <v>14</v>
      </c>
      <c r="G32" s="10">
        <f>0+0+0+0+0+0+0+0+8.1945+5.4135+14.796+0+12.3255+0+9.1665+5.94+16.2675+0+0</f>
        <v>72.1035</v>
      </c>
      <c r="H32" s="10"/>
      <c r="J32" s="11"/>
      <c r="K32" s="22"/>
      <c r="L32" s="22"/>
      <c r="M32" s="22"/>
    </row>
    <row r="33" s="1" customFormat="1" ht="25" customHeight="1" spans="1:13">
      <c r="A33" s="7">
        <v>5</v>
      </c>
      <c r="B33" s="8" t="s">
        <v>33</v>
      </c>
      <c r="C33" s="10">
        <v>0</v>
      </c>
      <c r="D33" s="10">
        <v>0</v>
      </c>
      <c r="E33" s="10">
        <f t="shared" si="2"/>
        <v>0</v>
      </c>
      <c r="F33" s="10" t="s">
        <v>14</v>
      </c>
      <c r="G33" s="10">
        <f>0+0+0+0+0+0+0+0+0+0+0+0+0+0+0+0+0+0+0</f>
        <v>0</v>
      </c>
      <c r="H33" s="10"/>
      <c r="I33" s="10"/>
      <c r="J33" s="14"/>
      <c r="K33" s="22"/>
      <c r="L33" s="22"/>
      <c r="M33" s="22"/>
    </row>
    <row r="34" s="1" customFormat="1" ht="25" customHeight="1" spans="1:13">
      <c r="A34" s="7">
        <v>6</v>
      </c>
      <c r="B34" s="8" t="s">
        <v>63</v>
      </c>
      <c r="C34" s="10">
        <v>294</v>
      </c>
      <c r="D34" s="10">
        <v>295</v>
      </c>
      <c r="E34" s="10">
        <f t="shared" si="2"/>
        <v>589</v>
      </c>
      <c r="F34" s="10" t="s">
        <v>35</v>
      </c>
      <c r="G34" s="10">
        <f>580+604+307+408+430+215+238+250+321+330+333+338+268+307+272+0+145+595+589</f>
        <v>6530</v>
      </c>
      <c r="H34" s="10"/>
      <c r="I34" s="10"/>
      <c r="J34" s="35"/>
      <c r="K34" s="22"/>
      <c r="L34" s="10"/>
      <c r="M34" s="22"/>
    </row>
    <row r="35" s="1" customFormat="1" ht="25" customHeight="1" spans="1:13">
      <c r="A35" s="7">
        <v>7</v>
      </c>
      <c r="B35" s="8" t="s">
        <v>64</v>
      </c>
      <c r="C35" s="10">
        <v>480</v>
      </c>
      <c r="D35" s="10">
        <v>506</v>
      </c>
      <c r="E35" s="10">
        <f t="shared" si="2"/>
        <v>986</v>
      </c>
      <c r="F35" s="10" t="s">
        <v>35</v>
      </c>
      <c r="G35" s="10">
        <f>1010+819+776+499+966+1008+1007+1010+1005+1008+1008+980+786+1014+1016+1015+1015+972+986</f>
        <v>17900</v>
      </c>
      <c r="H35" s="10"/>
      <c r="I35" s="10"/>
      <c r="J35" s="36"/>
      <c r="K35" s="22"/>
      <c r="L35" s="10"/>
      <c r="M35" s="22"/>
    </row>
    <row r="36" s="1" customFormat="1" ht="25" customHeight="1" spans="1:13">
      <c r="A36" s="7">
        <v>8</v>
      </c>
      <c r="B36" s="8" t="s">
        <v>65</v>
      </c>
      <c r="C36" s="10">
        <v>0</v>
      </c>
      <c r="D36" s="10">
        <v>0</v>
      </c>
      <c r="E36" s="10">
        <f>C36+D36</f>
        <v>0</v>
      </c>
      <c r="F36" s="10" t="s">
        <v>35</v>
      </c>
      <c r="G36" s="10">
        <f>0+0+0+0+0+0+0+0+0+0+0+0+0+0+0+0+0+0+0</f>
        <v>0</v>
      </c>
      <c r="H36" s="22"/>
      <c r="I36" s="7">
        <v>277.5</v>
      </c>
      <c r="J36" s="14"/>
      <c r="K36" s="37"/>
      <c r="L36" s="27"/>
      <c r="M36" s="38"/>
    </row>
    <row r="37" s="1" customFormat="1" ht="25" customHeight="1" spans="1:13">
      <c r="A37" s="7">
        <v>9</v>
      </c>
      <c r="B37" s="8" t="s">
        <v>66</v>
      </c>
      <c r="C37" s="10">
        <v>0</v>
      </c>
      <c r="D37" s="10">
        <v>0</v>
      </c>
      <c r="E37" s="10">
        <f>C37+D37</f>
        <v>0</v>
      </c>
      <c r="F37" s="10" t="s">
        <v>35</v>
      </c>
      <c r="G37" s="10">
        <f>0+0+0+0+0+0+0+0+0+0+0+0+0+0+0+0+0+0+0</f>
        <v>0</v>
      </c>
      <c r="H37" s="22"/>
      <c r="I37" s="7">
        <v>83.3856</v>
      </c>
      <c r="J37" s="35"/>
      <c r="K37" s="37"/>
      <c r="L37" s="27"/>
      <c r="M37" s="38"/>
    </row>
    <row r="38" s="1" customFormat="1" ht="25" customHeight="1" spans="1:13">
      <c r="A38" s="7">
        <v>10</v>
      </c>
      <c r="B38" s="8" t="s">
        <v>67</v>
      </c>
      <c r="C38" s="7">
        <v>1</v>
      </c>
      <c r="D38" s="7">
        <v>0</v>
      </c>
      <c r="E38" s="10">
        <f>D38+C38</f>
        <v>1</v>
      </c>
      <c r="F38" s="10" t="s">
        <v>45</v>
      </c>
      <c r="G38" s="10">
        <f>0+0+2+0+0+0+2+0+3+4+2+2+4+6+3+4+4+0+1</f>
        <v>37</v>
      </c>
      <c r="H38" s="22"/>
      <c r="I38" s="10">
        <v>0</v>
      </c>
      <c r="J38" s="35"/>
      <c r="K38" s="27"/>
      <c r="L38" s="19" t="s">
        <v>68</v>
      </c>
      <c r="M38" s="7">
        <v>1</v>
      </c>
    </row>
    <row r="39" s="1" customFormat="1" ht="80" customHeight="1" spans="1:13">
      <c r="A39" s="7">
        <v>11</v>
      </c>
      <c r="B39" s="32" t="s">
        <v>55</v>
      </c>
      <c r="C39" s="27" t="s">
        <v>69</v>
      </c>
      <c r="D39" s="28"/>
      <c r="E39" s="28"/>
      <c r="F39" s="28"/>
      <c r="G39" s="28"/>
      <c r="H39" s="28"/>
      <c r="I39" s="28"/>
      <c r="J39" s="28"/>
      <c r="K39" s="28"/>
      <c r="L39" s="28"/>
      <c r="M39" s="29"/>
    </row>
    <row r="47" s="1" customFormat="1" spans="1:13">
      <c r="C47" s="33"/>
      <c r="D47" s="33"/>
      <c r="J47" s="34"/>
    </row>
    <row r="48" spans="1:13">
      <c r="L48" s="1"/>
    </row>
  </sheetData>
  <mergeCells count="11">
    <mergeCell ref="A1:M1"/>
    <mergeCell ref="C23:H23"/>
    <mergeCell ref="K23:M23"/>
    <mergeCell ref="C24:H24"/>
    <mergeCell ref="K24:M24"/>
    <mergeCell ref="C25:M25"/>
    <mergeCell ref="A27:M27"/>
    <mergeCell ref="C39:M39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zoomScale="85" zoomScaleNormal="85" workbookViewId="0">
      <selection activeCell="N1" sqref="N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166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8" customHeight="1" spans="1:13">
      <c r="A3" s="7">
        <v>1</v>
      </c>
      <c r="B3" s="8" t="s">
        <v>13</v>
      </c>
      <c r="C3" s="9">
        <v>6</v>
      </c>
      <c r="D3" s="9">
        <v>5</v>
      </c>
      <c r="E3" s="10">
        <f t="shared" ref="E3:E12" si="0">C3+D3</f>
        <v>11</v>
      </c>
      <c r="F3" s="10" t="s">
        <v>14</v>
      </c>
      <c r="G3" s="10">
        <f>12+0+0+0+6+13+13+13+15+9+13+9+15+13.5+15.5+11+12.5+12+5.5+11</f>
        <v>199</v>
      </c>
      <c r="H3" s="10">
        <v>330</v>
      </c>
      <c r="I3" s="10">
        <f>H3-G3</f>
        <v>131</v>
      </c>
      <c r="J3" s="11"/>
      <c r="K3" s="10"/>
      <c r="L3" s="10"/>
      <c r="M3" s="10">
        <f>I3/10</f>
        <v>13.1</v>
      </c>
    </row>
    <row r="4" s="1" customFormat="1" ht="38" customHeight="1" spans="1:13">
      <c r="A4" s="12">
        <v>2</v>
      </c>
      <c r="B4" s="8" t="s">
        <v>18</v>
      </c>
      <c r="C4" s="9">
        <v>4</v>
      </c>
      <c r="D4" s="9"/>
      <c r="E4" s="10">
        <f t="shared" si="0"/>
        <v>4</v>
      </c>
      <c r="F4" s="10" t="s">
        <v>14</v>
      </c>
      <c r="G4" s="10">
        <f>12+8+0+0+0+6+14+12+14+14+10+12+10+14+14+16+10+14+12+4</f>
        <v>196</v>
      </c>
      <c r="H4" s="13"/>
      <c r="I4" s="13"/>
      <c r="J4" s="11"/>
      <c r="K4" s="10"/>
      <c r="L4" s="10"/>
      <c r="M4" s="10"/>
    </row>
    <row r="5" s="1" customFormat="1" ht="38" customHeight="1" spans="1:13">
      <c r="A5" s="12">
        <v>3</v>
      </c>
      <c r="B5" s="8" t="s">
        <v>21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65+0+0+0+0+0+0+0+0+0+0+0+0+0+0+0+0+0+0+0</f>
        <v>65</v>
      </c>
      <c r="H5" s="10">
        <v>4950</v>
      </c>
      <c r="I5" s="10">
        <f>H5-G5-G7-G6</f>
        <v>2109</v>
      </c>
      <c r="J5" s="14"/>
      <c r="K5" s="10"/>
      <c r="L5" s="10"/>
      <c r="M5" s="10"/>
    </row>
    <row r="6" s="1" customFormat="1" ht="38" customHeight="1" spans="1:13">
      <c r="A6" s="15"/>
      <c r="B6" s="8" t="s">
        <v>23</v>
      </c>
      <c r="C6" s="10">
        <v>81</v>
      </c>
      <c r="D6" s="10">
        <v>60</v>
      </c>
      <c r="E6" s="10">
        <f t="shared" si="0"/>
        <v>141</v>
      </c>
      <c r="F6" s="10" t="s">
        <v>14</v>
      </c>
      <c r="G6" s="10">
        <f>0+0+0+0+183+194+174+196+189+174+99+228+173+212+203+172+165+64+196+141</f>
        <v>2763</v>
      </c>
      <c r="H6" s="15"/>
      <c r="I6" s="15"/>
      <c r="J6" s="11"/>
      <c r="K6" s="10"/>
      <c r="L6" s="10"/>
      <c r="M6" s="16"/>
    </row>
    <row r="7" s="1" customFormat="1" ht="38" customHeight="1" spans="1:13">
      <c r="A7" s="15"/>
      <c r="B7" s="8" t="s">
        <v>25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0+0+0+8+1+0+0+0+0+0+0+3+0+0+1+0+0+0+0+0</f>
        <v>13</v>
      </c>
      <c r="H7" s="15"/>
      <c r="I7" s="15"/>
      <c r="J7" s="11"/>
      <c r="K7" s="10"/>
      <c r="L7" s="10"/>
      <c r="M7" s="10"/>
    </row>
    <row r="8" s="1" customFormat="1" ht="38" customHeight="1" spans="1:13">
      <c r="A8" s="15"/>
      <c r="B8" s="8" t="s">
        <v>27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0+0+0+0+0+0+0+0+0+0+0+0+0+0+0+0+0+0+0+0</f>
        <v>0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29</v>
      </c>
      <c r="C9" s="13">
        <v>30.94</v>
      </c>
      <c r="D9" s="13"/>
      <c r="E9" s="10">
        <f t="shared" si="0"/>
        <v>30.94</v>
      </c>
      <c r="F9" s="13" t="s">
        <v>14</v>
      </c>
      <c r="G9" s="10">
        <f>0+31.23+0+31.02+0+30.93+30.89+30.97+30.96+0+31.05+30.81+0+0+31.58+30.96+31.28+0+0+30.94</f>
        <v>372.62</v>
      </c>
      <c r="H9" s="13">
        <v>6.08</v>
      </c>
      <c r="I9" s="13">
        <f>H9-K10</f>
        <v>2.803899</v>
      </c>
      <c r="J9" s="19" t="s">
        <v>30</v>
      </c>
      <c r="K9" s="10">
        <v>180</v>
      </c>
      <c r="L9" s="10">
        <v>0.93</v>
      </c>
      <c r="M9" s="20"/>
    </row>
    <row r="10" s="1" customFormat="1" ht="25" customHeight="1" spans="1:13">
      <c r="A10" s="7">
        <v>5</v>
      </c>
      <c r="B10" s="8" t="s">
        <v>31</v>
      </c>
      <c r="C10" s="10">
        <v>7.4385</v>
      </c>
      <c r="D10" s="10">
        <v>0</v>
      </c>
      <c r="E10" s="10">
        <f t="shared" si="0"/>
        <v>7.4385</v>
      </c>
      <c r="F10" s="10" t="s">
        <v>14</v>
      </c>
      <c r="G10" s="10">
        <f>6.831+0+0+0+6.6555+7.614+14.958+12.744+10.611+5.832+10.314+9.369+6.1965+9.4635+9.1395+9.774+8.532+7.128+9.45+7.4385</f>
        <v>152.0505</v>
      </c>
      <c r="H10" s="10"/>
      <c r="I10" s="10">
        <f>G10/(G3*0.1865)</f>
        <v>4.09690543872176</v>
      </c>
      <c r="J10" s="19" t="s">
        <v>32</v>
      </c>
      <c r="K10" s="20">
        <f>0+0.268578+0+0.257466+0+0.256719+0.253298+0.27873+0.281736+0+0.27945+0.271128+0+0+0.281062+0.275544+0.284648+0+0+0.287742</f>
        <v>3.276101</v>
      </c>
      <c r="L10" s="10"/>
      <c r="M10" s="10">
        <f>C9*L9/100</f>
        <v>0.287742</v>
      </c>
    </row>
    <row r="11" s="1" customFormat="1" ht="25" customHeight="1" spans="1:13">
      <c r="A11" s="7">
        <v>6</v>
      </c>
      <c r="B11" s="8" t="s">
        <v>33</v>
      </c>
      <c r="C11" s="10">
        <v>5.3728</v>
      </c>
      <c r="D11" s="10">
        <v>0</v>
      </c>
      <c r="E11" s="10">
        <f t="shared" si="0"/>
        <v>5.3728</v>
      </c>
      <c r="F11" s="10" t="s">
        <v>14</v>
      </c>
      <c r="G11" s="10">
        <f>14.352+0+0+0+6.7344+17.5536+13.2664+17.664+16.56+14.6096+11.5+16.56+10.9848+11.6472+15.6216+16.2104+14.2232+14.4808+6.9736+5.3728</f>
        <v>224.3144</v>
      </c>
      <c r="H11" s="10"/>
      <c r="I11" s="10">
        <f>G11/(G3*0.1865)</f>
        <v>6.04401093941558</v>
      </c>
      <c r="J11" s="11"/>
      <c r="K11" s="10"/>
      <c r="L11" s="10"/>
      <c r="M11" s="21"/>
    </row>
    <row r="12" s="1" customFormat="1" ht="25" customHeight="1" spans="1:13">
      <c r="A12" s="7">
        <v>7</v>
      </c>
      <c r="B12" s="8" t="s">
        <v>34</v>
      </c>
      <c r="C12" s="10">
        <v>205</v>
      </c>
      <c r="D12" s="10">
        <v>206</v>
      </c>
      <c r="E12" s="10">
        <f t="shared" si="0"/>
        <v>411</v>
      </c>
      <c r="F12" s="10" t="s">
        <v>35</v>
      </c>
      <c r="G12" s="10">
        <f>472+11+0+16+206+451+454+465+490+368+388+385+456+440+477+407+450+317+323+411</f>
        <v>6987</v>
      </c>
      <c r="H12" s="10">
        <f>G12*1.05</f>
        <v>7336.35</v>
      </c>
      <c r="I12" s="10"/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36</v>
      </c>
      <c r="C13" s="10">
        <v>142</v>
      </c>
      <c r="D13" s="10">
        <v>174</v>
      </c>
      <c r="E13" s="10">
        <f t="shared" ref="E13:E21" si="1">D13+C13</f>
        <v>316</v>
      </c>
      <c r="F13" s="10" t="s">
        <v>35</v>
      </c>
      <c r="G13" s="10">
        <f>372+0+0+0+195+420+417+363+467+242+386+282+393+382+374+341+333+312+195.6+316</f>
        <v>5790.6</v>
      </c>
      <c r="H13" s="10"/>
      <c r="I13" s="10"/>
      <c r="J13" s="14"/>
      <c r="K13" s="10"/>
      <c r="L13" s="10"/>
      <c r="M13" s="10"/>
    </row>
    <row r="14" s="1" customFormat="1" ht="25" customHeight="1" spans="1:13">
      <c r="A14" s="7">
        <v>9</v>
      </c>
      <c r="B14" s="8" t="s">
        <v>37</v>
      </c>
      <c r="C14" s="10">
        <v>298.44</v>
      </c>
      <c r="D14" s="10">
        <v>439.65</v>
      </c>
      <c r="E14" s="10">
        <f t="shared" si="1"/>
        <v>738.09</v>
      </c>
      <c r="F14" s="10" t="s">
        <v>35</v>
      </c>
      <c r="G14" s="10">
        <f>209.75+0+0+0+370.64+733.22+886.44+846.58+728.24+930.46+896.96+902.95+629.84+963.57+867.96+679.89+781.38+634.77+618.01+738.09</f>
        <v>12418.75</v>
      </c>
      <c r="H14" s="10"/>
      <c r="I14" s="10"/>
      <c r="J14" s="19" t="s">
        <v>38</v>
      </c>
      <c r="K14" s="10">
        <v>3.2</v>
      </c>
      <c r="L14" s="10">
        <v>3.16</v>
      </c>
      <c r="M14" s="10"/>
    </row>
    <row r="15" s="1" customFormat="1" ht="25" customHeight="1" spans="1:13">
      <c r="A15" s="7">
        <v>10</v>
      </c>
      <c r="B15" s="8" t="s">
        <v>39</v>
      </c>
      <c r="C15" s="10">
        <v>15</v>
      </c>
      <c r="D15" s="10">
        <v>15</v>
      </c>
      <c r="E15" s="10">
        <f t="shared" si="1"/>
        <v>30</v>
      </c>
      <c r="F15" s="10" t="s">
        <v>14</v>
      </c>
      <c r="G15" s="10">
        <f>24+0+0+0+21+27+33+30+33+21+30+21+33+30+33+27+30+24+17+30</f>
        <v>464</v>
      </c>
      <c r="H15" s="10"/>
      <c r="I15" s="10">
        <f>G15/(G3*0.1865)</f>
        <v>12.502189230334</v>
      </c>
      <c r="J15" s="19" t="s">
        <v>40</v>
      </c>
      <c r="K15" s="20">
        <f>0.641835+0+0+0+1.0970944+2.2635878+2.9007565+2.4932712+2.1651567+2.7262642+2.5433786+2.6076891+1.9524176+3.0179391+2.7017752+2.2869365+2.5432458+2.029962+1.9472319+2.344302</f>
        <v>38.2628436</v>
      </c>
      <c r="L15" s="10"/>
      <c r="M15" s="10">
        <f>(C14*K14+L14*D14)/1000</f>
        <v>2.344302</v>
      </c>
    </row>
    <row r="16" s="1" customFormat="1" ht="25" customHeight="1" spans="1:13">
      <c r="A16" s="7">
        <v>11</v>
      </c>
      <c r="B16" s="8" t="s">
        <v>41</v>
      </c>
      <c r="C16" s="7">
        <v>0.0625</v>
      </c>
      <c r="D16" s="7">
        <v>0</v>
      </c>
      <c r="E16" s="10">
        <f t="shared" si="1"/>
        <v>0.0625</v>
      </c>
      <c r="F16" s="10" t="s">
        <v>14</v>
      </c>
      <c r="G16" s="10">
        <f>0+0+0+0+0+0.0875+0+0.075+0+0.0875+0.0375+0.0375+0+0+0.0375+0.0375+0.0375+0+0.075+0.0625</f>
        <v>0.575</v>
      </c>
      <c r="H16" s="22"/>
      <c r="I16" s="22"/>
      <c r="J16" s="11"/>
      <c r="K16" s="22"/>
      <c r="L16" s="22"/>
      <c r="M16" s="10"/>
    </row>
    <row r="17" s="1" customFormat="1" ht="25" customHeight="1" spans="1:13">
      <c r="A17" s="12">
        <v>12</v>
      </c>
      <c r="B17" s="8" t="s">
        <v>42</v>
      </c>
      <c r="C17" s="10">
        <v>0</v>
      </c>
      <c r="D17" s="7">
        <v>0</v>
      </c>
      <c r="E17" s="10">
        <f t="shared" si="1"/>
        <v>0</v>
      </c>
      <c r="F17" s="10" t="s">
        <v>14</v>
      </c>
      <c r="G17" s="10">
        <f>2+0+0+0+0+2+0+2+0+2+2+0+2+0+2+0+2+0+2+0</f>
        <v>18</v>
      </c>
      <c r="H17" s="22"/>
      <c r="I17" s="10">
        <f>G17/(G3*0.1865)</f>
        <v>0.484998720142266</v>
      </c>
      <c r="J17" s="11"/>
      <c r="K17" s="22"/>
      <c r="L17" s="22"/>
      <c r="M17" s="10"/>
    </row>
    <row r="18" s="1" customFormat="1" ht="25" customHeight="1" spans="1:13">
      <c r="A18" s="7">
        <v>13</v>
      </c>
      <c r="B18" s="8" t="s">
        <v>43</v>
      </c>
      <c r="C18" s="10">
        <v>0</v>
      </c>
      <c r="D18" s="7">
        <v>0</v>
      </c>
      <c r="E18" s="10">
        <f t="shared" si="1"/>
        <v>0</v>
      </c>
      <c r="F18" s="10" t="s">
        <v>14</v>
      </c>
      <c r="G18" s="10">
        <f>2+0+0+0+0+2+0+2+0+2+2+0+2+0+2+0+2+0+2+0</f>
        <v>18</v>
      </c>
      <c r="H18" s="22"/>
      <c r="I18" s="10">
        <f>G18/(G3*0.1865)</f>
        <v>0.484998720142266</v>
      </c>
      <c r="J18" s="11"/>
      <c r="K18" s="22"/>
      <c r="L18" s="22"/>
      <c r="M18" s="10"/>
    </row>
    <row r="19" s="1" customFormat="1" ht="25" customHeight="1" spans="1:13">
      <c r="A19" s="7">
        <v>14</v>
      </c>
      <c r="B19" s="8" t="s">
        <v>44</v>
      </c>
      <c r="C19" s="10">
        <v>2</v>
      </c>
      <c r="D19" s="7">
        <v>2</v>
      </c>
      <c r="E19" s="10">
        <f t="shared" si="1"/>
        <v>4</v>
      </c>
      <c r="F19" s="10" t="s">
        <v>45</v>
      </c>
      <c r="G19" s="10">
        <f>5+0+0+0+3+7+8+6+7+7+7+6+8+5+12+4+8+2+13+4</f>
        <v>112</v>
      </c>
      <c r="H19" s="22"/>
      <c r="I19" s="22"/>
      <c r="J19" s="11"/>
      <c r="K19" s="22"/>
      <c r="L19" s="22"/>
      <c r="M19" s="10"/>
    </row>
    <row r="20" s="1" customFormat="1" ht="25" customHeight="1" spans="1:13">
      <c r="A20" s="7">
        <v>15</v>
      </c>
      <c r="B20" s="8" t="s">
        <v>46</v>
      </c>
      <c r="C20" s="7">
        <v>568</v>
      </c>
      <c r="D20" s="7">
        <v>527</v>
      </c>
      <c r="E20" s="10">
        <f t="shared" si="1"/>
        <v>1095</v>
      </c>
      <c r="F20" s="10" t="s">
        <v>35</v>
      </c>
      <c r="G20" s="10">
        <f>507+0+0+339+1006+1051+1056+1200+1113+1132+810+1370+1187+1194+1246+1098+1056+635+1144+1095</f>
        <v>18239</v>
      </c>
      <c r="H20" s="23"/>
      <c r="I20" s="10">
        <f>E20/M20</f>
        <v>45.625</v>
      </c>
      <c r="J20" s="19" t="s">
        <v>47</v>
      </c>
      <c r="K20" s="10">
        <f>7.5+0+0+6+24+24+24+24+24+24+15.5+24+24+24+24+24+24+11.5+24+24</f>
        <v>376.5</v>
      </c>
      <c r="L20" s="10">
        <f>G20/K20</f>
        <v>48.4435590969455</v>
      </c>
      <c r="M20" s="10">
        <v>24</v>
      </c>
    </row>
    <row r="21" s="1" customFormat="1" ht="25" customHeight="1" spans="1:13">
      <c r="A21" s="12">
        <v>16</v>
      </c>
      <c r="B21" s="8" t="s">
        <v>48</v>
      </c>
      <c r="C21" s="7">
        <v>652</v>
      </c>
      <c r="D21" s="7">
        <v>596</v>
      </c>
      <c r="E21" s="10">
        <f t="shared" si="1"/>
        <v>1248</v>
      </c>
      <c r="F21" s="10" t="s">
        <v>35</v>
      </c>
      <c r="G21" s="10">
        <f>547+0+0+662+1124+1392+1384+1483+1450+1339+986+1680+1486+1500+1565+1326+1366+691+1337+1248</f>
        <v>22566</v>
      </c>
      <c r="H21" s="22"/>
      <c r="I21" s="10">
        <f>E21/M20</f>
        <v>52</v>
      </c>
      <c r="J21" s="11"/>
      <c r="K21" s="22"/>
      <c r="L21" s="22"/>
      <c r="M21" s="10"/>
    </row>
    <row r="22" s="1" customFormat="1" ht="25" customHeight="1" spans="1:13">
      <c r="A22" s="7">
        <v>17</v>
      </c>
      <c r="B22" s="8" t="s">
        <v>49</v>
      </c>
      <c r="C22" s="12">
        <v>32.29</v>
      </c>
      <c r="D22" s="12">
        <v>29.74</v>
      </c>
      <c r="E22" s="13"/>
      <c r="F22" s="13" t="s">
        <v>50</v>
      </c>
      <c r="G22" s="13"/>
      <c r="H22" s="24"/>
      <c r="I22" s="24"/>
      <c r="J22" s="25"/>
      <c r="K22" s="24"/>
      <c r="L22" s="24"/>
      <c r="M22" s="10"/>
    </row>
    <row r="23" s="1" customFormat="1" ht="32" customHeight="1" spans="1:13">
      <c r="A23" s="7">
        <v>18</v>
      </c>
      <c r="B23" s="26" t="s">
        <v>151</v>
      </c>
      <c r="C23" s="27" t="s">
        <v>167</v>
      </c>
      <c r="D23" s="28"/>
      <c r="E23" s="28"/>
      <c r="F23" s="28"/>
      <c r="G23" s="28"/>
      <c r="H23" s="29"/>
      <c r="I23" s="30" t="s">
        <v>73</v>
      </c>
      <c r="J23" s="26" t="s">
        <v>156</v>
      </c>
      <c r="K23" s="27" t="s">
        <v>168</v>
      </c>
      <c r="L23" s="28"/>
      <c r="M23" s="29"/>
    </row>
    <row r="24" s="1" customFormat="1" ht="32" customHeight="1" spans="1:13">
      <c r="A24" s="7">
        <v>19</v>
      </c>
      <c r="B24" s="26" t="s">
        <v>153</v>
      </c>
      <c r="C24" s="27" t="s">
        <v>169</v>
      </c>
      <c r="D24" s="28"/>
      <c r="E24" s="28"/>
      <c r="F24" s="28"/>
      <c r="G24" s="28"/>
      <c r="H24" s="29"/>
      <c r="I24" s="33" t="s">
        <v>73</v>
      </c>
      <c r="J24" s="26" t="s">
        <v>159</v>
      </c>
      <c r="K24" s="27" t="s">
        <v>170</v>
      </c>
      <c r="L24" s="28"/>
      <c r="M24" s="29"/>
    </row>
    <row r="25" s="1" customFormat="1" ht="80" customHeight="1" spans="1:13">
      <c r="A25" s="7">
        <v>20</v>
      </c>
      <c r="B25" s="31" t="s">
        <v>55</v>
      </c>
      <c r="C25" s="27" t="s">
        <v>129</v>
      </c>
      <c r="D25" s="28"/>
      <c r="E25" s="28"/>
      <c r="F25" s="28"/>
      <c r="G25" s="28"/>
      <c r="H25" s="28"/>
      <c r="I25" s="28"/>
      <c r="J25" s="28"/>
      <c r="K25" s="28"/>
      <c r="L25" s="28"/>
      <c r="M25" s="29"/>
    </row>
    <row r="26" s="1" customFormat="1" ht="14" customHeight="1" spans="1:13">
      <c r="C26" s="33"/>
      <c r="D26" s="33"/>
      <c r="J26" s="34"/>
    </row>
    <row r="27" s="1" customFormat="1" ht="45" customHeight="1" spans="1:13">
      <c r="A27" s="5" t="s">
        <v>171</v>
      </c>
    </row>
    <row r="28" s="1" customFormat="1" ht="30" customHeight="1" spans="1:13">
      <c r="A28" s="6" t="s">
        <v>58</v>
      </c>
      <c r="B28" s="6" t="s">
        <v>59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7">
        <v>1</v>
      </c>
      <c r="B29" s="8" t="s">
        <v>60</v>
      </c>
      <c r="C29" s="10">
        <v>0</v>
      </c>
      <c r="D29" s="10">
        <v>0</v>
      </c>
      <c r="E29" s="10">
        <f t="shared" ref="E29:E35" si="2">D29+C29</f>
        <v>0</v>
      </c>
      <c r="F29" s="10" t="s">
        <v>35</v>
      </c>
      <c r="G29" s="10">
        <f>0+0+0+0+0+0+0+0+0+0+0+0+0+0+0+0+0+0+0+0</f>
        <v>0</v>
      </c>
      <c r="H29" s="10"/>
      <c r="I29" s="10"/>
      <c r="J29" s="11"/>
      <c r="K29" s="22"/>
      <c r="L29" s="22"/>
      <c r="M29" s="10"/>
    </row>
    <row r="30" s="1" customFormat="1" ht="25" customHeight="1" spans="1:13">
      <c r="A30" s="7">
        <v>2</v>
      </c>
      <c r="B30" s="8" t="s">
        <v>61</v>
      </c>
      <c r="C30" s="10">
        <v>13.36</v>
      </c>
      <c r="D30" s="10">
        <v>8.34</v>
      </c>
      <c r="E30" s="10">
        <f t="shared" si="2"/>
        <v>21.7</v>
      </c>
      <c r="F30" s="10" t="s">
        <v>35</v>
      </c>
      <c r="G30" s="10">
        <f>0+0+0+0+0+0+12.6+12.59+14.7+16.7+8.28+16.61+16.56+16.62+16.74+16.66+16.65+0+0+21.7</f>
        <v>186.41</v>
      </c>
      <c r="H30" s="10"/>
      <c r="I30" s="10"/>
      <c r="J30" s="11"/>
      <c r="K30" s="22"/>
      <c r="L30" s="22"/>
      <c r="M30" s="21"/>
    </row>
    <row r="31" s="1" customFormat="1" ht="25" customHeight="1" spans="1:13">
      <c r="A31" s="7">
        <v>3</v>
      </c>
      <c r="B31" s="8" t="s">
        <v>62</v>
      </c>
      <c r="C31" s="10">
        <v>6</v>
      </c>
      <c r="D31" s="10">
        <v>11</v>
      </c>
      <c r="E31" s="10">
        <f t="shared" si="2"/>
        <v>17</v>
      </c>
      <c r="F31" s="10" t="s">
        <v>35</v>
      </c>
      <c r="G31" s="10">
        <f>9+33+13+24+43.31+38+19+17+26+16+38+42.27+10+19+38+8+29+51.3+22+17</f>
        <v>512.88</v>
      </c>
      <c r="H31" s="10"/>
      <c r="I31" s="10"/>
      <c r="J31" s="11"/>
      <c r="K31" s="22"/>
      <c r="L31" s="22"/>
      <c r="M31" s="21"/>
    </row>
    <row r="32" s="1" customFormat="1" ht="25" customHeight="1" spans="1:13">
      <c r="A32" s="7">
        <v>4</v>
      </c>
      <c r="B32" s="8" t="s">
        <v>31</v>
      </c>
      <c r="C32" s="10">
        <v>0</v>
      </c>
      <c r="D32" s="10">
        <v>0</v>
      </c>
      <c r="E32" s="10">
        <f t="shared" si="2"/>
        <v>0</v>
      </c>
      <c r="F32" s="10" t="s">
        <v>14</v>
      </c>
      <c r="G32" s="10">
        <f>0+0+0+0+0+0+0+0+8.1945+5.4135+14.796+0+12.3255+0+9.1665+5.94+16.2675+0+0+0</f>
        <v>72.1035</v>
      </c>
      <c r="H32" s="10"/>
      <c r="J32" s="11"/>
      <c r="K32" s="22"/>
      <c r="L32" s="22"/>
      <c r="M32" s="22"/>
    </row>
    <row r="33" s="1" customFormat="1" ht="25" customHeight="1" spans="1:13">
      <c r="A33" s="7">
        <v>5</v>
      </c>
      <c r="B33" s="8" t="s">
        <v>33</v>
      </c>
      <c r="C33" s="10">
        <v>0</v>
      </c>
      <c r="D33" s="10">
        <v>0</v>
      </c>
      <c r="E33" s="10">
        <f t="shared" si="2"/>
        <v>0</v>
      </c>
      <c r="F33" s="10" t="s">
        <v>14</v>
      </c>
      <c r="G33" s="10">
        <f>0+0+0+0+0+0+0+0+0+0+0+0+0+0+0+0+0+0+0+0</f>
        <v>0</v>
      </c>
      <c r="H33" s="10"/>
      <c r="I33" s="10"/>
      <c r="J33" s="14"/>
      <c r="K33" s="22"/>
      <c r="L33" s="22"/>
      <c r="M33" s="22"/>
    </row>
    <row r="34" s="1" customFormat="1" ht="25" customHeight="1" spans="1:13">
      <c r="A34" s="7">
        <v>6</v>
      </c>
      <c r="B34" s="8" t="s">
        <v>63</v>
      </c>
      <c r="C34" s="10">
        <v>295</v>
      </c>
      <c r="D34" s="10">
        <v>296</v>
      </c>
      <c r="E34" s="10">
        <f t="shared" si="2"/>
        <v>591</v>
      </c>
      <c r="F34" s="10" t="s">
        <v>35</v>
      </c>
      <c r="G34" s="10">
        <f>580+604+307+408+430+215+238+250+321+330+333+338+268+307+272+0+145+595+589+591</f>
        <v>7121</v>
      </c>
      <c r="H34" s="10"/>
      <c r="I34" s="10"/>
      <c r="J34" s="35"/>
      <c r="K34" s="22"/>
      <c r="L34" s="10"/>
      <c r="M34" s="22"/>
    </row>
    <row r="35" s="1" customFormat="1" ht="25" customHeight="1" spans="1:13">
      <c r="A35" s="7">
        <v>7</v>
      </c>
      <c r="B35" s="8" t="s">
        <v>64</v>
      </c>
      <c r="C35" s="10">
        <v>506</v>
      </c>
      <c r="D35" s="10">
        <v>504</v>
      </c>
      <c r="E35" s="10">
        <f t="shared" si="2"/>
        <v>1010</v>
      </c>
      <c r="F35" s="10" t="s">
        <v>35</v>
      </c>
      <c r="G35" s="10">
        <f>1010+819+776+499+966+1008+1007+1010+1005+1008+1008+980+786+1014+1016+1015+1015+972+986+1010</f>
        <v>18910</v>
      </c>
      <c r="H35" s="10"/>
      <c r="I35" s="10"/>
      <c r="J35" s="36"/>
      <c r="K35" s="22"/>
      <c r="L35" s="10"/>
      <c r="M35" s="22"/>
    </row>
    <row r="36" s="1" customFormat="1" ht="25" customHeight="1" spans="1:13">
      <c r="A36" s="7">
        <v>8</v>
      </c>
      <c r="B36" s="8" t="s">
        <v>65</v>
      </c>
      <c r="C36" s="10">
        <v>0</v>
      </c>
      <c r="D36" s="10">
        <v>0</v>
      </c>
      <c r="E36" s="10">
        <f>C36+D36</f>
        <v>0</v>
      </c>
      <c r="F36" s="10" t="s">
        <v>35</v>
      </c>
      <c r="G36" s="10">
        <f>0+0+0+0+0+0+0+0+0+0+0+0+0+0+0+0+0+0+0+0</f>
        <v>0</v>
      </c>
      <c r="H36" s="22"/>
      <c r="I36" s="7">
        <v>67.5</v>
      </c>
      <c r="J36" s="14"/>
      <c r="K36" s="37"/>
      <c r="L36" s="27"/>
      <c r="M36" s="38"/>
    </row>
    <row r="37" s="1" customFormat="1" ht="25" customHeight="1" spans="1:13">
      <c r="A37" s="7">
        <v>9</v>
      </c>
      <c r="B37" s="8" t="s">
        <v>66</v>
      </c>
      <c r="C37" s="10">
        <v>0</v>
      </c>
      <c r="D37" s="10">
        <v>0</v>
      </c>
      <c r="E37" s="10">
        <f>C37+D37</f>
        <v>0</v>
      </c>
      <c r="F37" s="10" t="s">
        <v>35</v>
      </c>
      <c r="G37" s="10">
        <f>0+0+0+0+0+0+0+0+0+0+0+0+0+0+0+0+0+0+0+0</f>
        <v>0</v>
      </c>
      <c r="H37" s="22"/>
      <c r="I37" s="7">
        <v>84.2542</v>
      </c>
      <c r="J37" s="35"/>
      <c r="K37" s="37"/>
      <c r="L37" s="27"/>
      <c r="M37" s="38"/>
    </row>
    <row r="38" s="1" customFormat="1" ht="25" customHeight="1" spans="1:13">
      <c r="A38" s="7">
        <v>10</v>
      </c>
      <c r="B38" s="8" t="s">
        <v>67</v>
      </c>
      <c r="C38" s="7">
        <v>2</v>
      </c>
      <c r="D38" s="7">
        <v>3</v>
      </c>
      <c r="E38" s="10">
        <f>D38+C38</f>
        <v>5</v>
      </c>
      <c r="F38" s="10" t="s">
        <v>45</v>
      </c>
      <c r="G38" s="10">
        <f>0+0+2+0+0+0+2+0+3+4+2+2+4+6+3+4+4+0+1+5</f>
        <v>42</v>
      </c>
      <c r="H38" s="22"/>
      <c r="I38" s="10">
        <v>0</v>
      </c>
      <c r="J38" s="35"/>
      <c r="K38" s="27"/>
      <c r="L38" s="19" t="s">
        <v>68</v>
      </c>
      <c r="M38" s="7">
        <v>6</v>
      </c>
    </row>
    <row r="39" s="1" customFormat="1" ht="80" customHeight="1" spans="1:13">
      <c r="A39" s="7">
        <v>11</v>
      </c>
      <c r="B39" s="32" t="s">
        <v>55</v>
      </c>
      <c r="C39" s="27" t="s">
        <v>69</v>
      </c>
      <c r="D39" s="28"/>
      <c r="E39" s="28"/>
      <c r="F39" s="28"/>
      <c r="G39" s="28"/>
      <c r="H39" s="28"/>
      <c r="I39" s="28"/>
      <c r="J39" s="28"/>
      <c r="K39" s="28"/>
      <c r="L39" s="28"/>
      <c r="M39" s="29"/>
    </row>
    <row r="47" s="1" customFormat="1" spans="1:13">
      <c r="C47" s="33"/>
      <c r="D47" s="33"/>
      <c r="J47" s="34"/>
    </row>
    <row r="48" spans="1:13">
      <c r="L48" s="1"/>
    </row>
  </sheetData>
  <mergeCells count="11">
    <mergeCell ref="A1:M1"/>
    <mergeCell ref="C23:H23"/>
    <mergeCell ref="K23:M23"/>
    <mergeCell ref="C24:H24"/>
    <mergeCell ref="K24:M24"/>
    <mergeCell ref="C25:M25"/>
    <mergeCell ref="A27:M27"/>
    <mergeCell ref="C39:M39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zoomScale="85" zoomScaleNormal="85" workbookViewId="0">
      <selection activeCell="N1" sqref="N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172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8" customHeight="1" spans="1:13">
      <c r="A3" s="7">
        <v>1</v>
      </c>
      <c r="B3" s="8" t="s">
        <v>13</v>
      </c>
      <c r="C3" s="9">
        <v>6</v>
      </c>
      <c r="D3" s="9">
        <v>6</v>
      </c>
      <c r="E3" s="10">
        <f t="shared" ref="E3:E12" si="0">C3+D3</f>
        <v>12</v>
      </c>
      <c r="F3" s="10" t="s">
        <v>14</v>
      </c>
      <c r="G3" s="10">
        <f>12+0+0+0+6+13+13+13+15+9+13+9+15+13.5+15.5+11+12.5+12+5.5+11+12</f>
        <v>211</v>
      </c>
      <c r="H3" s="10">
        <v>330</v>
      </c>
      <c r="I3" s="10">
        <f>H3-G3</f>
        <v>119</v>
      </c>
      <c r="J3" s="11"/>
      <c r="K3" s="10"/>
      <c r="L3" s="10"/>
      <c r="M3" s="10">
        <f>I3/9</f>
        <v>13.2222222222222</v>
      </c>
    </row>
    <row r="4" s="1" customFormat="1" ht="38" customHeight="1" spans="1:13">
      <c r="A4" s="12">
        <v>2</v>
      </c>
      <c r="B4" s="8" t="s">
        <v>18</v>
      </c>
      <c r="C4" s="9">
        <v>12</v>
      </c>
      <c r="D4" s="9"/>
      <c r="E4" s="10">
        <f t="shared" si="0"/>
        <v>12</v>
      </c>
      <c r="F4" s="10" t="s">
        <v>14</v>
      </c>
      <c r="G4" s="10">
        <f>12+8+0+0+0+6+14+12+14+14+10+12+10+14+14+16+10+14+12+4+12</f>
        <v>208</v>
      </c>
      <c r="H4" s="13"/>
      <c r="I4" s="13"/>
      <c r="J4" s="11"/>
      <c r="K4" s="10"/>
      <c r="L4" s="10"/>
      <c r="M4" s="10"/>
    </row>
    <row r="5" s="1" customFormat="1" ht="38" customHeight="1" spans="1:13">
      <c r="A5" s="12">
        <v>3</v>
      </c>
      <c r="B5" s="8" t="s">
        <v>21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65+0+0+0+0+0+0+0+0+0+0+0+0+0+0+0+0+0+0+0+0</f>
        <v>65</v>
      </c>
      <c r="H5" s="10">
        <v>4950</v>
      </c>
      <c r="I5" s="10">
        <f>H5-G5-G7-G6</f>
        <v>1936</v>
      </c>
      <c r="J5" s="14"/>
      <c r="K5" s="10"/>
      <c r="L5" s="10"/>
      <c r="M5" s="10"/>
    </row>
    <row r="6" s="1" customFormat="1" ht="38" customHeight="1" spans="1:13">
      <c r="A6" s="15"/>
      <c r="B6" s="8" t="s">
        <v>23</v>
      </c>
      <c r="C6" s="10">
        <v>93</v>
      </c>
      <c r="D6" s="10">
        <v>79</v>
      </c>
      <c r="E6" s="10">
        <f t="shared" si="0"/>
        <v>172</v>
      </c>
      <c r="F6" s="10" t="s">
        <v>14</v>
      </c>
      <c r="G6" s="10">
        <f>0+0+0+0+183+194+174+196+189+174+99+228+173+212+203+172+165+64+196+141+172</f>
        <v>2935</v>
      </c>
      <c r="H6" s="15"/>
      <c r="I6" s="15"/>
      <c r="J6" s="11"/>
      <c r="K6" s="10"/>
      <c r="L6" s="10"/>
      <c r="M6" s="16"/>
    </row>
    <row r="7" s="1" customFormat="1" ht="38" customHeight="1" spans="1:13">
      <c r="A7" s="15"/>
      <c r="B7" s="8" t="s">
        <v>25</v>
      </c>
      <c r="C7" s="10">
        <v>1</v>
      </c>
      <c r="D7" s="10">
        <v>0</v>
      </c>
      <c r="E7" s="10">
        <f t="shared" si="0"/>
        <v>1</v>
      </c>
      <c r="F7" s="10" t="s">
        <v>14</v>
      </c>
      <c r="G7" s="10">
        <f>0+0+0+8+1+0+0+0+0+0+0+3+0+0+1+0+0+0+0+0+1</f>
        <v>14</v>
      </c>
      <c r="H7" s="15"/>
      <c r="I7" s="15"/>
      <c r="J7" s="11"/>
      <c r="K7" s="10"/>
      <c r="L7" s="10"/>
      <c r="M7" s="10"/>
    </row>
    <row r="8" s="1" customFormat="1" ht="38" customHeight="1" spans="1:13">
      <c r="A8" s="15"/>
      <c r="B8" s="8" t="s">
        <v>27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0+0+0+0+0+0+0+0+0+0+0+0+0+0+0+0+0+0+0+0+0</f>
        <v>0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29</v>
      </c>
      <c r="C9" s="13">
        <v>31.23</v>
      </c>
      <c r="D9" s="13"/>
      <c r="E9" s="10">
        <f t="shared" si="0"/>
        <v>31.23</v>
      </c>
      <c r="F9" s="13" t="s">
        <v>14</v>
      </c>
      <c r="G9" s="10">
        <f>0+31.23+0+31.02+0+30.93+30.89+30.97+30.96+0+31.05+30.81+0+0+31.58+30.96+31.28+0+0+30.94+31.23</f>
        <v>403.85</v>
      </c>
      <c r="H9" s="13">
        <v>6.08</v>
      </c>
      <c r="I9" s="13">
        <f>H9-K10</f>
        <v>2.507214</v>
      </c>
      <c r="J9" s="19" t="s">
        <v>30</v>
      </c>
      <c r="K9" s="10">
        <v>150</v>
      </c>
      <c r="L9" s="10">
        <v>0.95</v>
      </c>
      <c r="M9" s="20"/>
    </row>
    <row r="10" s="1" customFormat="1" ht="25" customHeight="1" spans="1:13">
      <c r="A10" s="7">
        <v>5</v>
      </c>
      <c r="B10" s="8" t="s">
        <v>31</v>
      </c>
      <c r="C10" s="10">
        <v>7.047</v>
      </c>
      <c r="D10" s="10">
        <v>2.538</v>
      </c>
      <c r="E10" s="10">
        <f t="shared" si="0"/>
        <v>9.585</v>
      </c>
      <c r="F10" s="10" t="s">
        <v>14</v>
      </c>
      <c r="G10" s="10">
        <f>6.831+0+0+0+6.6555+7.614+14.958+12.744+10.611+5.832+10.314+9.369+6.1965+9.4635+9.1395+9.774+8.532+7.128+9.45+7.4385+9.585</f>
        <v>161.6355</v>
      </c>
      <c r="H10" s="10"/>
      <c r="I10" s="10">
        <f>G10/(G3*0.1865)</f>
        <v>4.10748001982135</v>
      </c>
      <c r="J10" s="19" t="s">
        <v>32</v>
      </c>
      <c r="K10" s="20">
        <f>0+0.268578+0+0.257466+0+0.256719+0.253298+0.27873+0.281736+0+0.27945+0.271128+0+0+0.281062+0.275544+0.284648+0+0+0.287742+0.296685</f>
        <v>3.572786</v>
      </c>
      <c r="L10" s="10"/>
      <c r="M10" s="10">
        <f>C9*L9/100</f>
        <v>0.296685</v>
      </c>
    </row>
    <row r="11" s="1" customFormat="1" ht="25" customHeight="1" spans="1:13">
      <c r="A11" s="7">
        <v>6</v>
      </c>
      <c r="B11" s="8" t="s">
        <v>33</v>
      </c>
      <c r="C11" s="10">
        <v>12.0152</v>
      </c>
      <c r="D11" s="10">
        <v>0</v>
      </c>
      <c r="E11" s="10">
        <f t="shared" si="0"/>
        <v>12.0152</v>
      </c>
      <c r="F11" s="10" t="s">
        <v>14</v>
      </c>
      <c r="G11" s="10">
        <f>14.352+0+0+0+6.7344+17.5536+13.2664+17.664+16.56+14.6096+11.5+16.56+10.9848+11.6472+15.6216+16.2104+14.2232+14.4808+6.9736+5.3728+12.0152</f>
        <v>236.3296</v>
      </c>
      <c r="H11" s="10"/>
      <c r="I11" s="10">
        <f>G11/(G3*0.1865)</f>
        <v>6.00560588541733</v>
      </c>
      <c r="J11" s="11"/>
      <c r="K11" s="10"/>
      <c r="L11" s="10"/>
      <c r="M11" s="21"/>
    </row>
    <row r="12" s="1" customFormat="1" ht="25" customHeight="1" spans="1:13">
      <c r="A12" s="7">
        <v>7</v>
      </c>
      <c r="B12" s="8" t="s">
        <v>34</v>
      </c>
      <c r="C12" s="10">
        <v>232</v>
      </c>
      <c r="D12" s="10">
        <v>219</v>
      </c>
      <c r="E12" s="10">
        <f t="shared" si="0"/>
        <v>451</v>
      </c>
      <c r="F12" s="10" t="s">
        <v>35</v>
      </c>
      <c r="G12" s="10">
        <f>472+11+0+16+206+451+454+465+490+368+388+385+456+440+477+407+450+317+323+411+451</f>
        <v>7438</v>
      </c>
      <c r="H12" s="10">
        <f>G12*1.05</f>
        <v>7809.9</v>
      </c>
      <c r="I12" s="10"/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36</v>
      </c>
      <c r="C13" s="10">
        <v>191</v>
      </c>
      <c r="D13" s="10">
        <v>183</v>
      </c>
      <c r="E13" s="10">
        <f t="shared" ref="E13:E21" si="1">D13+C13</f>
        <v>374</v>
      </c>
      <c r="F13" s="10" t="s">
        <v>35</v>
      </c>
      <c r="G13" s="10">
        <f>372+0+0+0+195+420+417+363+467+242+386+282+393+382+374+341+333+312+195.6+316+374</f>
        <v>6164.6</v>
      </c>
      <c r="H13" s="10"/>
      <c r="I13" s="10"/>
      <c r="J13" s="14"/>
      <c r="K13" s="10"/>
      <c r="L13" s="10"/>
      <c r="M13" s="10"/>
    </row>
    <row r="14" s="1" customFormat="1" ht="25" customHeight="1" spans="1:13">
      <c r="A14" s="7">
        <v>9</v>
      </c>
      <c r="B14" s="8" t="s">
        <v>37</v>
      </c>
      <c r="C14" s="10">
        <v>449.96</v>
      </c>
      <c r="D14" s="10">
        <v>290.36</v>
      </c>
      <c r="E14" s="10">
        <f t="shared" si="1"/>
        <v>740.32</v>
      </c>
      <c r="F14" s="10" t="s">
        <v>35</v>
      </c>
      <c r="G14" s="10">
        <f>209.75+0+0+0+370.64+733.22+886.44+846.58+728.24+930.46+896.96+902.95+629.84+963.57+867.96+679.89+781.38+634.77+618.01+738.09+740.32</f>
        <v>13159.07</v>
      </c>
      <c r="H14" s="10"/>
      <c r="I14" s="10"/>
      <c r="J14" s="19" t="s">
        <v>38</v>
      </c>
      <c r="K14" s="10">
        <v>3.02</v>
      </c>
      <c r="L14" s="10">
        <v>3.27</v>
      </c>
      <c r="M14" s="10"/>
    </row>
    <row r="15" s="1" customFormat="1" ht="25" customHeight="1" spans="1:13">
      <c r="A15" s="7">
        <v>10</v>
      </c>
      <c r="B15" s="8" t="s">
        <v>39</v>
      </c>
      <c r="C15" s="10">
        <v>15</v>
      </c>
      <c r="D15" s="10">
        <v>15</v>
      </c>
      <c r="E15" s="10">
        <f t="shared" si="1"/>
        <v>30</v>
      </c>
      <c r="F15" s="10" t="s">
        <v>14</v>
      </c>
      <c r="G15" s="10">
        <f>24+0+0+0+21+27+33+30+33+21+30+21+33+30+33+27+30+24+17+30+30</f>
        <v>494</v>
      </c>
      <c r="H15" s="10"/>
      <c r="I15" s="10">
        <f>G15/(G3*0.1865)</f>
        <v>12.5535240079794</v>
      </c>
      <c r="J15" s="19" t="s">
        <v>40</v>
      </c>
      <c r="K15" s="20">
        <f>0.641835+0+0+0+1.0970944+2.2635878+2.9007565+2.4932712+2.1651567+2.7262642+2.5433786+2.6076891+1.9524176+3.0179391+2.7017752+2.2869365+2.5432458+2.029962+1.9472319+2.344302+2.3083564</f>
        <v>40.5712</v>
      </c>
      <c r="L15" s="10"/>
      <c r="M15" s="10">
        <f>(C14*K14+L14*D14)/1000</f>
        <v>2.3083564</v>
      </c>
    </row>
    <row r="16" s="1" customFormat="1" ht="25" customHeight="1" spans="1:13">
      <c r="A16" s="7">
        <v>11</v>
      </c>
      <c r="B16" s="8" t="s">
        <v>41</v>
      </c>
      <c r="C16" s="7">
        <v>0</v>
      </c>
      <c r="D16" s="7">
        <v>0</v>
      </c>
      <c r="E16" s="10">
        <f t="shared" si="1"/>
        <v>0</v>
      </c>
      <c r="F16" s="10" t="s">
        <v>14</v>
      </c>
      <c r="G16" s="10">
        <f>0+0+0+0+0+0.0875+0+0.075+0+0.0875+0.0375+0.0375+0+0+0.0375+0.0375+0.0375+0+0.075+0.0625+0</f>
        <v>0.575</v>
      </c>
      <c r="H16" s="22"/>
      <c r="I16" s="22"/>
      <c r="J16" s="11"/>
      <c r="K16" s="22"/>
      <c r="L16" s="22"/>
      <c r="M16" s="10"/>
    </row>
    <row r="17" s="1" customFormat="1" ht="25" customHeight="1" spans="1:13">
      <c r="A17" s="12">
        <v>12</v>
      </c>
      <c r="B17" s="8" t="s">
        <v>42</v>
      </c>
      <c r="C17" s="10">
        <v>2</v>
      </c>
      <c r="D17" s="7">
        <v>0</v>
      </c>
      <c r="E17" s="10">
        <f t="shared" si="1"/>
        <v>2</v>
      </c>
      <c r="F17" s="10" t="s">
        <v>14</v>
      </c>
      <c r="G17" s="10">
        <f>2+0+0+0+0+2+0+2+0+2+2+0+2+0+2+0+2+0+2+0+2</f>
        <v>20</v>
      </c>
      <c r="H17" s="22"/>
      <c r="I17" s="10">
        <f>G17/(G3*0.1865)</f>
        <v>0.508239838379731</v>
      </c>
      <c r="J17" s="11"/>
      <c r="K17" s="22"/>
      <c r="L17" s="22"/>
      <c r="M17" s="10"/>
    </row>
    <row r="18" s="1" customFormat="1" ht="25" customHeight="1" spans="1:13">
      <c r="A18" s="7">
        <v>13</v>
      </c>
      <c r="B18" s="8" t="s">
        <v>43</v>
      </c>
      <c r="C18" s="10">
        <v>2</v>
      </c>
      <c r="D18" s="7">
        <v>0</v>
      </c>
      <c r="E18" s="10">
        <f t="shared" si="1"/>
        <v>2</v>
      </c>
      <c r="F18" s="10" t="s">
        <v>14</v>
      </c>
      <c r="G18" s="10">
        <f>2+0+0+0+0+2+0+2+0+2+2+0+2+0+2+0+2+0+2+0+2</f>
        <v>20</v>
      </c>
      <c r="H18" s="22"/>
      <c r="I18" s="10">
        <f>G18/(G3*0.1865)</f>
        <v>0.508239838379731</v>
      </c>
      <c r="J18" s="11"/>
      <c r="K18" s="22"/>
      <c r="L18" s="22"/>
      <c r="M18" s="10"/>
    </row>
    <row r="19" s="1" customFormat="1" ht="25" customHeight="1" spans="1:13">
      <c r="A19" s="7">
        <v>14</v>
      </c>
      <c r="B19" s="8" t="s">
        <v>44</v>
      </c>
      <c r="C19" s="10">
        <v>4</v>
      </c>
      <c r="D19" s="7">
        <v>4</v>
      </c>
      <c r="E19" s="10">
        <f t="shared" si="1"/>
        <v>8</v>
      </c>
      <c r="F19" s="10" t="s">
        <v>45</v>
      </c>
      <c r="G19" s="10">
        <f>5+0+0+0+3+7+8+6+7+7+7+6+8+5+12+4+8+2+13+4+8</f>
        <v>120</v>
      </c>
      <c r="H19" s="22"/>
      <c r="I19" s="22"/>
      <c r="J19" s="11"/>
      <c r="K19" s="22"/>
      <c r="L19" s="22"/>
      <c r="M19" s="10"/>
    </row>
    <row r="20" s="1" customFormat="1" ht="25" customHeight="1" spans="1:13">
      <c r="A20" s="7">
        <v>15</v>
      </c>
      <c r="B20" s="8" t="s">
        <v>46</v>
      </c>
      <c r="C20" s="7">
        <v>571</v>
      </c>
      <c r="D20" s="7">
        <v>555</v>
      </c>
      <c r="E20" s="10">
        <f t="shared" si="1"/>
        <v>1126</v>
      </c>
      <c r="F20" s="10" t="s">
        <v>35</v>
      </c>
      <c r="G20" s="10">
        <f>507+0+0+339+1006+1051+1056+1200+1113+1132+810+1370+1187+1194+1246+1098+1056+635+1144+1095+1126</f>
        <v>19365</v>
      </c>
      <c r="H20" s="23"/>
      <c r="I20" s="10">
        <f>E20/M20</f>
        <v>46.9166666666667</v>
      </c>
      <c r="J20" s="19" t="s">
        <v>47</v>
      </c>
      <c r="K20" s="10">
        <f>7.5+0+0+6+24+24+24+24+24+24+15.5+24+24+24+24+24+24+11.5+24+24+24</f>
        <v>400.5</v>
      </c>
      <c r="L20" s="10">
        <f>G20/K20</f>
        <v>48.3520599250936</v>
      </c>
      <c r="M20" s="10">
        <v>24</v>
      </c>
    </row>
    <row r="21" s="1" customFormat="1" ht="25" customHeight="1" spans="1:13">
      <c r="A21" s="12">
        <v>16</v>
      </c>
      <c r="B21" s="8" t="s">
        <v>48</v>
      </c>
      <c r="C21" s="7">
        <v>728</v>
      </c>
      <c r="D21" s="7">
        <v>705</v>
      </c>
      <c r="E21" s="10">
        <f t="shared" si="1"/>
        <v>1433</v>
      </c>
      <c r="F21" s="10" t="s">
        <v>35</v>
      </c>
      <c r="G21" s="10">
        <f>547+0+0+662+1124+1392+1384+1483+1450+1339+986+1680+1486+1500+1565+1326+1366+691+1337+1248+1433</f>
        <v>23999</v>
      </c>
      <c r="H21" s="22"/>
      <c r="I21" s="10">
        <f>E21/M20</f>
        <v>59.7083333333333</v>
      </c>
      <c r="J21" s="11"/>
      <c r="K21" s="22"/>
      <c r="L21" s="22"/>
      <c r="M21" s="10"/>
    </row>
    <row r="22" s="1" customFormat="1" ht="25" customHeight="1" spans="1:13">
      <c r="A22" s="7">
        <v>17</v>
      </c>
      <c r="B22" s="8" t="s">
        <v>49</v>
      </c>
      <c r="C22" s="12">
        <v>29.58</v>
      </c>
      <c r="D22" s="12">
        <v>27.24</v>
      </c>
      <c r="E22" s="13"/>
      <c r="F22" s="13" t="s">
        <v>50</v>
      </c>
      <c r="G22" s="13"/>
      <c r="H22" s="24"/>
      <c r="I22" s="24"/>
      <c r="J22" s="25"/>
      <c r="K22" s="24"/>
      <c r="L22" s="24"/>
      <c r="M22" s="10"/>
    </row>
    <row r="23" s="1" customFormat="1" ht="32" customHeight="1" spans="1:13">
      <c r="A23" s="7">
        <v>18</v>
      </c>
      <c r="B23" s="26" t="s">
        <v>151</v>
      </c>
      <c r="C23" s="27" t="s">
        <v>173</v>
      </c>
      <c r="D23" s="28"/>
      <c r="E23" s="28"/>
      <c r="F23" s="28"/>
      <c r="G23" s="28"/>
      <c r="H23" s="29"/>
      <c r="I23" s="30" t="s">
        <v>73</v>
      </c>
      <c r="J23" s="26" t="s">
        <v>156</v>
      </c>
      <c r="K23" s="27" t="s">
        <v>174</v>
      </c>
      <c r="L23" s="28"/>
      <c r="M23" s="29"/>
    </row>
    <row r="24" s="1" customFormat="1" ht="32" customHeight="1" spans="1:13">
      <c r="A24" s="7">
        <v>19</v>
      </c>
      <c r="B24" s="26" t="s">
        <v>153</v>
      </c>
      <c r="C24" s="27" t="s">
        <v>175</v>
      </c>
      <c r="D24" s="28"/>
      <c r="E24" s="28"/>
      <c r="F24" s="28"/>
      <c r="G24" s="28"/>
      <c r="H24" s="29"/>
      <c r="I24" s="33" t="s">
        <v>73</v>
      </c>
      <c r="J24" s="26" t="s">
        <v>159</v>
      </c>
      <c r="K24" s="27" t="s">
        <v>176</v>
      </c>
      <c r="L24" s="28"/>
      <c r="M24" s="29"/>
    </row>
    <row r="25" s="1" customFormat="1" ht="80" customHeight="1" spans="1:13">
      <c r="A25" s="7">
        <v>20</v>
      </c>
      <c r="B25" s="31" t="s">
        <v>55</v>
      </c>
      <c r="C25" s="27" t="s">
        <v>129</v>
      </c>
      <c r="D25" s="28"/>
      <c r="E25" s="28"/>
      <c r="F25" s="28"/>
      <c r="G25" s="28"/>
      <c r="H25" s="28"/>
      <c r="I25" s="28"/>
      <c r="J25" s="28"/>
      <c r="K25" s="28"/>
      <c r="L25" s="28"/>
      <c r="M25" s="29"/>
    </row>
    <row r="26" s="1" customFormat="1" ht="14" customHeight="1" spans="1:13">
      <c r="C26" s="33"/>
      <c r="D26" s="33"/>
      <c r="J26" s="34"/>
    </row>
    <row r="27" s="1" customFormat="1" ht="45" customHeight="1" spans="1:13">
      <c r="A27" s="5" t="s">
        <v>177</v>
      </c>
    </row>
    <row r="28" s="1" customFormat="1" ht="30" customHeight="1" spans="1:13">
      <c r="A28" s="6" t="s">
        <v>58</v>
      </c>
      <c r="B28" s="6" t="s">
        <v>59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7">
        <v>1</v>
      </c>
      <c r="B29" s="8" t="s">
        <v>60</v>
      </c>
      <c r="C29" s="10">
        <v>0</v>
      </c>
      <c r="D29" s="10">
        <v>0</v>
      </c>
      <c r="E29" s="10">
        <f t="shared" ref="E29:E35" si="2">D29+C29</f>
        <v>0</v>
      </c>
      <c r="F29" s="10" t="s">
        <v>35</v>
      </c>
      <c r="G29" s="10">
        <f>0+0+0+0+0+0+0+0+0+0+0+0+0+0+0+0+0+0+0+0+0</f>
        <v>0</v>
      </c>
      <c r="H29" s="10"/>
      <c r="I29" s="10"/>
      <c r="J29" s="11"/>
      <c r="K29" s="22"/>
      <c r="L29" s="22"/>
      <c r="M29" s="10"/>
    </row>
    <row r="30" s="1" customFormat="1" ht="25" customHeight="1" spans="1:13">
      <c r="A30" s="7">
        <v>2</v>
      </c>
      <c r="B30" s="8" t="s">
        <v>61</v>
      </c>
      <c r="C30" s="10">
        <v>8.37</v>
      </c>
      <c r="D30" s="10">
        <v>8.33</v>
      </c>
      <c r="E30" s="10">
        <f t="shared" si="2"/>
        <v>16.7</v>
      </c>
      <c r="F30" s="10" t="s">
        <v>35</v>
      </c>
      <c r="G30" s="10">
        <f>0+0+0+0+0+0+12.6+12.59+14.7+16.7+8.28+16.61+16.56+16.62+16.74+16.66+16.65+0+0+21.7+16.7</f>
        <v>203.11</v>
      </c>
      <c r="H30" s="10"/>
      <c r="I30" s="10"/>
      <c r="J30" s="11"/>
      <c r="K30" s="22"/>
      <c r="L30" s="22"/>
      <c r="M30" s="21"/>
    </row>
    <row r="31" s="1" customFormat="1" ht="25" customHeight="1" spans="1:13">
      <c r="A31" s="7">
        <v>3</v>
      </c>
      <c r="B31" s="8" t="s">
        <v>62</v>
      </c>
      <c r="C31" s="10">
        <v>10</v>
      </c>
      <c r="D31" s="10">
        <v>16</v>
      </c>
      <c r="E31" s="10">
        <f t="shared" si="2"/>
        <v>26</v>
      </c>
      <c r="F31" s="10" t="s">
        <v>35</v>
      </c>
      <c r="G31" s="10">
        <f>9+33+13+24+43.31+38+19+17+26+16+38+42.27+10+19+38+8+29+51.3+22+17+26</f>
        <v>538.88</v>
      </c>
      <c r="H31" s="10"/>
      <c r="I31" s="10"/>
      <c r="J31" s="11"/>
      <c r="K31" s="22"/>
      <c r="L31" s="22"/>
      <c r="M31" s="21"/>
    </row>
    <row r="32" s="1" customFormat="1" ht="25" customHeight="1" spans="1:13">
      <c r="A32" s="7">
        <v>4</v>
      </c>
      <c r="B32" s="8" t="s">
        <v>31</v>
      </c>
      <c r="C32" s="10">
        <v>14.337</v>
      </c>
      <c r="D32" s="10">
        <v>0</v>
      </c>
      <c r="E32" s="10">
        <f t="shared" si="2"/>
        <v>14.337</v>
      </c>
      <c r="F32" s="10" t="s">
        <v>14</v>
      </c>
      <c r="G32" s="10">
        <f>0+0+0+0+0+0+0+0+8.1945+5.4135+14.796+0+12.3255+0+9.1665+5.94+16.2675+0+0+0+14.337</f>
        <v>86.4405</v>
      </c>
      <c r="H32" s="10"/>
      <c r="J32" s="11"/>
      <c r="K32" s="22"/>
      <c r="L32" s="22"/>
      <c r="M32" s="22"/>
    </row>
    <row r="33" s="1" customFormat="1" ht="25" customHeight="1" spans="1:13">
      <c r="A33" s="7">
        <v>5</v>
      </c>
      <c r="B33" s="8" t="s">
        <v>33</v>
      </c>
      <c r="C33" s="10">
        <v>0</v>
      </c>
      <c r="D33" s="10">
        <v>0</v>
      </c>
      <c r="E33" s="10">
        <f t="shared" si="2"/>
        <v>0</v>
      </c>
      <c r="F33" s="10" t="s">
        <v>14</v>
      </c>
      <c r="G33" s="10">
        <f>0+0+0+0+0+0+0+0+0+0+0+0+0+0+0+0+0+0+0+0+0</f>
        <v>0</v>
      </c>
      <c r="H33" s="10"/>
      <c r="I33" s="10"/>
      <c r="J33" s="14"/>
      <c r="K33" s="22"/>
      <c r="L33" s="22"/>
      <c r="M33" s="22"/>
    </row>
    <row r="34" s="1" customFormat="1" ht="25" customHeight="1" spans="1:13">
      <c r="A34" s="7">
        <v>6</v>
      </c>
      <c r="B34" s="8" t="s">
        <v>63</v>
      </c>
      <c r="C34" s="10">
        <v>295</v>
      </c>
      <c r="D34" s="10">
        <v>295</v>
      </c>
      <c r="E34" s="10">
        <f t="shared" si="2"/>
        <v>590</v>
      </c>
      <c r="F34" s="10" t="s">
        <v>35</v>
      </c>
      <c r="G34" s="10">
        <f>580+604+307+408+430+215+238+250+321+330+333+338+268+307+272+0+145+595+589+591+590</f>
        <v>7711</v>
      </c>
      <c r="H34" s="10"/>
      <c r="I34" s="10"/>
      <c r="J34" s="35"/>
      <c r="K34" s="22"/>
      <c r="L34" s="10"/>
      <c r="M34" s="22"/>
    </row>
    <row r="35" s="1" customFormat="1" ht="25" customHeight="1" spans="1:13">
      <c r="A35" s="7">
        <v>7</v>
      </c>
      <c r="B35" s="8" t="s">
        <v>64</v>
      </c>
      <c r="C35" s="10">
        <v>504</v>
      </c>
      <c r="D35" s="10">
        <v>503</v>
      </c>
      <c r="E35" s="10">
        <f t="shared" si="2"/>
        <v>1007</v>
      </c>
      <c r="F35" s="10" t="s">
        <v>35</v>
      </c>
      <c r="G35" s="10">
        <f>1010+819+776+499+966+1008+1007+1010+1005+1008+1008+980+786+1014+1016+1015+1015+972+986+1010+1007</f>
        <v>19917</v>
      </c>
      <c r="H35" s="10"/>
      <c r="I35" s="10"/>
      <c r="J35" s="36"/>
      <c r="K35" s="22"/>
      <c r="L35" s="10"/>
      <c r="M35" s="22"/>
    </row>
    <row r="36" s="1" customFormat="1" ht="25" customHeight="1" spans="1:13">
      <c r="A36" s="7">
        <v>8</v>
      </c>
      <c r="B36" s="8" t="s">
        <v>65</v>
      </c>
      <c r="C36" s="10">
        <v>0</v>
      </c>
      <c r="D36" s="10">
        <v>0</v>
      </c>
      <c r="E36" s="10">
        <f>C36+D36</f>
        <v>0</v>
      </c>
      <c r="F36" s="10" t="s">
        <v>35</v>
      </c>
      <c r="G36" s="10">
        <f>0+0+0+0+0+0+0+0+0+0+0+0+0+0+0+0+0+0+0+0+0</f>
        <v>0</v>
      </c>
      <c r="H36" s="22"/>
      <c r="I36" s="7">
        <v>0</v>
      </c>
      <c r="J36" s="14"/>
      <c r="K36" s="37"/>
      <c r="L36" s="27"/>
      <c r="M36" s="38"/>
    </row>
    <row r="37" s="1" customFormat="1" ht="25" customHeight="1" spans="1:13">
      <c r="A37" s="7">
        <v>9</v>
      </c>
      <c r="B37" s="8" t="s">
        <v>66</v>
      </c>
      <c r="C37" s="10">
        <v>0</v>
      </c>
      <c r="D37" s="10">
        <v>0</v>
      </c>
      <c r="E37" s="10">
        <f>C37+D37</f>
        <v>0</v>
      </c>
      <c r="F37" s="10" t="s">
        <v>35</v>
      </c>
      <c r="G37" s="10">
        <f>0+0+0+0+0+0+0+0+0+0+0+0+0+0+0+0+0+0+0+0+0</f>
        <v>0</v>
      </c>
      <c r="H37" s="22"/>
      <c r="I37" s="7">
        <v>81.6484</v>
      </c>
      <c r="J37" s="35"/>
      <c r="K37" s="37"/>
      <c r="L37" s="27"/>
      <c r="M37" s="38"/>
    </row>
    <row r="38" s="1" customFormat="1" ht="25" customHeight="1" spans="1:13">
      <c r="A38" s="7">
        <v>10</v>
      </c>
      <c r="B38" s="8" t="s">
        <v>67</v>
      </c>
      <c r="C38" s="7">
        <v>2</v>
      </c>
      <c r="D38" s="7">
        <v>2</v>
      </c>
      <c r="E38" s="10">
        <f>D38+C38</f>
        <v>4</v>
      </c>
      <c r="F38" s="10" t="s">
        <v>45</v>
      </c>
      <c r="G38" s="10">
        <f>0+0+2+0+0+0+2+0+3+4+2+2+4+6+3+4+4+0+1+5+4</f>
        <v>46</v>
      </c>
      <c r="H38" s="22"/>
      <c r="I38" s="10">
        <v>0</v>
      </c>
      <c r="J38" s="35"/>
      <c r="K38" s="27"/>
      <c r="L38" s="19" t="s">
        <v>68</v>
      </c>
      <c r="M38" s="7">
        <v>10</v>
      </c>
    </row>
    <row r="39" s="1" customFormat="1" ht="80" customHeight="1" spans="1:13">
      <c r="A39" s="7">
        <v>11</v>
      </c>
      <c r="B39" s="32" t="s">
        <v>55</v>
      </c>
      <c r="C39" s="27" t="s">
        <v>69</v>
      </c>
      <c r="D39" s="28"/>
      <c r="E39" s="28"/>
      <c r="F39" s="28"/>
      <c r="G39" s="28"/>
      <c r="H39" s="28"/>
      <c r="I39" s="28"/>
      <c r="J39" s="28"/>
      <c r="K39" s="28"/>
      <c r="L39" s="28"/>
      <c r="M39" s="29"/>
    </row>
    <row r="47" s="1" customFormat="1" spans="1:13">
      <c r="C47" s="33"/>
      <c r="D47" s="33"/>
      <c r="J47" s="34"/>
    </row>
    <row r="48" spans="1:13">
      <c r="L48" s="1"/>
    </row>
  </sheetData>
  <mergeCells count="11">
    <mergeCell ref="A1:M1"/>
    <mergeCell ref="C23:H23"/>
    <mergeCell ref="K23:M23"/>
    <mergeCell ref="C24:H24"/>
    <mergeCell ref="K24:M24"/>
    <mergeCell ref="C25:M25"/>
    <mergeCell ref="A27:M27"/>
    <mergeCell ref="C39:M39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zoomScale="85" zoomScaleNormal="85" workbookViewId="0">
      <selection activeCell="N1" sqref="N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178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8" customHeight="1" spans="1:13">
      <c r="A3" s="7">
        <v>1</v>
      </c>
      <c r="B3" s="8" t="s">
        <v>13</v>
      </c>
      <c r="C3" s="9">
        <v>7</v>
      </c>
      <c r="D3" s="9">
        <v>2.5</v>
      </c>
      <c r="E3" s="10">
        <f t="shared" ref="E3:E12" si="0">C3+D3</f>
        <v>9.5</v>
      </c>
      <c r="F3" s="10" t="s">
        <v>14</v>
      </c>
      <c r="G3" s="10">
        <f>12+0+0+0+6+13+13+13+15+9+13+9+15+13.5+15.5+11+12.5+12+5.5+11+12+9.5</f>
        <v>220.5</v>
      </c>
      <c r="H3" s="10">
        <v>330</v>
      </c>
      <c r="I3" s="10">
        <f>H3-G3</f>
        <v>109.5</v>
      </c>
      <c r="J3" s="11"/>
      <c r="K3" s="10"/>
      <c r="L3" s="10"/>
      <c r="M3" s="10">
        <f>I3/8</f>
        <v>13.6875</v>
      </c>
    </row>
    <row r="4" s="1" customFormat="1" ht="38" customHeight="1" spans="1:13">
      <c r="A4" s="12">
        <v>2</v>
      </c>
      <c r="B4" s="8" t="s">
        <v>18</v>
      </c>
      <c r="C4" s="9">
        <v>12</v>
      </c>
      <c r="D4" s="9"/>
      <c r="E4" s="10">
        <f t="shared" si="0"/>
        <v>12</v>
      </c>
      <c r="F4" s="10" t="s">
        <v>14</v>
      </c>
      <c r="G4" s="10">
        <f>12+8+0+0+0+6+14+12+14+14+10+12+10+14+14+16+10+14+12+4+12+12</f>
        <v>220</v>
      </c>
      <c r="H4" s="13"/>
      <c r="I4" s="13"/>
      <c r="J4" s="11"/>
      <c r="K4" s="10"/>
      <c r="L4" s="10"/>
      <c r="M4" s="10"/>
    </row>
    <row r="5" s="1" customFormat="1" ht="38" customHeight="1" spans="1:13">
      <c r="A5" s="12">
        <v>3</v>
      </c>
      <c r="B5" s="8" t="s">
        <v>21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65+0+0+0+0+0+0+0+0+0+0+0+0+0+0+0+0+0+0+0+0+0</f>
        <v>65</v>
      </c>
      <c r="H5" s="10">
        <v>4950</v>
      </c>
      <c r="I5" s="10">
        <f>H5-G5-G7-G6</f>
        <v>1829</v>
      </c>
      <c r="J5" s="14"/>
      <c r="K5" s="10"/>
      <c r="L5" s="10"/>
      <c r="M5" s="10"/>
    </row>
    <row r="6" s="1" customFormat="1" ht="38" customHeight="1" spans="1:13">
      <c r="A6" s="15"/>
      <c r="B6" s="8" t="s">
        <v>23</v>
      </c>
      <c r="C6" s="10">
        <v>7</v>
      </c>
      <c r="D6" s="10">
        <v>99</v>
      </c>
      <c r="E6" s="10">
        <f t="shared" si="0"/>
        <v>106</v>
      </c>
      <c r="F6" s="10" t="s">
        <v>14</v>
      </c>
      <c r="G6" s="10">
        <f>0+0+0+0+183+194+174+196+189+174+99+228+173+212+203+172+165+64+196+141+172+106</f>
        <v>3041</v>
      </c>
      <c r="H6" s="15"/>
      <c r="I6" s="15"/>
      <c r="J6" s="11"/>
      <c r="K6" s="10"/>
      <c r="L6" s="10"/>
      <c r="M6" s="16"/>
    </row>
    <row r="7" s="1" customFormat="1" ht="38" customHeight="1" spans="1:13">
      <c r="A7" s="15"/>
      <c r="B7" s="8" t="s">
        <v>25</v>
      </c>
      <c r="C7" s="10">
        <v>1</v>
      </c>
      <c r="D7" s="10">
        <v>0</v>
      </c>
      <c r="E7" s="10">
        <f t="shared" si="0"/>
        <v>1</v>
      </c>
      <c r="F7" s="10" t="s">
        <v>14</v>
      </c>
      <c r="G7" s="10">
        <f>0+0+0+8+1+0+0+0+0+0+0+3+0+0+1+0+0+0+0+0+1+1</f>
        <v>15</v>
      </c>
      <c r="H7" s="15"/>
      <c r="I7" s="15"/>
      <c r="J7" s="11"/>
      <c r="K7" s="10"/>
      <c r="L7" s="10"/>
      <c r="M7" s="10"/>
    </row>
    <row r="8" s="1" customFormat="1" ht="38" customHeight="1" spans="1:13">
      <c r="A8" s="15"/>
      <c r="B8" s="8" t="s">
        <v>27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0+0+0+0+0+0+0+0+0+0+0+0+0+0+0+0+0+0+0+0+0+0</f>
        <v>0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29</v>
      </c>
      <c r="C9" s="13">
        <v>31.45</v>
      </c>
      <c r="D9" s="13"/>
      <c r="E9" s="10">
        <f t="shared" si="0"/>
        <v>31.45</v>
      </c>
      <c r="F9" s="13" t="s">
        <v>14</v>
      </c>
      <c r="G9" s="10">
        <f>0+31.23+0+31.02+0+30.93+30.89+30.97+30.96+0+31.05+30.81+0+0+31.58+30.96+31.28+0+0+30.94+31.23+31.45</f>
        <v>435.3</v>
      </c>
      <c r="H9" s="13">
        <v>6.08</v>
      </c>
      <c r="I9" s="13">
        <f>H9-K10</f>
        <v>2.202149</v>
      </c>
      <c r="J9" s="19" t="s">
        <v>30</v>
      </c>
      <c r="K9" s="10">
        <v>120</v>
      </c>
      <c r="L9" s="10">
        <v>0.97</v>
      </c>
      <c r="M9" s="20"/>
    </row>
    <row r="10" s="1" customFormat="1" ht="25" customHeight="1" spans="1:13">
      <c r="A10" s="7">
        <v>5</v>
      </c>
      <c r="B10" s="8" t="s">
        <v>31</v>
      </c>
      <c r="C10" s="10">
        <v>6.2775</v>
      </c>
      <c r="D10" s="10">
        <v>0</v>
      </c>
      <c r="E10" s="10">
        <f t="shared" si="0"/>
        <v>6.2775</v>
      </c>
      <c r="F10" s="10" t="s">
        <v>14</v>
      </c>
      <c r="G10" s="10">
        <f>6.831+0+0+0+6.6555+7.614+14.958+12.744+10.611+5.832+10.314+9.369+6.1965+9.4635+9.1395+9.774+8.532+7.128+9.45+7.4385+9.585+6.2775</f>
        <v>167.913</v>
      </c>
      <c r="H10" s="10"/>
      <c r="I10" s="10">
        <f>G10/(G3*0.1865)</f>
        <v>4.08316463314548</v>
      </c>
      <c r="J10" s="19" t="s">
        <v>32</v>
      </c>
      <c r="K10" s="20">
        <f>0+0.268578+0+0.257466+0+0.256719+0.253298+0.27873+0.281736+0+0.27945+0.271128+0+0+0.281062+0.275544+0.284648+0+0+0.287742+0.296685+0.305065</f>
        <v>3.877851</v>
      </c>
      <c r="L10" s="10"/>
      <c r="M10" s="10">
        <f>C9*L9/100</f>
        <v>0.305065</v>
      </c>
    </row>
    <row r="11" s="1" customFormat="1" ht="25" customHeight="1" spans="1:13">
      <c r="A11" s="7">
        <v>6</v>
      </c>
      <c r="B11" s="8" t="s">
        <v>33</v>
      </c>
      <c r="C11" s="10">
        <v>12.3464</v>
      </c>
      <c r="D11" s="10">
        <v>0</v>
      </c>
      <c r="E11" s="10">
        <f t="shared" si="0"/>
        <v>12.3464</v>
      </c>
      <c r="F11" s="10" t="s">
        <v>14</v>
      </c>
      <c r="G11" s="10">
        <f>14.352+0+0+0+6.7344+17.5536+13.2664+17.664+16.56+14.6096+11.5+16.56+10.9848+11.6472+15.6216+16.2104+14.2232+14.4808+6.9736+5.3728+12.0152+12.3464</f>
        <v>248.676</v>
      </c>
      <c r="H11" s="10"/>
      <c r="I11" s="10">
        <f>G11/(G3*0.1865)</f>
        <v>6.04709014973282</v>
      </c>
      <c r="J11" s="11"/>
      <c r="K11" s="10"/>
      <c r="L11" s="10"/>
      <c r="M11" s="21"/>
    </row>
    <row r="12" s="1" customFormat="1" ht="25" customHeight="1" spans="1:13">
      <c r="A12" s="7">
        <v>7</v>
      </c>
      <c r="B12" s="8" t="s">
        <v>34</v>
      </c>
      <c r="C12" s="10">
        <v>125</v>
      </c>
      <c r="D12" s="10">
        <v>171</v>
      </c>
      <c r="E12" s="10">
        <f t="shared" si="0"/>
        <v>296</v>
      </c>
      <c r="F12" s="10" t="s">
        <v>35</v>
      </c>
      <c r="G12" s="10">
        <f>472+11+0+16+206+451+454+465+490+368+388+385+456+440+477+407+450+317+323+411+451+296</f>
        <v>7734</v>
      </c>
      <c r="H12" s="10">
        <f>G12*1.05</f>
        <v>8120.7</v>
      </c>
      <c r="I12" s="10"/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36</v>
      </c>
      <c r="C13" s="10">
        <v>142</v>
      </c>
      <c r="D13" s="10">
        <v>89</v>
      </c>
      <c r="E13" s="10">
        <f t="shared" ref="E13:E21" si="1">D13+C13</f>
        <v>231</v>
      </c>
      <c r="F13" s="10" t="s">
        <v>35</v>
      </c>
      <c r="G13" s="10">
        <f>372+0+0+0+195+420+417+363+467+242+386+282+393+382+374+341+333+312+195.6+316+374+231</f>
        <v>6395.6</v>
      </c>
      <c r="H13" s="10"/>
      <c r="I13" s="10"/>
      <c r="J13" s="14"/>
      <c r="K13" s="10"/>
      <c r="L13" s="10"/>
      <c r="M13" s="10"/>
    </row>
    <row r="14" s="1" customFormat="1" ht="25" customHeight="1" spans="1:13">
      <c r="A14" s="7">
        <v>9</v>
      </c>
      <c r="B14" s="8" t="s">
        <v>37</v>
      </c>
      <c r="C14" s="10">
        <v>310.96</v>
      </c>
      <c r="D14" s="10">
        <v>456.65</v>
      </c>
      <c r="E14" s="10">
        <f t="shared" si="1"/>
        <v>767.61</v>
      </c>
      <c r="F14" s="10" t="s">
        <v>35</v>
      </c>
      <c r="G14" s="10">
        <f>209.75+0+0+0+370.64+733.22+886.44+846.58+728.24+930.46+896.96+902.95+629.84+963.57+867.96+679.89+781.38+634.77+618.01+738.09+740.32+767.61</f>
        <v>13926.68</v>
      </c>
      <c r="H14" s="10"/>
      <c r="I14" s="10"/>
      <c r="J14" s="19" t="s">
        <v>38</v>
      </c>
      <c r="K14" s="10">
        <v>3.69</v>
      </c>
      <c r="L14" s="10">
        <v>3.03</v>
      </c>
      <c r="M14" s="10"/>
    </row>
    <row r="15" s="1" customFormat="1" ht="25" customHeight="1" spans="1:13">
      <c r="A15" s="7">
        <v>10</v>
      </c>
      <c r="B15" s="8" t="s">
        <v>39</v>
      </c>
      <c r="C15" s="10">
        <v>12</v>
      </c>
      <c r="D15" s="10">
        <v>7</v>
      </c>
      <c r="E15" s="10">
        <f t="shared" si="1"/>
        <v>19</v>
      </c>
      <c r="F15" s="10" t="s">
        <v>14</v>
      </c>
      <c r="G15" s="10">
        <f>24+0+0+0+21+27+33+30+33+21+30+21+33+30+33+27+30+24+17+30+30+19</f>
        <v>513</v>
      </c>
      <c r="H15" s="10"/>
      <c r="I15" s="10">
        <f>G15/(G3*0.1865)</f>
        <v>12.4746949718225</v>
      </c>
      <c r="J15" s="19" t="s">
        <v>40</v>
      </c>
      <c r="K15" s="20">
        <f>0.641835+0+0+0+1.0970944+2.2635878+2.9007565+2.4932712+2.1651567+2.7262642+2.5433786+2.6076891+1.9524176+3.0179391+2.7017752+2.2869365+2.5432458+2.029962+1.9472319+2.344302+2.3083564+2.5310919</f>
        <v>43.1022919</v>
      </c>
      <c r="L15" s="10"/>
      <c r="M15" s="10">
        <f>(C14*K14+L14*D14)/1000</f>
        <v>2.5310919</v>
      </c>
    </row>
    <row r="16" s="1" customFormat="1" ht="25" customHeight="1" spans="1:13">
      <c r="A16" s="7">
        <v>11</v>
      </c>
      <c r="B16" s="8" t="s">
        <v>41</v>
      </c>
      <c r="C16" s="7">
        <v>0</v>
      </c>
      <c r="D16" s="7">
        <v>0</v>
      </c>
      <c r="E16" s="10">
        <f t="shared" si="1"/>
        <v>0</v>
      </c>
      <c r="F16" s="10" t="s">
        <v>14</v>
      </c>
      <c r="G16" s="10">
        <f>0+0+0+0+0+0.0875+0+0.075+0+0.0875+0.0375+0.0375+0+0+0.0375+0.0375+0.0375+0+0.075+0.0625+0+0</f>
        <v>0.575</v>
      </c>
      <c r="H16" s="22"/>
      <c r="I16" s="22"/>
      <c r="J16" s="11"/>
      <c r="K16" s="22"/>
      <c r="L16" s="22"/>
      <c r="M16" s="10"/>
    </row>
    <row r="17" s="1" customFormat="1" ht="25" customHeight="1" spans="1:13">
      <c r="A17" s="12">
        <v>12</v>
      </c>
      <c r="B17" s="8" t="s">
        <v>42</v>
      </c>
      <c r="C17" s="10">
        <v>0</v>
      </c>
      <c r="D17" s="7">
        <v>0</v>
      </c>
      <c r="E17" s="10">
        <f t="shared" si="1"/>
        <v>0</v>
      </c>
      <c r="F17" s="10" t="s">
        <v>14</v>
      </c>
      <c r="G17" s="10">
        <f>2+0+0+0+0+2+0+2+0+2+2+0+2+0+2+0+2+0+2+0+2+0</f>
        <v>20</v>
      </c>
      <c r="H17" s="22"/>
      <c r="I17" s="10">
        <f>G17/(G3*0.1865)</f>
        <v>0.486342883891716</v>
      </c>
      <c r="J17" s="11"/>
      <c r="K17" s="22"/>
      <c r="L17" s="22"/>
      <c r="M17" s="10"/>
    </row>
    <row r="18" s="1" customFormat="1" ht="25" customHeight="1" spans="1:13">
      <c r="A18" s="7">
        <v>13</v>
      </c>
      <c r="B18" s="8" t="s">
        <v>43</v>
      </c>
      <c r="C18" s="10">
        <v>0</v>
      </c>
      <c r="D18" s="7">
        <v>0</v>
      </c>
      <c r="E18" s="10">
        <f t="shared" si="1"/>
        <v>0</v>
      </c>
      <c r="F18" s="10" t="s">
        <v>14</v>
      </c>
      <c r="G18" s="10">
        <f>2+0+0+0+0+2+0+2+0+2+2+0+2+0+2+0+2+0+2+0+2+0</f>
        <v>20</v>
      </c>
      <c r="H18" s="22"/>
      <c r="I18" s="10">
        <f>G18/(G3*0.1865)</f>
        <v>0.486342883891716</v>
      </c>
      <c r="J18" s="11"/>
      <c r="K18" s="22"/>
      <c r="L18" s="22"/>
      <c r="M18" s="10"/>
    </row>
    <row r="19" s="1" customFormat="1" ht="25" customHeight="1" spans="1:13">
      <c r="A19" s="7">
        <v>14</v>
      </c>
      <c r="B19" s="8" t="s">
        <v>44</v>
      </c>
      <c r="C19" s="10">
        <v>0</v>
      </c>
      <c r="D19" s="7">
        <v>4</v>
      </c>
      <c r="E19" s="10">
        <f t="shared" si="1"/>
        <v>4</v>
      </c>
      <c r="F19" s="10" t="s">
        <v>45</v>
      </c>
      <c r="G19" s="10">
        <f>5+0+0+0+3+7+8+6+7+7+7+6+8+5+12+4+8+2+13+4+8+4</f>
        <v>124</v>
      </c>
      <c r="H19" s="22"/>
      <c r="I19" s="22"/>
      <c r="J19" s="11"/>
      <c r="K19" s="22"/>
      <c r="L19" s="22"/>
      <c r="M19" s="10"/>
    </row>
    <row r="20" s="1" customFormat="1" ht="25" customHeight="1" spans="1:13">
      <c r="A20" s="7">
        <v>15</v>
      </c>
      <c r="B20" s="8" t="s">
        <v>46</v>
      </c>
      <c r="C20" s="7">
        <v>265</v>
      </c>
      <c r="D20" s="7">
        <v>589</v>
      </c>
      <c r="E20" s="10">
        <f t="shared" si="1"/>
        <v>854</v>
      </c>
      <c r="F20" s="10" t="s">
        <v>35</v>
      </c>
      <c r="G20" s="10">
        <f>507+0+0+339+1006+1051+1056+1200+1113+1132+810+1370+1187+1194+1246+1098+1056+635+1144+1095+1126+854</f>
        <v>20219</v>
      </c>
      <c r="H20" s="23"/>
      <c r="I20" s="10">
        <f>E20/M20</f>
        <v>50.2352941176471</v>
      </c>
      <c r="J20" s="19" t="s">
        <v>47</v>
      </c>
      <c r="K20" s="10">
        <f>7.5+0+0+6+24+24+24+24+24+24+15.5+24+24+24+24+24+24+11.5+24+24+24+17</f>
        <v>417.5</v>
      </c>
      <c r="L20" s="10">
        <f>G20/K20</f>
        <v>48.4287425149701</v>
      </c>
      <c r="M20" s="10">
        <v>17</v>
      </c>
    </row>
    <row r="21" s="1" customFormat="1" ht="25" customHeight="1" spans="1:13">
      <c r="A21" s="12">
        <v>16</v>
      </c>
      <c r="B21" s="8" t="s">
        <v>48</v>
      </c>
      <c r="C21" s="7">
        <v>240</v>
      </c>
      <c r="D21" s="7">
        <v>682</v>
      </c>
      <c r="E21" s="10">
        <f t="shared" si="1"/>
        <v>922</v>
      </c>
      <c r="F21" s="10" t="s">
        <v>35</v>
      </c>
      <c r="G21" s="10">
        <f>547+0+0+662+1124+1392+1384+1483+1450+1339+986+1680+1486+1500+1565+1326+1366+691+1337+1248+1433+922</f>
        <v>24921</v>
      </c>
      <c r="H21" s="22"/>
      <c r="I21" s="10">
        <f>E21/M20</f>
        <v>54.2352941176471</v>
      </c>
      <c r="J21" s="11"/>
      <c r="K21" s="22"/>
      <c r="L21" s="22"/>
      <c r="M21" s="10"/>
    </row>
    <row r="22" s="1" customFormat="1" ht="25" customHeight="1" spans="1:13">
      <c r="A22" s="7">
        <v>17</v>
      </c>
      <c r="B22" s="8" t="s">
        <v>49</v>
      </c>
      <c r="C22" s="12">
        <v>27.44</v>
      </c>
      <c r="D22" s="12">
        <v>25.73</v>
      </c>
      <c r="E22" s="13"/>
      <c r="F22" s="13" t="s">
        <v>50</v>
      </c>
      <c r="G22" s="13"/>
      <c r="H22" s="24"/>
      <c r="I22" s="24"/>
      <c r="J22" s="25"/>
      <c r="K22" s="24"/>
      <c r="L22" s="24"/>
      <c r="M22" s="10"/>
    </row>
    <row r="23" s="1" customFormat="1" ht="32" customHeight="1" spans="1:13">
      <c r="A23" s="7">
        <v>18</v>
      </c>
      <c r="B23" s="26" t="s">
        <v>151</v>
      </c>
      <c r="C23" s="27" t="s">
        <v>174</v>
      </c>
      <c r="D23" s="28"/>
      <c r="E23" s="28"/>
      <c r="F23" s="28"/>
      <c r="G23" s="28"/>
      <c r="H23" s="29"/>
      <c r="I23" s="30" t="s">
        <v>20</v>
      </c>
      <c r="J23" s="26" t="s">
        <v>156</v>
      </c>
      <c r="K23" s="27" t="s">
        <v>179</v>
      </c>
      <c r="L23" s="28"/>
      <c r="M23" s="29"/>
    </row>
    <row r="24" s="1" customFormat="1" ht="32" customHeight="1" spans="1:13">
      <c r="A24" s="7">
        <v>19</v>
      </c>
      <c r="B24" s="26" t="s">
        <v>153</v>
      </c>
      <c r="C24" s="27" t="s">
        <v>176</v>
      </c>
      <c r="D24" s="28"/>
      <c r="E24" s="28"/>
      <c r="F24" s="28"/>
      <c r="G24" s="28"/>
      <c r="H24" s="29"/>
      <c r="I24" s="33" t="s">
        <v>20</v>
      </c>
      <c r="J24" s="26" t="s">
        <v>159</v>
      </c>
      <c r="K24" s="27" t="s">
        <v>180</v>
      </c>
      <c r="L24" s="28"/>
      <c r="M24" s="29"/>
    </row>
    <row r="25" s="1" customFormat="1" ht="80" customHeight="1" spans="1:13">
      <c r="A25" s="7">
        <v>20</v>
      </c>
      <c r="B25" s="31" t="s">
        <v>55</v>
      </c>
      <c r="C25" s="27" t="s">
        <v>129</v>
      </c>
      <c r="D25" s="28"/>
      <c r="E25" s="28"/>
      <c r="F25" s="28"/>
      <c r="G25" s="28"/>
      <c r="H25" s="28"/>
      <c r="I25" s="28"/>
      <c r="J25" s="28"/>
      <c r="K25" s="28"/>
      <c r="L25" s="28"/>
      <c r="M25" s="29"/>
    </row>
    <row r="26" s="1" customFormat="1" ht="14" customHeight="1" spans="1:13">
      <c r="C26" s="33"/>
      <c r="D26" s="33"/>
      <c r="J26" s="34"/>
    </row>
    <row r="27" s="1" customFormat="1" ht="45" customHeight="1" spans="1:13">
      <c r="A27" s="5" t="s">
        <v>181</v>
      </c>
    </row>
    <row r="28" s="1" customFormat="1" ht="30" customHeight="1" spans="1:13">
      <c r="A28" s="6" t="s">
        <v>58</v>
      </c>
      <c r="B28" s="6" t="s">
        <v>59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7">
        <v>1</v>
      </c>
      <c r="B29" s="8" t="s">
        <v>60</v>
      </c>
      <c r="C29" s="10">
        <v>0</v>
      </c>
      <c r="D29" s="10">
        <v>0</v>
      </c>
      <c r="E29" s="10">
        <f t="shared" ref="E29:E35" si="2">D29+C29</f>
        <v>0</v>
      </c>
      <c r="F29" s="10" t="s">
        <v>35</v>
      </c>
      <c r="G29" s="10">
        <f>0+0+0+0+0+0+0+0+0+0+0+0+0+0+0+0+0+0+0+0+0+0</f>
        <v>0</v>
      </c>
      <c r="H29" s="10"/>
      <c r="I29" s="10"/>
      <c r="J29" s="11"/>
      <c r="K29" s="22"/>
      <c r="L29" s="22"/>
      <c r="M29" s="10"/>
    </row>
    <row r="30" s="1" customFormat="1" ht="25" customHeight="1" spans="1:13">
      <c r="A30" s="7">
        <v>2</v>
      </c>
      <c r="B30" s="8" t="s">
        <v>61</v>
      </c>
      <c r="C30" s="10">
        <v>8.34</v>
      </c>
      <c r="D30" s="10">
        <v>6.48</v>
      </c>
      <c r="E30" s="10">
        <f t="shared" si="2"/>
        <v>14.82</v>
      </c>
      <c r="F30" s="10" t="s">
        <v>35</v>
      </c>
      <c r="G30" s="10">
        <f>0+0+0+0+0+0+12.6+12.59+14.7+16.7+8.28+16.61+16.56+16.62+16.74+16.66+16.65+0+0+21.7+16.7+14.82</f>
        <v>217.93</v>
      </c>
      <c r="H30" s="10"/>
      <c r="I30" s="10"/>
      <c r="J30" s="11"/>
      <c r="K30" s="22"/>
      <c r="L30" s="22"/>
      <c r="M30" s="21"/>
    </row>
    <row r="31" s="1" customFormat="1" ht="25" customHeight="1" spans="1:13">
      <c r="A31" s="7">
        <v>3</v>
      </c>
      <c r="B31" s="8" t="s">
        <v>62</v>
      </c>
      <c r="C31" s="10">
        <v>5</v>
      </c>
      <c r="D31" s="10">
        <v>16</v>
      </c>
      <c r="E31" s="10">
        <f t="shared" si="2"/>
        <v>21</v>
      </c>
      <c r="F31" s="10" t="s">
        <v>35</v>
      </c>
      <c r="G31" s="10">
        <f>9+33+13+24+43.31+38+19+17+26+16+38+42.27+10+19+38+8+29+51.3+22+17+26+21</f>
        <v>559.88</v>
      </c>
      <c r="H31" s="10"/>
      <c r="I31" s="10"/>
      <c r="J31" s="11"/>
      <c r="K31" s="22"/>
      <c r="L31" s="22"/>
      <c r="M31" s="21"/>
    </row>
    <row r="32" s="1" customFormat="1" ht="25" customHeight="1" spans="1:13">
      <c r="A32" s="7">
        <v>4</v>
      </c>
      <c r="B32" s="8" t="s">
        <v>31</v>
      </c>
      <c r="C32" s="10">
        <v>3.5235</v>
      </c>
      <c r="D32" s="10">
        <v>0</v>
      </c>
      <c r="E32" s="10">
        <f t="shared" si="2"/>
        <v>3.5235</v>
      </c>
      <c r="F32" s="10" t="s">
        <v>14</v>
      </c>
      <c r="G32" s="10">
        <f>0+0+0+0+0+0+0+0+8.1945+5.4135+14.796+0+12.3255+0+9.1665+5.94+16.2675+0+0+0+14.337+3.5235</f>
        <v>89.964</v>
      </c>
      <c r="H32" s="10"/>
      <c r="J32" s="11"/>
      <c r="K32" s="22"/>
      <c r="L32" s="22"/>
      <c r="M32" s="22"/>
    </row>
    <row r="33" s="1" customFormat="1" ht="25" customHeight="1" spans="1:13">
      <c r="A33" s="7">
        <v>5</v>
      </c>
      <c r="B33" s="8" t="s">
        <v>33</v>
      </c>
      <c r="C33" s="10">
        <v>0</v>
      </c>
      <c r="D33" s="10">
        <v>0</v>
      </c>
      <c r="E33" s="10">
        <f t="shared" si="2"/>
        <v>0</v>
      </c>
      <c r="F33" s="10" t="s">
        <v>14</v>
      </c>
      <c r="G33" s="10">
        <f>0+0+0+0+0+0+0+0+0+0+0+0+0+0+0+0+0+0+0+0+0+0</f>
        <v>0</v>
      </c>
      <c r="H33" s="10"/>
      <c r="I33" s="10"/>
      <c r="J33" s="14"/>
      <c r="K33" s="22"/>
      <c r="L33" s="22"/>
      <c r="M33" s="22"/>
    </row>
    <row r="34" s="1" customFormat="1" ht="25" customHeight="1" spans="1:13">
      <c r="A34" s="7">
        <v>6</v>
      </c>
      <c r="B34" s="8" t="s">
        <v>63</v>
      </c>
      <c r="C34" s="10">
        <v>260</v>
      </c>
      <c r="D34" s="10">
        <v>0</v>
      </c>
      <c r="E34" s="10">
        <f t="shared" si="2"/>
        <v>260</v>
      </c>
      <c r="F34" s="10" t="s">
        <v>35</v>
      </c>
      <c r="G34" s="10">
        <f>580+604+307+408+430+215+238+250+321+330+333+338+268+307+272+0+145+595+589+591+590+260</f>
        <v>7971</v>
      </c>
      <c r="H34" s="10"/>
      <c r="I34" s="10"/>
      <c r="J34" s="35"/>
      <c r="K34" s="22"/>
      <c r="L34" s="10"/>
      <c r="M34" s="22"/>
    </row>
    <row r="35" s="1" customFormat="1" ht="25" customHeight="1" spans="1:13">
      <c r="A35" s="7">
        <v>7</v>
      </c>
      <c r="B35" s="8" t="s">
        <v>64</v>
      </c>
      <c r="C35" s="10">
        <v>504</v>
      </c>
      <c r="D35" s="10">
        <v>503</v>
      </c>
      <c r="E35" s="10">
        <f t="shared" si="2"/>
        <v>1007</v>
      </c>
      <c r="F35" s="10" t="s">
        <v>35</v>
      </c>
      <c r="G35" s="10">
        <f>1010+819+776+499+966+1008+1007+1010+1005+1008+1008+980+786+1014+1016+1015+1015+972+986+1010+1007+1007</f>
        <v>20924</v>
      </c>
      <c r="H35" s="10"/>
      <c r="I35" s="10"/>
      <c r="J35" s="36"/>
      <c r="K35" s="22"/>
      <c r="L35" s="10"/>
      <c r="M35" s="22"/>
    </row>
    <row r="36" s="1" customFormat="1" ht="25" customHeight="1" spans="1:13">
      <c r="A36" s="7">
        <v>8</v>
      </c>
      <c r="B36" s="8" t="s">
        <v>65</v>
      </c>
      <c r="C36" s="10">
        <v>0</v>
      </c>
      <c r="D36" s="10">
        <v>0</v>
      </c>
      <c r="E36" s="10">
        <f>C36+D36</f>
        <v>0</v>
      </c>
      <c r="F36" s="10" t="s">
        <v>35</v>
      </c>
      <c r="G36" s="10">
        <f>0+0+0+0+0+0+0+0+0+0+0+0+0+0+0+0+0+0+0+0+0+0</f>
        <v>0</v>
      </c>
      <c r="H36" s="22"/>
      <c r="I36" s="7">
        <v>712.5</v>
      </c>
      <c r="J36" s="14"/>
      <c r="K36" s="37"/>
      <c r="L36" s="27"/>
      <c r="M36" s="38"/>
    </row>
    <row r="37" s="1" customFormat="1" ht="25" customHeight="1" spans="1:13">
      <c r="A37" s="7">
        <v>9</v>
      </c>
      <c r="B37" s="8" t="s">
        <v>66</v>
      </c>
      <c r="C37" s="10">
        <v>0</v>
      </c>
      <c r="D37" s="10">
        <v>0</v>
      </c>
      <c r="E37" s="10">
        <f>C37+D37</f>
        <v>0</v>
      </c>
      <c r="F37" s="10" t="s">
        <v>35</v>
      </c>
      <c r="G37" s="10">
        <f>0+0+0+0+0+0+0+0+0+0+0+0+0+0+0+0+0+0+0+0+0+0</f>
        <v>0</v>
      </c>
      <c r="H37" s="22"/>
      <c r="I37" s="7">
        <v>82.517</v>
      </c>
      <c r="J37" s="35"/>
      <c r="K37" s="37"/>
      <c r="L37" s="27"/>
      <c r="M37" s="38"/>
    </row>
    <row r="38" s="1" customFormat="1" ht="25" customHeight="1" spans="1:13">
      <c r="A38" s="7">
        <v>10</v>
      </c>
      <c r="B38" s="8" t="s">
        <v>67</v>
      </c>
      <c r="C38" s="7">
        <v>2</v>
      </c>
      <c r="D38" s="7">
        <v>1</v>
      </c>
      <c r="E38" s="10">
        <f>D38+C38</f>
        <v>3</v>
      </c>
      <c r="F38" s="10" t="s">
        <v>45</v>
      </c>
      <c r="G38" s="10">
        <f>0+0+2+0+0+0+2+0+3+4+2+2+4+6+3+4+4+0+1+5+4+3</f>
        <v>49</v>
      </c>
      <c r="H38" s="22"/>
      <c r="I38" s="10">
        <v>0</v>
      </c>
      <c r="J38" s="35"/>
      <c r="K38" s="27"/>
      <c r="L38" s="19" t="s">
        <v>68</v>
      </c>
      <c r="M38" s="7">
        <v>13</v>
      </c>
    </row>
    <row r="39" s="1" customFormat="1" ht="80" customHeight="1" spans="1:13">
      <c r="A39" s="7">
        <v>11</v>
      </c>
      <c r="B39" s="32" t="s">
        <v>55</v>
      </c>
      <c r="C39" s="27" t="s">
        <v>69</v>
      </c>
      <c r="D39" s="28"/>
      <c r="E39" s="28"/>
      <c r="F39" s="28"/>
      <c r="G39" s="28"/>
      <c r="H39" s="28"/>
      <c r="I39" s="28"/>
      <c r="J39" s="28"/>
      <c r="K39" s="28"/>
      <c r="L39" s="28"/>
      <c r="M39" s="29"/>
    </row>
    <row r="47" s="1" customFormat="1" spans="1:13">
      <c r="C47" s="33"/>
      <c r="D47" s="33"/>
      <c r="J47" s="34"/>
    </row>
    <row r="48" spans="1:13">
      <c r="L48" s="1"/>
    </row>
  </sheetData>
  <mergeCells count="11">
    <mergeCell ref="A1:M1"/>
    <mergeCell ref="C23:H23"/>
    <mergeCell ref="K23:M23"/>
    <mergeCell ref="C24:H24"/>
    <mergeCell ref="K24:M24"/>
    <mergeCell ref="C25:M25"/>
    <mergeCell ref="A27:M27"/>
    <mergeCell ref="C39:M39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zoomScale="85" zoomScaleNormal="85" topLeftCell="A4" workbookViewId="0">
      <selection activeCell="C23" sqref="C23:H23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182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8" customHeight="1" spans="1:13">
      <c r="A3" s="7">
        <v>1</v>
      </c>
      <c r="B3" s="8" t="s">
        <v>13</v>
      </c>
      <c r="C3" s="9">
        <v>7</v>
      </c>
      <c r="D3" s="9">
        <v>10</v>
      </c>
      <c r="E3" s="10">
        <f t="shared" ref="E3:E12" si="0">C3+D3</f>
        <v>17</v>
      </c>
      <c r="F3" s="10" t="s">
        <v>14</v>
      </c>
      <c r="G3" s="10">
        <f>12+0+0+0+6+13+13+13+15+9+13+9+15+13.5+15.5+11+12.5+12+5.5+11+12+9.5+17</f>
        <v>237.5</v>
      </c>
      <c r="H3" s="10">
        <v>330</v>
      </c>
      <c r="I3" s="10">
        <f>H3-G3</f>
        <v>92.5</v>
      </c>
      <c r="J3" s="11"/>
      <c r="K3" s="10"/>
      <c r="L3" s="10"/>
      <c r="M3" s="10">
        <f>I3/7</f>
        <v>13.2142857142857</v>
      </c>
    </row>
    <row r="4" s="1" customFormat="1" ht="38" customHeight="1" spans="1:13">
      <c r="A4" s="12">
        <v>2</v>
      </c>
      <c r="B4" s="8" t="s">
        <v>18</v>
      </c>
      <c r="C4" s="9">
        <v>8</v>
      </c>
      <c r="D4" s="9"/>
      <c r="E4" s="10">
        <f t="shared" si="0"/>
        <v>8</v>
      </c>
      <c r="F4" s="10" t="s">
        <v>14</v>
      </c>
      <c r="G4" s="10">
        <f>12+8+0+0+0+6+14+12+14+14+10+12+10+14+14+16+10+14+12+4+12+12+8</f>
        <v>228</v>
      </c>
      <c r="H4" s="13"/>
      <c r="I4" s="13"/>
      <c r="J4" s="11"/>
      <c r="K4" s="10"/>
      <c r="L4" s="10"/>
      <c r="M4" s="10"/>
    </row>
    <row r="5" s="1" customFormat="1" ht="38" customHeight="1" spans="1:13">
      <c r="A5" s="12">
        <v>3</v>
      </c>
      <c r="B5" s="8" t="s">
        <v>21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65+0+0+0+0+0+0+0+0+0+0+0+0+0+0+0+0+0+0+0+0+0+0</f>
        <v>65</v>
      </c>
      <c r="H5" s="10">
        <v>4950</v>
      </c>
      <c r="I5" s="10">
        <f>H5-G5-G7-G6</f>
        <v>1637</v>
      </c>
      <c r="J5" s="14"/>
      <c r="K5" s="10"/>
      <c r="L5" s="10"/>
      <c r="M5" s="10"/>
    </row>
    <row r="6" s="1" customFormat="1" ht="38" customHeight="1" spans="1:13">
      <c r="A6" s="15"/>
      <c r="B6" s="8" t="s">
        <v>23</v>
      </c>
      <c r="C6" s="10">
        <v>87</v>
      </c>
      <c r="D6" s="10">
        <v>105</v>
      </c>
      <c r="E6" s="10">
        <f t="shared" si="0"/>
        <v>192</v>
      </c>
      <c r="F6" s="10" t="s">
        <v>14</v>
      </c>
      <c r="G6" s="10">
        <f>0+0+0+0+183+194+174+196+189+174+99+228+173+212+203+172+165+64+196+141+172+106+192</f>
        <v>3233</v>
      </c>
      <c r="H6" s="15"/>
      <c r="I6" s="15"/>
      <c r="J6" s="11"/>
      <c r="K6" s="10"/>
      <c r="L6" s="10"/>
      <c r="M6" s="16"/>
    </row>
    <row r="7" s="1" customFormat="1" ht="38" customHeight="1" spans="1:13">
      <c r="A7" s="15"/>
      <c r="B7" s="8" t="s">
        <v>25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0+0+0+8+1+0+0+0+0+0+0+3+0+0+1+0+0+0+0+0+1+1+0</f>
        <v>15</v>
      </c>
      <c r="H7" s="15"/>
      <c r="I7" s="15"/>
      <c r="J7" s="11"/>
      <c r="K7" s="10"/>
      <c r="L7" s="10"/>
      <c r="M7" s="10"/>
    </row>
    <row r="8" s="1" customFormat="1" ht="38" customHeight="1" spans="1:13">
      <c r="A8" s="15"/>
      <c r="B8" s="8" t="s">
        <v>27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0+0+0+0+0+0+0+0+0+0+0+0+0+0+0+0+0+0+0+0+0+0+0</f>
        <v>0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29</v>
      </c>
      <c r="C9" s="13">
        <v>31.67</v>
      </c>
      <c r="D9" s="13"/>
      <c r="E9" s="10">
        <f t="shared" si="0"/>
        <v>31.67</v>
      </c>
      <c r="F9" s="13" t="s">
        <v>14</v>
      </c>
      <c r="G9" s="10">
        <f>0+31.23+0+31.02+0+30.93+30.89+30.97+30.96+0+31.05+30.81+0+0+31.58+30.96+31.28+0+0+30.94+31.23+31.45+31.67</f>
        <v>466.97</v>
      </c>
      <c r="H9" s="13">
        <v>6.08</v>
      </c>
      <c r="I9" s="13">
        <f>H9-K10</f>
        <v>1.913952</v>
      </c>
      <c r="J9" s="19" t="s">
        <v>30</v>
      </c>
      <c r="K9" s="10">
        <v>90</v>
      </c>
      <c r="L9" s="10">
        <v>0.91</v>
      </c>
      <c r="M9" s="20"/>
    </row>
    <row r="10" s="1" customFormat="1" ht="25" customHeight="1" spans="1:13">
      <c r="A10" s="7">
        <v>5</v>
      </c>
      <c r="B10" s="8" t="s">
        <v>31</v>
      </c>
      <c r="C10" s="10">
        <v>7.344</v>
      </c>
      <c r="D10" s="10">
        <v>1.836</v>
      </c>
      <c r="E10" s="10">
        <f t="shared" si="0"/>
        <v>9.18</v>
      </c>
      <c r="F10" s="10" t="s">
        <v>14</v>
      </c>
      <c r="G10" s="10">
        <f>6.831+0+0+0+6.6555+7.614+14.958+12.744+10.611+5.832+10.314+9.369+6.1965+9.4635+9.1395+9.774+8.532+7.128+9.45+7.4385+9.585+6.2775+9.18</f>
        <v>177.093</v>
      </c>
      <c r="H10" s="10"/>
      <c r="I10" s="10">
        <f>G10/(G3*0.1865)</f>
        <v>3.99814872301397</v>
      </c>
      <c r="J10" s="19" t="s">
        <v>32</v>
      </c>
      <c r="K10" s="20">
        <f>0+0.268578+0+0.257466+0+0.256719+0.253298+0.27873+0.281736+0+0.27945+0.271128+0+0+0.281062+0.275544+0.284648+0+0+0.287742+0.296685+0.305065+0.288197</f>
        <v>4.166048</v>
      </c>
      <c r="L10" s="10"/>
      <c r="M10" s="10">
        <f>C9*L9/100</f>
        <v>0.288197</v>
      </c>
    </row>
    <row r="11" s="1" customFormat="1" ht="25" customHeight="1" spans="1:13">
      <c r="A11" s="7">
        <v>6</v>
      </c>
      <c r="B11" s="8" t="s">
        <v>33</v>
      </c>
      <c r="C11" s="10">
        <v>14.5912</v>
      </c>
      <c r="D11" s="10">
        <v>0</v>
      </c>
      <c r="E11" s="10">
        <f t="shared" si="0"/>
        <v>14.5912</v>
      </c>
      <c r="F11" s="10" t="s">
        <v>14</v>
      </c>
      <c r="G11" s="10">
        <f>14.352+0+0+0+6.7344+17.5536+13.2664+17.664+16.56+14.6096+11.5+16.56+10.9848+11.6472+15.6216+16.2104+14.2232+14.4808+6.9736+5.3728+12.0152+12.3464+14.5912</f>
        <v>263.2672</v>
      </c>
      <c r="H11" s="10"/>
      <c r="I11" s="10">
        <f>G11/(G3*0.1865)</f>
        <v>5.94366473825314</v>
      </c>
      <c r="J11" s="11"/>
      <c r="K11" s="10"/>
      <c r="L11" s="10"/>
      <c r="M11" s="21"/>
    </row>
    <row r="12" s="1" customFormat="1" ht="25" customHeight="1" spans="1:13">
      <c r="A12" s="7">
        <v>7</v>
      </c>
      <c r="B12" s="8" t="s">
        <v>34</v>
      </c>
      <c r="C12" s="10">
        <v>245</v>
      </c>
      <c r="D12" s="10">
        <v>256</v>
      </c>
      <c r="E12" s="10">
        <f t="shared" si="0"/>
        <v>501</v>
      </c>
      <c r="F12" s="10" t="s">
        <v>35</v>
      </c>
      <c r="G12" s="10">
        <f>472+11+0+16+206+451+454+465+490+368+388+385+456+440+477+407+450+317+323+411+451+296+501</f>
        <v>8235</v>
      </c>
      <c r="H12" s="10">
        <f>G12*1.05</f>
        <v>8646.75</v>
      </c>
      <c r="I12" s="10"/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36</v>
      </c>
      <c r="C13" s="10">
        <v>213</v>
      </c>
      <c r="D13" s="10">
        <v>210</v>
      </c>
      <c r="E13" s="10">
        <f t="shared" ref="E13:E21" si="1">D13+C13</f>
        <v>423</v>
      </c>
      <c r="F13" s="10" t="s">
        <v>35</v>
      </c>
      <c r="G13" s="10">
        <f>372+0+0+0+195+420+417+363+467+242+386+282+393+382+374+341+333+312+195.6+316+374+231+423</f>
        <v>6818.6</v>
      </c>
      <c r="H13" s="10"/>
      <c r="I13" s="10"/>
      <c r="J13" s="14"/>
      <c r="K13" s="10"/>
      <c r="L13" s="10"/>
      <c r="M13" s="10"/>
    </row>
    <row r="14" s="1" customFormat="1" ht="25" customHeight="1" spans="1:13">
      <c r="A14" s="7">
        <v>9</v>
      </c>
      <c r="B14" s="8" t="s">
        <v>37</v>
      </c>
      <c r="C14" s="10">
        <v>430.05</v>
      </c>
      <c r="D14" s="10">
        <v>411.03</v>
      </c>
      <c r="E14" s="10">
        <f t="shared" si="1"/>
        <v>841.08</v>
      </c>
      <c r="F14" s="10" t="s">
        <v>35</v>
      </c>
      <c r="G14" s="10">
        <f>209.75+0+0+0+370.64+733.22+886.44+846.58+728.24+930.46+896.96+902.95+629.84+963.57+867.96+679.89+781.38+634.77+618.01+738.09+740.32+767.61+841.08</f>
        <v>14767.76</v>
      </c>
      <c r="H14" s="10"/>
      <c r="I14" s="10"/>
      <c r="J14" s="19" t="s">
        <v>38</v>
      </c>
      <c r="K14" s="10">
        <v>3.38</v>
      </c>
      <c r="L14" s="10">
        <v>3.29</v>
      </c>
      <c r="M14" s="10"/>
    </row>
    <row r="15" s="1" customFormat="1" ht="25" customHeight="1" spans="1:13">
      <c r="A15" s="7">
        <v>10</v>
      </c>
      <c r="B15" s="8" t="s">
        <v>39</v>
      </c>
      <c r="C15" s="10">
        <v>18</v>
      </c>
      <c r="D15" s="10">
        <v>18</v>
      </c>
      <c r="E15" s="10">
        <f t="shared" si="1"/>
        <v>36</v>
      </c>
      <c r="F15" s="10" t="s">
        <v>14</v>
      </c>
      <c r="G15" s="10">
        <f>24+0+0+0+21+27+33+30+33+21+30+21+33+30+33+27+30+24+17+30+30+19+36</f>
        <v>549</v>
      </c>
      <c r="H15" s="10"/>
      <c r="I15" s="10">
        <f>G15/(G3*0.1865)</f>
        <v>12.394525186962</v>
      </c>
      <c r="J15" s="19" t="s">
        <v>40</v>
      </c>
      <c r="K15" s="20">
        <f>0.641835+0+0+0+1.0970944+2.2635878+2.9007565+2.4932712+2.1651567+2.7262642+2.5433786+2.6076891+1.9524176+3.0179391+2.7017752+2.2869365+2.5432458+2.029962+1.9472319+2.344302+2.3083564+2.5310919+2.8058577</f>
        <v>45.9081496</v>
      </c>
      <c r="L15" s="10"/>
      <c r="M15" s="10">
        <f>(C14*K14+L14*D14)/1000</f>
        <v>2.8058577</v>
      </c>
    </row>
    <row r="16" s="1" customFormat="1" ht="25" customHeight="1" spans="1:13">
      <c r="A16" s="7">
        <v>11</v>
      </c>
      <c r="B16" s="8" t="s">
        <v>41</v>
      </c>
      <c r="C16" s="7">
        <v>0</v>
      </c>
      <c r="D16" s="7">
        <v>0</v>
      </c>
      <c r="E16" s="10">
        <f t="shared" si="1"/>
        <v>0</v>
      </c>
      <c r="F16" s="10" t="s">
        <v>14</v>
      </c>
      <c r="G16" s="10">
        <f>0+0+0+0+0+0.0875+0+0.075+0+0.0875+0.0375+0.0375+0+0+0.0375+0.0375+0.0375+0+0.075+0.0625+0+0+0</f>
        <v>0.575</v>
      </c>
      <c r="H16" s="22"/>
      <c r="I16" s="22"/>
      <c r="J16" s="11"/>
      <c r="K16" s="22"/>
      <c r="L16" s="22"/>
      <c r="M16" s="10"/>
    </row>
    <row r="17" s="1" customFormat="1" ht="25" customHeight="1" spans="1:13">
      <c r="A17" s="12">
        <v>12</v>
      </c>
      <c r="B17" s="8" t="s">
        <v>42</v>
      </c>
      <c r="C17" s="10">
        <v>2</v>
      </c>
      <c r="D17" s="7">
        <v>0</v>
      </c>
      <c r="E17" s="10">
        <f t="shared" si="1"/>
        <v>2</v>
      </c>
      <c r="F17" s="10" t="s">
        <v>14</v>
      </c>
      <c r="G17" s="10">
        <f>2+0+0+0+0+2+0+2+0+2+2+0+2+0+2+0+2+0+2+0+2+0+2</f>
        <v>22</v>
      </c>
      <c r="H17" s="22"/>
      <c r="I17" s="10">
        <f>G17/(G3*0.1865)</f>
        <v>0.496684069422887</v>
      </c>
      <c r="J17" s="11"/>
      <c r="K17" s="22"/>
      <c r="L17" s="22"/>
      <c r="M17" s="10"/>
    </row>
    <row r="18" s="1" customFormat="1" ht="25" customHeight="1" spans="1:13">
      <c r="A18" s="7">
        <v>13</v>
      </c>
      <c r="B18" s="8" t="s">
        <v>43</v>
      </c>
      <c r="C18" s="10">
        <v>2</v>
      </c>
      <c r="D18" s="7">
        <v>0</v>
      </c>
      <c r="E18" s="10">
        <f t="shared" si="1"/>
        <v>2</v>
      </c>
      <c r="F18" s="10" t="s">
        <v>14</v>
      </c>
      <c r="G18" s="10">
        <f>2+0+0+0+0+2+0+2+0+2+2+0+2+0+2+0+2+0+2+0+2+0+2</f>
        <v>22</v>
      </c>
      <c r="H18" s="22"/>
      <c r="I18" s="10">
        <f>G18/(G3*0.1865)</f>
        <v>0.496684069422887</v>
      </c>
      <c r="J18" s="11"/>
      <c r="K18" s="22"/>
      <c r="L18" s="22"/>
      <c r="M18" s="10"/>
    </row>
    <row r="19" s="1" customFormat="1" ht="25" customHeight="1" spans="1:13">
      <c r="A19" s="7">
        <v>14</v>
      </c>
      <c r="B19" s="8" t="s">
        <v>44</v>
      </c>
      <c r="C19" s="10">
        <v>5</v>
      </c>
      <c r="D19" s="7">
        <v>4</v>
      </c>
      <c r="E19" s="10">
        <f t="shared" si="1"/>
        <v>9</v>
      </c>
      <c r="F19" s="10" t="s">
        <v>45</v>
      </c>
      <c r="G19" s="10">
        <f>5+0+0+0+3+7+8+6+7+7+7+6+8+5+12+4+8+2+13+4+8+4+9</f>
        <v>133</v>
      </c>
      <c r="H19" s="22"/>
      <c r="I19" s="22"/>
      <c r="J19" s="11"/>
      <c r="K19" s="22"/>
      <c r="L19" s="22"/>
      <c r="M19" s="10"/>
    </row>
    <row r="20" s="1" customFormat="1" ht="25" customHeight="1" spans="1:13">
      <c r="A20" s="7">
        <v>15</v>
      </c>
      <c r="B20" s="8" t="s">
        <v>46</v>
      </c>
      <c r="C20" s="7">
        <v>603</v>
      </c>
      <c r="D20" s="7">
        <v>589</v>
      </c>
      <c r="E20" s="10">
        <f t="shared" si="1"/>
        <v>1192</v>
      </c>
      <c r="F20" s="10" t="s">
        <v>35</v>
      </c>
      <c r="G20" s="10">
        <f>507+0+0+339+1006+1051+1056+1200+1113+1132+810+1370+1187+1194+1246+1098+1056+635+1144+1095+1126+854+1192</f>
        <v>21411</v>
      </c>
      <c r="H20" s="23"/>
      <c r="I20" s="10">
        <f>E20/M20</f>
        <v>49.6666666666667</v>
      </c>
      <c r="J20" s="19" t="s">
        <v>47</v>
      </c>
      <c r="K20" s="10">
        <f>7.5+0+0+6+24+24+24+24+24+24+15.5+24+24+24+24+24+24+11.5+24+24+24+17+24</f>
        <v>441.5</v>
      </c>
      <c r="L20" s="10">
        <f>G20/K20</f>
        <v>48.4960362400906</v>
      </c>
      <c r="M20" s="10">
        <v>24</v>
      </c>
    </row>
    <row r="21" s="1" customFormat="1" ht="25" customHeight="1" spans="1:13">
      <c r="A21" s="12">
        <v>16</v>
      </c>
      <c r="B21" s="8" t="s">
        <v>48</v>
      </c>
      <c r="C21" s="7">
        <v>788</v>
      </c>
      <c r="D21" s="7">
        <v>794</v>
      </c>
      <c r="E21" s="10">
        <f t="shared" si="1"/>
        <v>1582</v>
      </c>
      <c r="F21" s="10" t="s">
        <v>35</v>
      </c>
      <c r="G21" s="10">
        <f>547+0+0+662+1124+1392+1384+1483+1450+1339+986+1680+1486+1500+1565+1326+1366+691+1337+1248+1433+922+1582</f>
        <v>26503</v>
      </c>
      <c r="H21" s="22"/>
      <c r="I21" s="10">
        <f>E21/M20</f>
        <v>65.9166666666667</v>
      </c>
      <c r="J21" s="11"/>
      <c r="K21" s="22"/>
      <c r="L21" s="22"/>
      <c r="M21" s="10"/>
    </row>
    <row r="22" s="1" customFormat="1" ht="25" customHeight="1" spans="1:13">
      <c r="A22" s="7">
        <v>17</v>
      </c>
      <c r="B22" s="8" t="s">
        <v>49</v>
      </c>
      <c r="C22" s="12">
        <v>27.87</v>
      </c>
      <c r="D22" s="12">
        <v>28.13</v>
      </c>
      <c r="E22" s="13"/>
      <c r="F22" s="13" t="s">
        <v>50</v>
      </c>
      <c r="G22" s="13"/>
      <c r="H22" s="24"/>
      <c r="I22" s="24"/>
      <c r="J22" s="25"/>
      <c r="K22" s="24"/>
      <c r="L22" s="24"/>
      <c r="M22" s="10"/>
    </row>
    <row r="23" s="1" customFormat="1" ht="32" customHeight="1" spans="1:13">
      <c r="A23" s="7">
        <v>18</v>
      </c>
      <c r="B23" s="26" t="s">
        <v>151</v>
      </c>
      <c r="C23" s="27" t="s">
        <v>179</v>
      </c>
      <c r="D23" s="28"/>
      <c r="E23" s="28"/>
      <c r="F23" s="28"/>
      <c r="G23" s="28"/>
      <c r="H23" s="29"/>
      <c r="I23" s="30" t="s">
        <v>20</v>
      </c>
      <c r="J23" s="26" t="s">
        <v>156</v>
      </c>
      <c r="K23" s="27" t="s">
        <v>183</v>
      </c>
      <c r="L23" s="28"/>
      <c r="M23" s="29"/>
    </row>
    <row r="24" s="1" customFormat="1" ht="32" customHeight="1" spans="1:13">
      <c r="A24" s="7">
        <v>19</v>
      </c>
      <c r="B24" s="26" t="s">
        <v>153</v>
      </c>
      <c r="C24" s="27" t="s">
        <v>180</v>
      </c>
      <c r="D24" s="28"/>
      <c r="E24" s="28"/>
      <c r="F24" s="28"/>
      <c r="G24" s="28"/>
      <c r="H24" s="29"/>
      <c r="I24" s="33" t="s">
        <v>20</v>
      </c>
      <c r="J24" s="26" t="s">
        <v>159</v>
      </c>
      <c r="K24" s="27" t="s">
        <v>183</v>
      </c>
      <c r="L24" s="28"/>
      <c r="M24" s="29"/>
    </row>
    <row r="25" s="1" customFormat="1" ht="80" customHeight="1" spans="1:13">
      <c r="A25" s="7">
        <v>20</v>
      </c>
      <c r="B25" s="31" t="s">
        <v>55</v>
      </c>
      <c r="C25" s="27" t="s">
        <v>129</v>
      </c>
      <c r="D25" s="28"/>
      <c r="E25" s="28"/>
      <c r="F25" s="28"/>
      <c r="G25" s="28"/>
      <c r="H25" s="28"/>
      <c r="I25" s="28"/>
      <c r="J25" s="28"/>
      <c r="K25" s="28"/>
      <c r="L25" s="28"/>
      <c r="M25" s="29"/>
    </row>
    <row r="26" s="1" customFormat="1" ht="14" customHeight="1" spans="1:13">
      <c r="C26" s="33"/>
      <c r="D26" s="33"/>
      <c r="J26" s="34"/>
    </row>
    <row r="27" s="1" customFormat="1" ht="45" customHeight="1" spans="1:13">
      <c r="A27" s="5" t="s">
        <v>184</v>
      </c>
    </row>
    <row r="28" s="1" customFormat="1" ht="30" customHeight="1" spans="1:13">
      <c r="A28" s="6" t="s">
        <v>58</v>
      </c>
      <c r="B28" s="6" t="s">
        <v>59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7">
        <v>1</v>
      </c>
      <c r="B29" s="8" t="s">
        <v>60</v>
      </c>
      <c r="C29" s="10">
        <v>0</v>
      </c>
      <c r="D29" s="10">
        <v>0</v>
      </c>
      <c r="E29" s="10">
        <f t="shared" ref="E29:E35" si="2">D29+C29</f>
        <v>0</v>
      </c>
      <c r="F29" s="10" t="s">
        <v>35</v>
      </c>
      <c r="G29" s="10">
        <f>0+0+0+0+0+0+0+0+0+0+0+0+0+0+0+0+0+0+0+0+0+0+0</f>
        <v>0</v>
      </c>
      <c r="H29" s="10"/>
      <c r="I29" s="10"/>
      <c r="J29" s="11"/>
      <c r="K29" s="22"/>
      <c r="L29" s="22"/>
      <c r="M29" s="10"/>
    </row>
    <row r="30" s="1" customFormat="1" ht="25" customHeight="1" spans="1:13">
      <c r="A30" s="7">
        <v>2</v>
      </c>
      <c r="B30" s="8" t="s">
        <v>61</v>
      </c>
      <c r="C30" s="10">
        <v>6.34</v>
      </c>
      <c r="D30" s="10">
        <v>6.27</v>
      </c>
      <c r="E30" s="10">
        <f t="shared" si="2"/>
        <v>12.61</v>
      </c>
      <c r="F30" s="10" t="s">
        <v>35</v>
      </c>
      <c r="G30" s="10">
        <f>0+0+0+0+0+0+12.6+12.59+14.7+16.7+8.28+16.61+16.56+16.62+16.74+16.66+16.65+0+0+21.7+16.7+14.82+12.61</f>
        <v>230.54</v>
      </c>
      <c r="H30" s="10"/>
      <c r="I30" s="10"/>
      <c r="J30" s="11"/>
      <c r="K30" s="22"/>
      <c r="L30" s="22"/>
      <c r="M30" s="21"/>
    </row>
    <row r="31" s="1" customFormat="1" ht="25" customHeight="1" spans="1:13">
      <c r="A31" s="7">
        <v>3</v>
      </c>
      <c r="B31" s="8" t="s">
        <v>62</v>
      </c>
      <c r="C31" s="10">
        <v>27</v>
      </c>
      <c r="D31" s="10">
        <v>10</v>
      </c>
      <c r="E31" s="10">
        <f t="shared" si="2"/>
        <v>37</v>
      </c>
      <c r="F31" s="10" t="s">
        <v>35</v>
      </c>
      <c r="G31" s="10">
        <f>9+33+13+24+43.31+38+19+17+26+16+38+42.27+10+19+38+8+29+51.3+22+17+26+21+37</f>
        <v>596.88</v>
      </c>
      <c r="H31" s="10"/>
      <c r="I31" s="10"/>
      <c r="J31" s="11"/>
      <c r="K31" s="22"/>
      <c r="L31" s="22"/>
      <c r="M31" s="21"/>
    </row>
    <row r="32" s="1" customFormat="1" ht="25" customHeight="1" spans="1:13">
      <c r="A32" s="7">
        <v>4</v>
      </c>
      <c r="B32" s="8" t="s">
        <v>31</v>
      </c>
      <c r="C32" s="10">
        <v>14.148</v>
      </c>
      <c r="D32" s="10">
        <v>0</v>
      </c>
      <c r="E32" s="10">
        <f t="shared" si="2"/>
        <v>14.148</v>
      </c>
      <c r="F32" s="10" t="s">
        <v>14</v>
      </c>
      <c r="G32" s="10">
        <f>0+0+0+0+0+0+0+0+8.1945+5.4135+14.796+0+12.3255+0+9.1665+5.94+16.2675+0+0+0+14.337+3.5235+14.148</f>
        <v>104.112</v>
      </c>
      <c r="H32" s="10"/>
      <c r="J32" s="11"/>
      <c r="K32" s="22"/>
      <c r="L32" s="22"/>
      <c r="M32" s="22"/>
    </row>
    <row r="33" s="1" customFormat="1" ht="25" customHeight="1" spans="1:13">
      <c r="A33" s="7">
        <v>5</v>
      </c>
      <c r="B33" s="8" t="s">
        <v>33</v>
      </c>
      <c r="C33" s="10">
        <v>0</v>
      </c>
      <c r="D33" s="10">
        <v>0</v>
      </c>
      <c r="E33" s="10">
        <f t="shared" si="2"/>
        <v>0</v>
      </c>
      <c r="F33" s="10" t="s">
        <v>14</v>
      </c>
      <c r="G33" s="10">
        <f>0+0+0+0+0+0+0+0+0+0+0+0+0+0+0+0+0+0+0+0+0+0+0</f>
        <v>0</v>
      </c>
      <c r="H33" s="10"/>
      <c r="I33" s="10"/>
      <c r="J33" s="14"/>
      <c r="K33" s="22"/>
      <c r="L33" s="22"/>
      <c r="M33" s="22"/>
    </row>
    <row r="34" s="1" customFormat="1" ht="25" customHeight="1" spans="1:13">
      <c r="A34" s="7">
        <v>6</v>
      </c>
      <c r="B34" s="8" t="s">
        <v>63</v>
      </c>
      <c r="C34" s="10">
        <v>0</v>
      </c>
      <c r="D34" s="10">
        <v>0</v>
      </c>
      <c r="E34" s="10">
        <f t="shared" si="2"/>
        <v>0</v>
      </c>
      <c r="F34" s="10" t="s">
        <v>35</v>
      </c>
      <c r="G34" s="10">
        <f>580+604+307+408+430+215+238+250+321+330+333+338+268+307+272+0+145+595+589+591+590+260+0</f>
        <v>7971</v>
      </c>
      <c r="H34" s="10"/>
      <c r="I34" s="10"/>
      <c r="J34" s="35"/>
      <c r="K34" s="22"/>
      <c r="L34" s="10"/>
      <c r="M34" s="22"/>
    </row>
    <row r="35" s="1" customFormat="1" ht="25" customHeight="1" spans="1:13">
      <c r="A35" s="7">
        <v>7</v>
      </c>
      <c r="B35" s="8" t="s">
        <v>64</v>
      </c>
      <c r="C35" s="10">
        <v>503</v>
      </c>
      <c r="D35" s="10">
        <v>503</v>
      </c>
      <c r="E35" s="10">
        <f t="shared" si="2"/>
        <v>1006</v>
      </c>
      <c r="F35" s="10" t="s">
        <v>35</v>
      </c>
      <c r="G35" s="10">
        <f>1010+819+776+499+966+1008+1007+1010+1005+1008+1008+980+786+1014+1016+1015+1015+972+986+1010+1007+1007+1006</f>
        <v>21930</v>
      </c>
      <c r="H35" s="10"/>
      <c r="I35" s="10"/>
      <c r="J35" s="36"/>
      <c r="K35" s="22"/>
      <c r="L35" s="10"/>
      <c r="M35" s="22"/>
    </row>
    <row r="36" s="1" customFormat="1" ht="25" customHeight="1" spans="1:13">
      <c r="A36" s="7">
        <v>8</v>
      </c>
      <c r="B36" s="8" t="s">
        <v>65</v>
      </c>
      <c r="C36" s="10">
        <v>0</v>
      </c>
      <c r="D36" s="10">
        <v>0</v>
      </c>
      <c r="E36" s="10">
        <f>C36+D36</f>
        <v>0</v>
      </c>
      <c r="F36" s="10" t="s">
        <v>35</v>
      </c>
      <c r="G36" s="10">
        <f>0+0+0+0+0+0+0+0+0+0+0+0+0+0+0+0+0+0+0+0+0+0+0</f>
        <v>0</v>
      </c>
      <c r="H36" s="22"/>
      <c r="I36" s="7">
        <v>420</v>
      </c>
      <c r="J36" s="14"/>
      <c r="K36" s="37"/>
      <c r="L36" s="27"/>
      <c r="M36" s="38"/>
    </row>
    <row r="37" s="1" customFormat="1" ht="25" customHeight="1" spans="1:13">
      <c r="A37" s="7">
        <v>9</v>
      </c>
      <c r="B37" s="8" t="s">
        <v>66</v>
      </c>
      <c r="C37" s="10">
        <v>0</v>
      </c>
      <c r="D37" s="10">
        <v>0</v>
      </c>
      <c r="E37" s="10">
        <f>C37+D37</f>
        <v>0</v>
      </c>
      <c r="F37" s="10" t="s">
        <v>35</v>
      </c>
      <c r="G37" s="10">
        <f>0+0+0+0+0+0+0+0+0+0+0+0+0+0+0+0+0+0+0+0+0+0+0</f>
        <v>0</v>
      </c>
      <c r="H37" s="22"/>
      <c r="I37" s="7">
        <v>79.9112</v>
      </c>
      <c r="J37" s="35"/>
      <c r="K37" s="37"/>
      <c r="L37" s="27"/>
      <c r="M37" s="38"/>
    </row>
    <row r="38" s="1" customFormat="1" ht="25" customHeight="1" spans="1:13">
      <c r="A38" s="7">
        <v>10</v>
      </c>
      <c r="B38" s="8" t="s">
        <v>67</v>
      </c>
      <c r="C38" s="7">
        <v>2</v>
      </c>
      <c r="D38" s="7">
        <v>1</v>
      </c>
      <c r="E38" s="10">
        <f>D38+C38</f>
        <v>3</v>
      </c>
      <c r="F38" s="10" t="s">
        <v>45</v>
      </c>
      <c r="G38" s="10">
        <f>0+0+2+0+0+0+2+0+3+4+2+2+4+6+3+4+4+0+1+5+4+3+3</f>
        <v>52</v>
      </c>
      <c r="H38" s="22"/>
      <c r="I38" s="10">
        <v>0</v>
      </c>
      <c r="J38" s="35"/>
      <c r="K38" s="27"/>
      <c r="L38" s="19" t="s">
        <v>68</v>
      </c>
      <c r="M38" s="7">
        <v>17</v>
      </c>
    </row>
    <row r="39" s="1" customFormat="1" ht="80" customHeight="1" spans="1:13">
      <c r="A39" s="7">
        <v>11</v>
      </c>
      <c r="B39" s="32" t="s">
        <v>55</v>
      </c>
      <c r="C39" s="27" t="s">
        <v>69</v>
      </c>
      <c r="D39" s="28"/>
      <c r="E39" s="28"/>
      <c r="F39" s="28"/>
      <c r="G39" s="28"/>
      <c r="H39" s="28"/>
      <c r="I39" s="28"/>
      <c r="J39" s="28"/>
      <c r="K39" s="28"/>
      <c r="L39" s="28"/>
      <c r="M39" s="29"/>
    </row>
    <row r="47" s="1" customFormat="1" spans="1:13">
      <c r="C47" s="33"/>
      <c r="D47" s="33"/>
      <c r="J47" s="34"/>
    </row>
    <row r="48" spans="1:13">
      <c r="L48" s="1"/>
    </row>
  </sheetData>
  <mergeCells count="11">
    <mergeCell ref="A1:M1"/>
    <mergeCell ref="C23:H23"/>
    <mergeCell ref="K23:M23"/>
    <mergeCell ref="C24:H24"/>
    <mergeCell ref="K24:M24"/>
    <mergeCell ref="C25:M25"/>
    <mergeCell ref="A27:M27"/>
    <mergeCell ref="C39:M39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zoomScale="85" zoomScaleNormal="85" topLeftCell="A3" workbookViewId="0">
      <selection activeCell="K23" sqref="K23:M23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185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8" customHeight="1" spans="1:13">
      <c r="A3" s="7">
        <v>1</v>
      </c>
      <c r="B3" s="8" t="s">
        <v>13</v>
      </c>
      <c r="C3" s="9">
        <v>8</v>
      </c>
      <c r="D3" s="9">
        <v>7.5</v>
      </c>
      <c r="E3" s="10">
        <f t="shared" ref="E3:E12" si="0">C3+D3</f>
        <v>15.5</v>
      </c>
      <c r="F3" s="10" t="s">
        <v>14</v>
      </c>
      <c r="G3" s="10">
        <f>12+0+0+0+6+13+13+13+15+9+13+9+15+13.5+15.5+11+12.5+12+5.5+11+12+9.5+17+15.5</f>
        <v>253</v>
      </c>
      <c r="H3" s="10">
        <v>330</v>
      </c>
      <c r="I3" s="10">
        <f>H3-G3</f>
        <v>77</v>
      </c>
      <c r="J3" s="11"/>
      <c r="K3" s="10"/>
      <c r="L3" s="10"/>
      <c r="M3" s="10">
        <f>I3/6</f>
        <v>12.8333333333333</v>
      </c>
    </row>
    <row r="4" s="1" customFormat="1" ht="38" customHeight="1" spans="1:13">
      <c r="A4" s="12">
        <v>2</v>
      </c>
      <c r="B4" s="8" t="s">
        <v>18</v>
      </c>
      <c r="C4" s="9">
        <v>18</v>
      </c>
      <c r="D4" s="9"/>
      <c r="E4" s="10">
        <f t="shared" si="0"/>
        <v>18</v>
      </c>
      <c r="F4" s="10" t="s">
        <v>14</v>
      </c>
      <c r="G4" s="10">
        <f>12+8+0+0+0+6+14+12+14+14+10+12+10+14+14+16+10+14+12+4+12+12+8+18</f>
        <v>246</v>
      </c>
      <c r="H4" s="13"/>
      <c r="I4" s="13"/>
      <c r="J4" s="11"/>
      <c r="K4" s="10"/>
      <c r="L4" s="10"/>
      <c r="M4" s="10"/>
    </row>
    <row r="5" s="1" customFormat="1" ht="38" customHeight="1" spans="1:13">
      <c r="A5" s="12">
        <v>3</v>
      </c>
      <c r="B5" s="8" t="s">
        <v>21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65+0+0+0+0+0+0+0+0+0+0+0+0+0+0+0+0+0+0+0+0+0+0+0</f>
        <v>65</v>
      </c>
      <c r="H5" s="10">
        <v>4950</v>
      </c>
      <c r="I5" s="10">
        <f>H5-G5-G7-G6</f>
        <v>1448</v>
      </c>
      <c r="J5" s="14"/>
      <c r="K5" s="10"/>
      <c r="L5" s="10"/>
      <c r="M5" s="10"/>
    </row>
    <row r="6" s="1" customFormat="1" ht="38" customHeight="1" spans="1:13">
      <c r="A6" s="15"/>
      <c r="B6" s="8" t="s">
        <v>23</v>
      </c>
      <c r="C6" s="10">
        <v>101</v>
      </c>
      <c r="D6" s="10">
        <v>88</v>
      </c>
      <c r="E6" s="10">
        <f t="shared" si="0"/>
        <v>189</v>
      </c>
      <c r="F6" s="10" t="s">
        <v>14</v>
      </c>
      <c r="G6" s="10">
        <f>0+0+0+0+183+194+174+196+189+174+99+228+173+212+203+172+165+64+196+141+172+106+192+189</f>
        <v>3422</v>
      </c>
      <c r="H6" s="15"/>
      <c r="I6" s="15"/>
      <c r="J6" s="11"/>
      <c r="K6" s="10"/>
      <c r="L6" s="10"/>
      <c r="M6" s="16"/>
    </row>
    <row r="7" s="1" customFormat="1" ht="38" customHeight="1" spans="1:13">
      <c r="A7" s="15"/>
      <c r="B7" s="8" t="s">
        <v>25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0+0+0+8+1+0+0+0+0+0+0+3+0+0+1+0+0+0+0+0+1+1+0+0</f>
        <v>15</v>
      </c>
      <c r="H7" s="15"/>
      <c r="I7" s="15"/>
      <c r="J7" s="11"/>
      <c r="K7" s="10"/>
      <c r="L7" s="10"/>
      <c r="M7" s="10"/>
    </row>
    <row r="8" s="1" customFormat="1" ht="38" customHeight="1" spans="1:13">
      <c r="A8" s="15"/>
      <c r="B8" s="8" t="s">
        <v>27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0+0+0+0+0+0+0+0+0+0+0+0+0+0+0+0+0+0+0+0+0+0+0+0</f>
        <v>0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29</v>
      </c>
      <c r="C9" s="13">
        <v>30.99</v>
      </c>
      <c r="D9" s="13"/>
      <c r="E9" s="10">
        <f t="shared" si="0"/>
        <v>30.99</v>
      </c>
      <c r="F9" s="13" t="s">
        <v>14</v>
      </c>
      <c r="G9" s="10">
        <f>0+31.23+0+31.02+0+30.93+30.89+30.97+30.96+0+31.05+30.81+0+0+31.58+30.96+31.28+0+0+30.94+31.23+31.45+31.67+30.99</f>
        <v>497.96</v>
      </c>
      <c r="H9" s="13">
        <v>6.08</v>
      </c>
      <c r="I9" s="13">
        <f>H9-K10</f>
        <v>1.622646</v>
      </c>
      <c r="J9" s="19" t="s">
        <v>30</v>
      </c>
      <c r="K9" s="10">
        <v>70</v>
      </c>
      <c r="L9" s="10">
        <v>0.94</v>
      </c>
      <c r="M9" s="20"/>
    </row>
    <row r="10" s="1" customFormat="1" ht="25" customHeight="1" spans="1:13">
      <c r="A10" s="7">
        <v>5</v>
      </c>
      <c r="B10" s="8" t="s">
        <v>31</v>
      </c>
      <c r="C10" s="10">
        <v>5.8185</v>
      </c>
      <c r="D10" s="10">
        <v>2.8755</v>
      </c>
      <c r="E10" s="10">
        <f t="shared" si="0"/>
        <v>8.694</v>
      </c>
      <c r="F10" s="10" t="s">
        <v>14</v>
      </c>
      <c r="G10" s="10">
        <f>6.831+0+0+0+6.6555+7.614+14.958+12.744+10.611+5.832+10.314+9.369+6.1965+9.4635+9.1395+9.774+8.532+7.128+9.45+7.4385+9.585+6.2775+9.18+8.694</f>
        <v>185.787</v>
      </c>
      <c r="H10" s="10"/>
      <c r="I10" s="10">
        <f>G10/(G3*0.1865)</f>
        <v>3.93745827549301</v>
      </c>
      <c r="J10" s="19" t="s">
        <v>32</v>
      </c>
      <c r="K10" s="20">
        <f>0+0.268578+0+0.257466+0+0.256719+0.253298+0.27873+0.281736+0+0.27945+0.271128+0+0+0.281062+0.275544+0.284648+0+0+0.287742+0.296685+0.305065+0.288197+0.291306</f>
        <v>4.457354</v>
      </c>
      <c r="L10" s="10"/>
      <c r="M10" s="10">
        <f>C9*L9/100</f>
        <v>0.291306</v>
      </c>
    </row>
    <row r="11" s="1" customFormat="1" ht="25" customHeight="1" spans="1:13">
      <c r="A11" s="7">
        <v>6</v>
      </c>
      <c r="B11" s="8" t="s">
        <v>33</v>
      </c>
      <c r="C11" s="10">
        <v>16.8912</v>
      </c>
      <c r="D11" s="10">
        <v>0</v>
      </c>
      <c r="E11" s="10">
        <f t="shared" si="0"/>
        <v>16.8912</v>
      </c>
      <c r="F11" s="10" t="s">
        <v>14</v>
      </c>
      <c r="G11" s="10">
        <f>14.352+0+0+0+6.7344+17.5536+13.2664+17.664+16.56+14.6096+11.5+16.56+10.9848+11.6472+15.6216+16.2104+14.2232+14.4808+6.9736+5.3728+12.0152+12.3464+14.5912+16.8912</f>
        <v>280.1584</v>
      </c>
      <c r="H11" s="10"/>
      <c r="I11" s="10">
        <f>G11/(G3*0.1865)</f>
        <v>5.93750913965391</v>
      </c>
      <c r="J11" s="11"/>
      <c r="K11" s="10"/>
      <c r="L11" s="10"/>
      <c r="M11" s="21"/>
    </row>
    <row r="12" s="1" customFormat="1" ht="25" customHeight="1" spans="1:13">
      <c r="A12" s="7">
        <v>7</v>
      </c>
      <c r="B12" s="8" t="s">
        <v>34</v>
      </c>
      <c r="C12" s="10">
        <v>252</v>
      </c>
      <c r="D12" s="10">
        <v>207</v>
      </c>
      <c r="E12" s="10">
        <f t="shared" si="0"/>
        <v>459</v>
      </c>
      <c r="F12" s="10" t="s">
        <v>35</v>
      </c>
      <c r="G12" s="10">
        <f>472+11+0+16+206+451+454+465+490+368+388+385+456+440+477+407+450+317+323+411+451+296+501+459</f>
        <v>8694</v>
      </c>
      <c r="H12" s="10">
        <f>G12*1.05</f>
        <v>9128.7</v>
      </c>
      <c r="I12" s="10"/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36</v>
      </c>
      <c r="C13" s="10">
        <v>232</v>
      </c>
      <c r="D13" s="10">
        <v>151</v>
      </c>
      <c r="E13" s="10">
        <f t="shared" ref="E13:E21" si="1">D13+C13</f>
        <v>383</v>
      </c>
      <c r="F13" s="10" t="s">
        <v>35</v>
      </c>
      <c r="G13" s="10">
        <f>372+0+0+0+195+420+417+363+467+242+386+282+393+382+374+341+333+312+195.6+316+374+231+423+383</f>
        <v>7201.6</v>
      </c>
      <c r="H13" s="10"/>
      <c r="I13" s="10"/>
      <c r="J13" s="14"/>
      <c r="K13" s="10"/>
      <c r="L13" s="10"/>
      <c r="M13" s="10"/>
    </row>
    <row r="14" s="1" customFormat="1" ht="25" customHeight="1" spans="1:13">
      <c r="A14" s="7">
        <v>9</v>
      </c>
      <c r="B14" s="8" t="s">
        <v>37</v>
      </c>
      <c r="C14" s="10">
        <v>364.3</v>
      </c>
      <c r="D14" s="10">
        <v>354.66</v>
      </c>
      <c r="E14" s="10">
        <f t="shared" si="1"/>
        <v>718.96</v>
      </c>
      <c r="F14" s="10" t="s">
        <v>35</v>
      </c>
      <c r="G14" s="10">
        <f>209.75+0+0+0+370.64+733.22+886.44+846.58+728.24+930.46+896.96+902.95+629.84+963.57+867.96+679.89+781.38+634.77+618.01+738.09+740.32+767.61+841.08+718.96</f>
        <v>15486.72</v>
      </c>
      <c r="H14" s="10"/>
      <c r="I14" s="10"/>
      <c r="J14" s="19" t="s">
        <v>38</v>
      </c>
      <c r="K14" s="10">
        <v>3.29</v>
      </c>
      <c r="L14" s="10">
        <v>3.09</v>
      </c>
      <c r="M14" s="10"/>
    </row>
    <row r="15" s="1" customFormat="1" ht="25" customHeight="1" spans="1:13">
      <c r="A15" s="7">
        <v>10</v>
      </c>
      <c r="B15" s="8" t="s">
        <v>39</v>
      </c>
      <c r="C15" s="10">
        <v>18</v>
      </c>
      <c r="D15" s="10">
        <v>15</v>
      </c>
      <c r="E15" s="10">
        <f t="shared" si="1"/>
        <v>33</v>
      </c>
      <c r="F15" s="10" t="s">
        <v>14</v>
      </c>
      <c r="G15" s="10">
        <f>24+0+0+0+21+27+33+30+33+21+30+21+33+30+33+27+30+24+17+30+30+19+36+33</f>
        <v>582</v>
      </c>
      <c r="H15" s="10"/>
      <c r="I15" s="10">
        <f>G15/(G3*0.1865)</f>
        <v>12.3345590183217</v>
      </c>
      <c r="J15" s="19" t="s">
        <v>40</v>
      </c>
      <c r="K15" s="20">
        <f>0.641835+0+0+0+1.0970944+2.2635878+2.9007565+2.4932712+2.1651567+2.7262642+2.5433786+2.6076891+1.9524176+3.0179391+2.7017752+2.2869365+2.5432458+2.029962+1.9472319+2.344302+2.3083564+2.5310919+2.8058577+2.2944464</f>
        <v>48.202596</v>
      </c>
      <c r="L15" s="10"/>
      <c r="M15" s="10">
        <f>(C14*K14+L14*D14)/1000</f>
        <v>2.2944464</v>
      </c>
    </row>
    <row r="16" s="1" customFormat="1" ht="25" customHeight="1" spans="1:13">
      <c r="A16" s="7">
        <v>11</v>
      </c>
      <c r="B16" s="8" t="s">
        <v>41</v>
      </c>
      <c r="C16" s="7">
        <v>0</v>
      </c>
      <c r="D16" s="7">
        <v>0</v>
      </c>
      <c r="E16" s="10">
        <f t="shared" si="1"/>
        <v>0</v>
      </c>
      <c r="F16" s="10" t="s">
        <v>14</v>
      </c>
      <c r="G16" s="10">
        <f>0+0+0+0+0+0.0875+0+0.075+0+0.0875+0.0375+0.0375+0+0+0.0375+0.0375+0.0375+0+0.075+0.0625+0+0+0+0</f>
        <v>0.575</v>
      </c>
      <c r="H16" s="22"/>
      <c r="I16" s="22"/>
      <c r="J16" s="11"/>
      <c r="K16" s="22"/>
      <c r="L16" s="22"/>
      <c r="M16" s="10"/>
    </row>
    <row r="17" s="1" customFormat="1" ht="25" customHeight="1" spans="1:13">
      <c r="A17" s="12">
        <v>12</v>
      </c>
      <c r="B17" s="8" t="s">
        <v>42</v>
      </c>
      <c r="C17" s="10">
        <v>2</v>
      </c>
      <c r="D17" s="7">
        <v>0</v>
      </c>
      <c r="E17" s="10">
        <f t="shared" si="1"/>
        <v>2</v>
      </c>
      <c r="F17" s="10" t="s">
        <v>14</v>
      </c>
      <c r="G17" s="10">
        <f>2+0+0+0+0+2+0+2+0+2+2+0+2+0+2+0+2+0+2+0+2+0+2+2</f>
        <v>24</v>
      </c>
      <c r="H17" s="22"/>
      <c r="I17" s="10">
        <f>G17/(G3*0.1865)</f>
        <v>0.508641609002957</v>
      </c>
      <c r="J17" s="11"/>
      <c r="K17" s="22"/>
      <c r="L17" s="22"/>
      <c r="M17" s="10"/>
    </row>
    <row r="18" s="1" customFormat="1" ht="25" customHeight="1" spans="1:13">
      <c r="A18" s="7">
        <v>13</v>
      </c>
      <c r="B18" s="8" t="s">
        <v>43</v>
      </c>
      <c r="C18" s="10">
        <v>2</v>
      </c>
      <c r="D18" s="7">
        <v>0</v>
      </c>
      <c r="E18" s="10">
        <f t="shared" si="1"/>
        <v>2</v>
      </c>
      <c r="F18" s="10" t="s">
        <v>14</v>
      </c>
      <c r="G18" s="10">
        <f>2+0+0+0+0+2+0+2+0+2+2+0+2+0+2+0+2+0+2+0+2+0+2+2</f>
        <v>24</v>
      </c>
      <c r="H18" s="22"/>
      <c r="I18" s="10">
        <f>G18/(G3*0.1865)</f>
        <v>0.508641609002957</v>
      </c>
      <c r="J18" s="11"/>
      <c r="K18" s="22"/>
      <c r="L18" s="22"/>
      <c r="M18" s="10"/>
    </row>
    <row r="19" s="1" customFormat="1" ht="25" customHeight="1" spans="1:13">
      <c r="A19" s="7">
        <v>14</v>
      </c>
      <c r="B19" s="8" t="s">
        <v>44</v>
      </c>
      <c r="C19" s="10">
        <v>2</v>
      </c>
      <c r="D19" s="7">
        <v>4</v>
      </c>
      <c r="E19" s="10">
        <f t="shared" si="1"/>
        <v>6</v>
      </c>
      <c r="F19" s="10" t="s">
        <v>45</v>
      </c>
      <c r="G19" s="10">
        <f>5+0+0+0+3+7+8+6+7+7+7+6+8+5+12+4+8+2+13+4+8+4+9+6</f>
        <v>139</v>
      </c>
      <c r="H19" s="22"/>
      <c r="I19" s="22"/>
      <c r="J19" s="11"/>
      <c r="K19" s="22"/>
      <c r="L19" s="22"/>
      <c r="M19" s="10"/>
    </row>
    <row r="20" s="1" customFormat="1" ht="25" customHeight="1" spans="1:13">
      <c r="A20" s="7">
        <v>15</v>
      </c>
      <c r="B20" s="8" t="s">
        <v>46</v>
      </c>
      <c r="C20" s="7">
        <v>517</v>
      </c>
      <c r="D20" s="7">
        <v>483</v>
      </c>
      <c r="E20" s="10">
        <f t="shared" si="1"/>
        <v>1000</v>
      </c>
      <c r="F20" s="10" t="s">
        <v>35</v>
      </c>
      <c r="G20" s="10">
        <f>507+0+0+339+1006+1051+1056+1200+1113+1132+810+1370+1187+1194+1246+1098+1056+635+1144+1095+1126+854+1192+1000</f>
        <v>22411</v>
      </c>
      <c r="H20" s="23"/>
      <c r="I20" s="10">
        <f>E20/M20</f>
        <v>41.6666666666667</v>
      </c>
      <c r="J20" s="19" t="s">
        <v>47</v>
      </c>
      <c r="K20" s="10">
        <f>7.5+0+0+6+24+24+24+24+24+24+15.5+24+24+24+24+24+24+11.5+24+24+24+17+24+24</f>
        <v>465.5</v>
      </c>
      <c r="L20" s="10">
        <f>G20/K20</f>
        <v>48.1439312567132</v>
      </c>
      <c r="M20" s="10">
        <v>24</v>
      </c>
    </row>
    <row r="21" s="1" customFormat="1" ht="25" customHeight="1" spans="1:13">
      <c r="A21" s="12">
        <v>16</v>
      </c>
      <c r="B21" s="8" t="s">
        <v>48</v>
      </c>
      <c r="C21" s="7">
        <v>726</v>
      </c>
      <c r="D21" s="7">
        <v>644</v>
      </c>
      <c r="E21" s="10">
        <f t="shared" si="1"/>
        <v>1370</v>
      </c>
      <c r="F21" s="10" t="s">
        <v>35</v>
      </c>
      <c r="G21" s="10">
        <f>547+0+0+662+1124+1392+1384+1483+1450+1339+986+1680+1486+1500+1565+1326+1366+691+1337+1248+1433+922+1582+1370</f>
        <v>27873</v>
      </c>
      <c r="H21" s="22"/>
      <c r="I21" s="10">
        <f>E21/M20</f>
        <v>57.0833333333333</v>
      </c>
      <c r="J21" s="11"/>
      <c r="K21" s="22"/>
      <c r="L21" s="22"/>
      <c r="M21" s="10"/>
    </row>
    <row r="22" s="1" customFormat="1" ht="25" customHeight="1" spans="1:13">
      <c r="A22" s="7">
        <v>17</v>
      </c>
      <c r="B22" s="8" t="s">
        <v>49</v>
      </c>
      <c r="C22" s="12">
        <v>29.06</v>
      </c>
      <c r="D22" s="12">
        <v>30.2</v>
      </c>
      <c r="E22" s="13"/>
      <c r="F22" s="13" t="s">
        <v>50</v>
      </c>
      <c r="G22" s="13"/>
      <c r="H22" s="24"/>
      <c r="I22" s="24"/>
      <c r="J22" s="25"/>
      <c r="K22" s="24"/>
      <c r="L22" s="24"/>
      <c r="M22" s="10"/>
    </row>
    <row r="23" s="1" customFormat="1" ht="32" customHeight="1" spans="1:13">
      <c r="A23" s="7">
        <v>18</v>
      </c>
      <c r="B23" s="26" t="s">
        <v>151</v>
      </c>
      <c r="C23" s="27" t="s">
        <v>183</v>
      </c>
      <c r="D23" s="28"/>
      <c r="E23" s="28"/>
      <c r="F23" s="28"/>
      <c r="G23" s="28"/>
      <c r="H23" s="29"/>
      <c r="I23" s="30" t="s">
        <v>20</v>
      </c>
      <c r="J23" s="26" t="s">
        <v>156</v>
      </c>
      <c r="K23" s="27" t="s">
        <v>183</v>
      </c>
      <c r="L23" s="28"/>
      <c r="M23" s="29"/>
    </row>
    <row r="24" s="1" customFormat="1" ht="32" customHeight="1" spans="1:13">
      <c r="A24" s="7">
        <v>19</v>
      </c>
      <c r="B24" s="26" t="s">
        <v>153</v>
      </c>
      <c r="C24" s="27" t="s">
        <v>183</v>
      </c>
      <c r="D24" s="28"/>
      <c r="E24" s="28"/>
      <c r="F24" s="28"/>
      <c r="G24" s="28"/>
      <c r="H24" s="29"/>
      <c r="I24" s="33" t="s">
        <v>20</v>
      </c>
      <c r="J24" s="26" t="s">
        <v>159</v>
      </c>
      <c r="K24" s="27" t="s">
        <v>186</v>
      </c>
      <c r="L24" s="28"/>
      <c r="M24" s="29"/>
    </row>
    <row r="25" s="1" customFormat="1" ht="80" customHeight="1" spans="1:13">
      <c r="A25" s="7">
        <v>20</v>
      </c>
      <c r="B25" s="31" t="s">
        <v>55</v>
      </c>
      <c r="C25" s="27" t="s">
        <v>129</v>
      </c>
      <c r="D25" s="28"/>
      <c r="E25" s="28"/>
      <c r="F25" s="28"/>
      <c r="G25" s="28"/>
      <c r="H25" s="28"/>
      <c r="I25" s="28"/>
      <c r="J25" s="28"/>
      <c r="K25" s="28"/>
      <c r="L25" s="28"/>
      <c r="M25" s="29"/>
    </row>
    <row r="26" s="1" customFormat="1" ht="14" customHeight="1" spans="1:13">
      <c r="C26" s="33"/>
      <c r="D26" s="33"/>
      <c r="J26" s="34"/>
    </row>
    <row r="27" s="1" customFormat="1" ht="45" customHeight="1" spans="1:13">
      <c r="A27" s="5" t="s">
        <v>187</v>
      </c>
    </row>
    <row r="28" s="1" customFormat="1" ht="30" customHeight="1" spans="1:13">
      <c r="A28" s="6" t="s">
        <v>58</v>
      </c>
      <c r="B28" s="6" t="s">
        <v>59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7">
        <v>1</v>
      </c>
      <c r="B29" s="8" t="s">
        <v>60</v>
      </c>
      <c r="C29" s="10">
        <v>0</v>
      </c>
      <c r="D29" s="10">
        <v>21.34</v>
      </c>
      <c r="E29" s="10">
        <f t="shared" ref="E29:E35" si="2">D29+C29</f>
        <v>21.34</v>
      </c>
      <c r="F29" s="10" t="s">
        <v>35</v>
      </c>
      <c r="G29" s="10">
        <f>0+0+0+0+0+0+0+0+0+0+0+0+0+0+0+0+0+0+0+0+0+0+0+21.34</f>
        <v>21.34</v>
      </c>
      <c r="H29" s="10"/>
      <c r="I29" s="10"/>
      <c r="J29" s="11"/>
      <c r="K29" s="22"/>
      <c r="L29" s="22"/>
      <c r="M29" s="10"/>
    </row>
    <row r="30" s="1" customFormat="1" ht="25" customHeight="1" spans="1:13">
      <c r="A30" s="7">
        <v>2</v>
      </c>
      <c r="B30" s="8" t="s">
        <v>61</v>
      </c>
      <c r="C30" s="10">
        <v>0</v>
      </c>
      <c r="D30" s="10">
        <v>0</v>
      </c>
      <c r="E30" s="10">
        <f t="shared" si="2"/>
        <v>0</v>
      </c>
      <c r="F30" s="10" t="s">
        <v>35</v>
      </c>
      <c r="G30" s="10">
        <f>0+0+0+0+0+0+12.6+12.59+14.7+16.7+8.28+16.61+16.56+16.62+16.74+16.66+16.65+0+0+21.7+16.7+14.82+12.61+0</f>
        <v>230.54</v>
      </c>
      <c r="H30" s="10"/>
      <c r="I30" s="10"/>
      <c r="J30" s="11"/>
      <c r="K30" s="22"/>
      <c r="L30" s="22"/>
      <c r="M30" s="21"/>
    </row>
    <row r="31" s="1" customFormat="1" ht="25" customHeight="1" spans="1:13">
      <c r="A31" s="7">
        <v>3</v>
      </c>
      <c r="B31" s="8" t="s">
        <v>62</v>
      </c>
      <c r="C31" s="10">
        <v>39</v>
      </c>
      <c r="D31" s="10">
        <v>15</v>
      </c>
      <c r="E31" s="10">
        <f t="shared" si="2"/>
        <v>54</v>
      </c>
      <c r="F31" s="10" t="s">
        <v>35</v>
      </c>
      <c r="G31" s="10">
        <f>9+33+13+24+43.31+38+19+17+26+16+38+42.27+10+19+38+8+29+51.3+22+17+26+21+37+54</f>
        <v>650.88</v>
      </c>
      <c r="H31" s="10"/>
      <c r="I31" s="10"/>
      <c r="J31" s="11"/>
      <c r="K31" s="22"/>
      <c r="L31" s="22"/>
      <c r="M31" s="21"/>
    </row>
    <row r="32" s="1" customFormat="1" ht="25" customHeight="1" spans="1:13">
      <c r="A32" s="7">
        <v>4</v>
      </c>
      <c r="B32" s="8" t="s">
        <v>31</v>
      </c>
      <c r="C32" s="10">
        <v>0</v>
      </c>
      <c r="D32" s="10">
        <v>0</v>
      </c>
      <c r="E32" s="10">
        <f t="shared" si="2"/>
        <v>0</v>
      </c>
      <c r="F32" s="10" t="s">
        <v>14</v>
      </c>
      <c r="G32" s="10">
        <f>0+0+0+0+0+0+0+0+8.1945+5.4135+14.796+0+12.3255+0+9.1665+5.94+16.2675+0+0+0+14.337+3.5235+14.148+0</f>
        <v>104.112</v>
      </c>
      <c r="H32" s="10"/>
      <c r="J32" s="11"/>
      <c r="K32" s="22"/>
      <c r="L32" s="22"/>
      <c r="M32" s="22"/>
    </row>
    <row r="33" s="1" customFormat="1" ht="25" customHeight="1" spans="1:13">
      <c r="A33" s="7">
        <v>5</v>
      </c>
      <c r="B33" s="8" t="s">
        <v>33</v>
      </c>
      <c r="C33" s="10">
        <v>0</v>
      </c>
      <c r="D33" s="10">
        <v>0</v>
      </c>
      <c r="E33" s="10">
        <f t="shared" si="2"/>
        <v>0</v>
      </c>
      <c r="F33" s="10" t="s">
        <v>14</v>
      </c>
      <c r="G33" s="10">
        <f>0+0+0+0+0+0+0+0+0+0+0+0+0+0+0+0+0+0+0+0+0+0+0+0</f>
        <v>0</v>
      </c>
      <c r="H33" s="10"/>
      <c r="I33" s="10"/>
      <c r="J33" s="14"/>
      <c r="K33" s="22"/>
      <c r="L33" s="22"/>
      <c r="M33" s="22"/>
    </row>
    <row r="34" s="1" customFormat="1" ht="25" customHeight="1" spans="1:13">
      <c r="A34" s="7">
        <v>6</v>
      </c>
      <c r="B34" s="8" t="s">
        <v>63</v>
      </c>
      <c r="C34" s="10">
        <v>0</v>
      </c>
      <c r="D34" s="10">
        <v>210</v>
      </c>
      <c r="E34" s="10">
        <f t="shared" si="2"/>
        <v>210</v>
      </c>
      <c r="F34" s="10" t="s">
        <v>35</v>
      </c>
      <c r="G34" s="10">
        <f>580+604+307+408+430+215+238+250+321+330+333+338+268+307+272+0+145+595+589+591+590+260+0+210</f>
        <v>8181</v>
      </c>
      <c r="H34" s="10"/>
      <c r="I34" s="10"/>
      <c r="J34" s="35"/>
      <c r="K34" s="22"/>
      <c r="L34" s="10"/>
      <c r="M34" s="22"/>
    </row>
    <row r="35" s="1" customFormat="1" ht="25" customHeight="1" spans="1:13">
      <c r="A35" s="7">
        <v>7</v>
      </c>
      <c r="B35" s="8" t="s">
        <v>64</v>
      </c>
      <c r="C35" s="10">
        <v>500</v>
      </c>
      <c r="D35" s="10">
        <v>500</v>
      </c>
      <c r="E35" s="10">
        <f t="shared" si="2"/>
        <v>1000</v>
      </c>
      <c r="F35" s="10" t="s">
        <v>35</v>
      </c>
      <c r="G35" s="10">
        <f>1010+819+776+499+966+1008+1007+1010+1005+1008+1008+980+786+1014+1016+1015+1015+972+986+1010+1007+1007+1006+1000</f>
        <v>22930</v>
      </c>
      <c r="H35" s="10"/>
      <c r="I35" s="10"/>
      <c r="J35" s="36"/>
      <c r="K35" s="22"/>
      <c r="L35" s="10"/>
      <c r="M35" s="22"/>
    </row>
    <row r="36" s="1" customFormat="1" ht="25" customHeight="1" spans="1:13">
      <c r="A36" s="7">
        <v>8</v>
      </c>
      <c r="B36" s="8" t="s">
        <v>65</v>
      </c>
      <c r="C36" s="10">
        <v>0</v>
      </c>
      <c r="D36" s="10">
        <v>0</v>
      </c>
      <c r="E36" s="10">
        <f>C36+D36</f>
        <v>0</v>
      </c>
      <c r="F36" s="10" t="s">
        <v>35</v>
      </c>
      <c r="G36" s="10">
        <f>0+0+0+0+0+0+0+0+0+0+0+0+0+0+0+0+0+0+0+0+0+0+0+0</f>
        <v>0</v>
      </c>
      <c r="H36" s="22"/>
      <c r="I36" s="7">
        <v>0</v>
      </c>
      <c r="J36" s="14"/>
      <c r="K36" s="37"/>
      <c r="L36" s="27"/>
      <c r="M36" s="38"/>
    </row>
    <row r="37" s="1" customFormat="1" ht="25" customHeight="1" spans="1:13">
      <c r="A37" s="7">
        <v>9</v>
      </c>
      <c r="B37" s="8" t="s">
        <v>66</v>
      </c>
      <c r="C37" s="10">
        <v>0</v>
      </c>
      <c r="D37" s="10">
        <v>0</v>
      </c>
      <c r="E37" s="10">
        <f>C37+D37</f>
        <v>0</v>
      </c>
      <c r="F37" s="10" t="s">
        <v>35</v>
      </c>
      <c r="G37" s="10">
        <f>0+0+0+0+0+0+0+0+0+0+0+0+0+0+0+0+0+0+0+0+0+0+0+0</f>
        <v>0</v>
      </c>
      <c r="H37" s="22"/>
      <c r="I37" s="7">
        <v>79.9112</v>
      </c>
      <c r="J37" s="35"/>
      <c r="K37" s="37"/>
      <c r="L37" s="27"/>
      <c r="M37" s="38"/>
    </row>
    <row r="38" s="1" customFormat="1" ht="25" customHeight="1" spans="1:13">
      <c r="A38" s="7">
        <v>10</v>
      </c>
      <c r="B38" s="8" t="s">
        <v>67</v>
      </c>
      <c r="C38" s="7">
        <v>0</v>
      </c>
      <c r="D38" s="7">
        <v>0</v>
      </c>
      <c r="E38" s="10">
        <f>D38+C38</f>
        <v>0</v>
      </c>
      <c r="F38" s="10" t="s">
        <v>45</v>
      </c>
      <c r="G38" s="10">
        <f>0+0+2+0+0+0+2+0+3+4+2+2+4+6+3+4+4+0+1+5+4+3+3+0</f>
        <v>52</v>
      </c>
      <c r="H38" s="22"/>
      <c r="I38" s="10">
        <v>0</v>
      </c>
      <c r="J38" s="35"/>
      <c r="K38" s="27"/>
      <c r="L38" s="19" t="s">
        <v>68</v>
      </c>
      <c r="M38" s="7">
        <v>17</v>
      </c>
    </row>
    <row r="39" s="1" customFormat="1" ht="80" customHeight="1" spans="1:13">
      <c r="A39" s="7">
        <v>11</v>
      </c>
      <c r="B39" s="32" t="s">
        <v>55</v>
      </c>
      <c r="C39" s="27" t="s">
        <v>69</v>
      </c>
      <c r="D39" s="28"/>
      <c r="E39" s="28"/>
      <c r="F39" s="28"/>
      <c r="G39" s="28"/>
      <c r="H39" s="28"/>
      <c r="I39" s="28"/>
      <c r="J39" s="28"/>
      <c r="K39" s="28"/>
      <c r="L39" s="28"/>
      <c r="M39" s="29"/>
    </row>
    <row r="47" s="1" customFormat="1" spans="1:13">
      <c r="C47" s="33"/>
      <c r="D47" s="33"/>
      <c r="J47" s="34"/>
    </row>
    <row r="48" spans="1:13">
      <c r="L48" s="1"/>
    </row>
  </sheetData>
  <mergeCells count="11">
    <mergeCell ref="A1:M1"/>
    <mergeCell ref="C23:H23"/>
    <mergeCell ref="K23:M23"/>
    <mergeCell ref="C24:H24"/>
    <mergeCell ref="K24:M24"/>
    <mergeCell ref="C25:M25"/>
    <mergeCell ref="A27:M27"/>
    <mergeCell ref="C39:M39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zoomScale="85" zoomScaleNormal="85" topLeftCell="A5" workbookViewId="0">
      <selection activeCell="P25" sqref="P25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188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8" customHeight="1" spans="1:13">
      <c r="A3" s="7">
        <v>1</v>
      </c>
      <c r="B3" s="8" t="s">
        <v>13</v>
      </c>
      <c r="C3" s="9">
        <v>7</v>
      </c>
      <c r="D3" s="9">
        <v>5.5</v>
      </c>
      <c r="E3" s="10">
        <f t="shared" ref="E3:E12" si="0">C3+D3</f>
        <v>12.5</v>
      </c>
      <c r="F3" s="10" t="s">
        <v>14</v>
      </c>
      <c r="G3" s="10">
        <f>12+0+0+0+6+13+13+13+15+9+13+9+15+13.5+15.5+11+12.5+12+5.5+11+12+9.5+17+15.5+12.5</f>
        <v>265.5</v>
      </c>
      <c r="H3" s="10">
        <v>330</v>
      </c>
      <c r="I3" s="10">
        <f>H3-G3</f>
        <v>64.5</v>
      </c>
      <c r="J3" s="11"/>
      <c r="K3" s="10"/>
      <c r="L3" s="10"/>
      <c r="M3" s="10">
        <f>I3/5</f>
        <v>12.9</v>
      </c>
    </row>
    <row r="4" s="1" customFormat="1" ht="38" customHeight="1" spans="1:13">
      <c r="A4" s="12">
        <v>2</v>
      </c>
      <c r="B4" s="8" t="s">
        <v>18</v>
      </c>
      <c r="C4" s="9">
        <v>16</v>
      </c>
      <c r="D4" s="9"/>
      <c r="E4" s="10">
        <f t="shared" si="0"/>
        <v>16</v>
      </c>
      <c r="F4" s="10" t="s">
        <v>14</v>
      </c>
      <c r="G4" s="10">
        <f>12+8+0+0+0+6+14+12+14+14+10+12+10+14+14+16+10+14+12+4+12+12+8+18+16</f>
        <v>262</v>
      </c>
      <c r="H4" s="13"/>
      <c r="I4" s="13"/>
      <c r="J4" s="11"/>
      <c r="K4" s="10"/>
      <c r="L4" s="10"/>
      <c r="M4" s="10"/>
    </row>
    <row r="5" s="1" customFormat="1" ht="38" customHeight="1" spans="1:13">
      <c r="A5" s="12">
        <v>3</v>
      </c>
      <c r="B5" s="8" t="s">
        <v>21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65+0+0+0+0+0+0+0+0+0+0+0+0+0+0+0+0+0+0+0+0+0+0+0+0</f>
        <v>65</v>
      </c>
      <c r="H5" s="10">
        <v>4950</v>
      </c>
      <c r="I5" s="10">
        <f>H5-G5-G7-G6</f>
        <v>1280</v>
      </c>
      <c r="J5" s="14"/>
      <c r="K5" s="10"/>
      <c r="L5" s="10"/>
      <c r="M5" s="10"/>
    </row>
    <row r="6" s="1" customFormat="1" ht="38" customHeight="1" spans="1:13">
      <c r="A6" s="15"/>
      <c r="B6" s="8" t="s">
        <v>23</v>
      </c>
      <c r="C6" s="10">
        <v>72</v>
      </c>
      <c r="D6" s="10">
        <v>96</v>
      </c>
      <c r="E6" s="10">
        <f t="shared" si="0"/>
        <v>168</v>
      </c>
      <c r="F6" s="10" t="s">
        <v>14</v>
      </c>
      <c r="G6" s="10">
        <f>0+0+0+0+183+194+174+196+189+174+99+228+173+212+203+172+165+64+196+141+172+106+192+189+168</f>
        <v>3590</v>
      </c>
      <c r="H6" s="15"/>
      <c r="I6" s="15"/>
      <c r="J6" s="11"/>
      <c r="K6" s="10"/>
      <c r="L6" s="10"/>
      <c r="M6" s="16"/>
    </row>
    <row r="7" s="1" customFormat="1" ht="38" customHeight="1" spans="1:13">
      <c r="A7" s="15"/>
      <c r="B7" s="8" t="s">
        <v>25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0+0+0+8+1+0+0+0+0+0+0+3+0+0+1+0+0+0+0+0+1+1+0+0+0</f>
        <v>15</v>
      </c>
      <c r="H7" s="15"/>
      <c r="I7" s="15"/>
      <c r="J7" s="11"/>
      <c r="K7" s="10"/>
      <c r="L7" s="10"/>
      <c r="M7" s="10"/>
    </row>
    <row r="8" s="1" customFormat="1" ht="38" customHeight="1" spans="1:13">
      <c r="A8" s="15"/>
      <c r="B8" s="8" t="s">
        <v>27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0+0+0+0+0+0+0+0+0+0+0+0+0+0+0+0+0+0+0+0+0+0+0+0+0</f>
        <v>0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29</v>
      </c>
      <c r="C9" s="13">
        <v>31.02</v>
      </c>
      <c r="D9" s="13"/>
      <c r="E9" s="10">
        <f t="shared" si="0"/>
        <v>31.02</v>
      </c>
      <c r="F9" s="13" t="s">
        <v>14</v>
      </c>
      <c r="G9" s="10">
        <f>0+31.23+0+31.02+0+30.93+30.89+30.97+30.96+0+31.05+30.81+0+0+31.58+30.96+31.28+0+0+30.94+31.23+31.45+31.67+30.99+31.02</f>
        <v>528.98</v>
      </c>
      <c r="H9" s="13">
        <v>6.08</v>
      </c>
      <c r="I9" s="13">
        <f>H9-K10</f>
        <v>1.324854</v>
      </c>
      <c r="J9" s="19" t="s">
        <v>30</v>
      </c>
      <c r="K9" s="10">
        <v>70</v>
      </c>
      <c r="L9" s="10">
        <v>0.96</v>
      </c>
      <c r="M9" s="20"/>
    </row>
    <row r="10" s="1" customFormat="1" ht="25" customHeight="1" spans="1:13">
      <c r="A10" s="7">
        <v>5</v>
      </c>
      <c r="B10" s="8" t="s">
        <v>31</v>
      </c>
      <c r="C10" s="10">
        <v>8.0595</v>
      </c>
      <c r="D10" s="10">
        <v>3.24</v>
      </c>
      <c r="E10" s="10">
        <f t="shared" si="0"/>
        <v>11.2995</v>
      </c>
      <c r="F10" s="10" t="s">
        <v>14</v>
      </c>
      <c r="G10" s="10">
        <f>6.831+0+0+0+6.6555+7.614+14.958+12.744+10.611+5.832+10.314+9.369+6.1965+9.4635+9.1395+9.774+8.532+7.128+9.45+7.4385+9.585+6.2775+9.18+8.694+11.2995</f>
        <v>197.0865</v>
      </c>
      <c r="H10" s="10"/>
      <c r="I10" s="10">
        <f>G10/(G3*0.1865)</f>
        <v>3.98027900213568</v>
      </c>
      <c r="J10" s="19" t="s">
        <v>32</v>
      </c>
      <c r="K10" s="20">
        <f>0+0.268578+0+0.257466+0+0.256719+0.253298+0.27873+0.281736+0+0.27945+0.271128+0+0+0.281062+0.275544+0.284648+0+0+0.287742+0.296685+0.305065+0.288197+0.291306+0.297792</f>
        <v>4.755146</v>
      </c>
      <c r="L10" s="10"/>
      <c r="M10" s="10">
        <f>C9*L9/100</f>
        <v>0.297792</v>
      </c>
    </row>
    <row r="11" s="1" customFormat="1" ht="25" customHeight="1" spans="1:13">
      <c r="A11" s="7">
        <v>6</v>
      </c>
      <c r="B11" s="8" t="s">
        <v>33</v>
      </c>
      <c r="C11" s="10">
        <v>13.2664</v>
      </c>
      <c r="D11" s="10">
        <v>0</v>
      </c>
      <c r="E11" s="10">
        <f t="shared" si="0"/>
        <v>13.2664</v>
      </c>
      <c r="F11" s="10" t="s">
        <v>14</v>
      </c>
      <c r="G11" s="10">
        <f>14.352+0+0+0+6.7344+17.5536+13.2664+17.664+16.56+14.6096+11.5+16.56+10.9848+11.6472+15.6216+16.2104+14.2232+14.4808+6.9736+5.3728+12.0152+12.3464+14.5912+16.8912+13.2664</f>
        <v>293.4248</v>
      </c>
      <c r="H11" s="10"/>
      <c r="I11" s="10">
        <f>G11/(G3*0.1865)</f>
        <v>5.92588822748318</v>
      </c>
      <c r="J11" s="11"/>
      <c r="K11" s="10"/>
      <c r="L11" s="10"/>
      <c r="M11" s="21"/>
    </row>
    <row r="12" s="1" customFormat="1" ht="25" customHeight="1" spans="1:13">
      <c r="A12" s="7">
        <v>7</v>
      </c>
      <c r="B12" s="8" t="s">
        <v>34</v>
      </c>
      <c r="C12" s="10">
        <v>206</v>
      </c>
      <c r="D12" s="10">
        <v>161</v>
      </c>
      <c r="E12" s="10">
        <f t="shared" si="0"/>
        <v>367</v>
      </c>
      <c r="F12" s="10" t="s">
        <v>35</v>
      </c>
      <c r="G12" s="10">
        <f>472+11+0+16+206+451+454+465+490+368+388+385+456+440+477+407+450+317+323+411+451+296+501+459+367</f>
        <v>9061</v>
      </c>
      <c r="H12" s="10">
        <f>G12*1.05</f>
        <v>9514.05</v>
      </c>
      <c r="I12" s="10"/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36</v>
      </c>
      <c r="C13" s="10">
        <v>208</v>
      </c>
      <c r="D13" s="10">
        <v>110</v>
      </c>
      <c r="E13" s="10">
        <f t="shared" ref="E13:E21" si="1">D13+C13</f>
        <v>318</v>
      </c>
      <c r="F13" s="10" t="s">
        <v>35</v>
      </c>
      <c r="G13" s="10">
        <f>372+0+0+0+195+420+417+363+467+242+386+282+393+382+374+341+333+312+195.6+316+374+231+423+383+318</f>
        <v>7519.6</v>
      </c>
      <c r="H13" s="10"/>
      <c r="I13" s="10"/>
      <c r="J13" s="14"/>
      <c r="K13" s="10"/>
      <c r="L13" s="10"/>
      <c r="M13" s="10"/>
    </row>
    <row r="14" s="1" customFormat="1" ht="25" customHeight="1" spans="1:13">
      <c r="A14" s="7">
        <v>9</v>
      </c>
      <c r="B14" s="8" t="s">
        <v>37</v>
      </c>
      <c r="C14" s="10">
        <v>384.36</v>
      </c>
      <c r="D14" s="10">
        <v>448.77</v>
      </c>
      <c r="E14" s="10">
        <f t="shared" si="1"/>
        <v>833.13</v>
      </c>
      <c r="F14" s="10" t="s">
        <v>35</v>
      </c>
      <c r="G14" s="10">
        <f>209.75+0+0+0+370.64+733.22+886.44+846.58+728.24+930.46+896.96+902.95+629.84+963.57+867.96+679.89+781.38+634.77+618.01+738.09+740.32+767.61+841.08+718.96+833.13</f>
        <v>16319.85</v>
      </c>
      <c r="H14" s="10"/>
      <c r="I14" s="10"/>
      <c r="J14" s="19" t="s">
        <v>38</v>
      </c>
      <c r="K14" s="10">
        <v>3.38</v>
      </c>
      <c r="L14" s="10">
        <v>3.52</v>
      </c>
      <c r="M14" s="10"/>
    </row>
    <row r="15" s="1" customFormat="1" ht="25" customHeight="1" spans="1:13">
      <c r="A15" s="7">
        <v>10</v>
      </c>
      <c r="B15" s="8" t="s">
        <v>39</v>
      </c>
      <c r="C15" s="10">
        <v>18</v>
      </c>
      <c r="D15" s="10">
        <v>9</v>
      </c>
      <c r="E15" s="10">
        <f t="shared" si="1"/>
        <v>27</v>
      </c>
      <c r="F15" s="10" t="s">
        <v>14</v>
      </c>
      <c r="G15" s="10">
        <f>24+0+0+0+21+27+33+30+33+21+30+21+33+30+33+27+30+24+17+30+30+19+36+33+27</f>
        <v>609</v>
      </c>
      <c r="H15" s="10"/>
      <c r="I15" s="10">
        <f>G15/(G3*0.1865)</f>
        <v>12.2991169476379</v>
      </c>
      <c r="J15" s="19" t="s">
        <v>40</v>
      </c>
      <c r="K15" s="20">
        <f>0.641835+0+0+0+1.0970944+2.2635878+2.9007565+2.4932712+2.1651567+2.7262642+2.5433786+2.6076891+1.9524176+3.0179391+2.7017752+2.2869365+2.5432458+2.029962+1.9472319+2.344302+2.3083564+2.5310919+2.8058577+2.2944464+2.8788072</f>
        <v>51.0814032</v>
      </c>
      <c r="L15" s="10"/>
      <c r="M15" s="10">
        <f>(C14*K14+L14*D14)/1000</f>
        <v>2.8788072</v>
      </c>
    </row>
    <row r="16" s="1" customFormat="1" ht="25" customHeight="1" spans="1:13">
      <c r="A16" s="7">
        <v>11</v>
      </c>
      <c r="B16" s="8" t="s">
        <v>41</v>
      </c>
      <c r="C16" s="7">
        <v>0</v>
      </c>
      <c r="D16" s="7">
        <v>0.0875</v>
      </c>
      <c r="E16" s="10">
        <f t="shared" si="1"/>
        <v>0.0875</v>
      </c>
      <c r="F16" s="10" t="s">
        <v>14</v>
      </c>
      <c r="G16" s="10">
        <f>0+0+0+0+0+0.0875+0+0.075+0+0.0875+0.0375+0.0375+0+0+0.0375+0.0375+0.0375+0+0.075+0.0625+0+0+0+0+0.0875</f>
        <v>0.6625</v>
      </c>
      <c r="H16" s="22"/>
      <c r="I16" s="22"/>
      <c r="J16" s="11"/>
      <c r="K16" s="22"/>
      <c r="L16" s="22"/>
      <c r="M16" s="10"/>
    </row>
    <row r="17" s="1" customFormat="1" ht="25" customHeight="1" spans="1:13">
      <c r="A17" s="12">
        <v>12</v>
      </c>
      <c r="B17" s="8" t="s">
        <v>42</v>
      </c>
      <c r="C17" s="10">
        <v>0</v>
      </c>
      <c r="D17" s="7">
        <v>0</v>
      </c>
      <c r="E17" s="10">
        <f t="shared" si="1"/>
        <v>0</v>
      </c>
      <c r="F17" s="10" t="s">
        <v>14</v>
      </c>
      <c r="G17" s="10">
        <f>2+0+0+0+0+2+0+2+0+2+2+0+2+0+2+0+2+0+2+0+2+0+2+2+0</f>
        <v>24</v>
      </c>
      <c r="H17" s="22"/>
      <c r="I17" s="10">
        <f>G17/(G3*0.1865)</f>
        <v>0.48469426394632</v>
      </c>
      <c r="J17" s="11"/>
      <c r="K17" s="22"/>
      <c r="L17" s="22"/>
      <c r="M17" s="10"/>
    </row>
    <row r="18" s="1" customFormat="1" ht="25" customHeight="1" spans="1:13">
      <c r="A18" s="7">
        <v>13</v>
      </c>
      <c r="B18" s="8" t="s">
        <v>43</v>
      </c>
      <c r="C18" s="10">
        <v>0</v>
      </c>
      <c r="D18" s="7">
        <v>0</v>
      </c>
      <c r="E18" s="10">
        <f t="shared" si="1"/>
        <v>0</v>
      </c>
      <c r="F18" s="10" t="s">
        <v>14</v>
      </c>
      <c r="G18" s="10">
        <f>2+0+0+0+0+2+0+2+0+2+2+0+2+0+2+0+2+0+2+0+2+0+2+2+0</f>
        <v>24</v>
      </c>
      <c r="H18" s="22"/>
      <c r="I18" s="10">
        <f>G18/(G3*0.1865)</f>
        <v>0.48469426394632</v>
      </c>
      <c r="J18" s="11"/>
      <c r="K18" s="22"/>
      <c r="L18" s="22"/>
      <c r="M18" s="10"/>
    </row>
    <row r="19" s="1" customFormat="1" ht="25" customHeight="1" spans="1:13">
      <c r="A19" s="7">
        <v>14</v>
      </c>
      <c r="B19" s="8" t="s">
        <v>44</v>
      </c>
      <c r="C19" s="10">
        <v>3</v>
      </c>
      <c r="D19" s="7">
        <v>1</v>
      </c>
      <c r="E19" s="10">
        <f t="shared" si="1"/>
        <v>4</v>
      </c>
      <c r="F19" s="10" t="s">
        <v>45</v>
      </c>
      <c r="G19" s="10">
        <f>5+0+0+0+3+7+8+6+7+7+7+6+8+5+12+4+8+2+13+4+8+4+9+6+4</f>
        <v>143</v>
      </c>
      <c r="H19" s="22"/>
      <c r="I19" s="22"/>
      <c r="J19" s="11"/>
      <c r="K19" s="22"/>
      <c r="L19" s="22"/>
      <c r="M19" s="10"/>
    </row>
    <row r="20" s="1" customFormat="1" ht="25" customHeight="1" spans="1:13">
      <c r="A20" s="7">
        <v>15</v>
      </c>
      <c r="B20" s="8" t="s">
        <v>46</v>
      </c>
      <c r="C20" s="7">
        <v>490</v>
      </c>
      <c r="D20" s="7">
        <v>543</v>
      </c>
      <c r="E20" s="10">
        <f t="shared" si="1"/>
        <v>1033</v>
      </c>
      <c r="F20" s="10" t="s">
        <v>35</v>
      </c>
      <c r="G20" s="10">
        <f>507+0+0+339+1006+1051+1056+1200+1113+1132+810+1370+1187+1194+1246+1098+1056+635+1144+1095+1126+854+1192+1000+1033</f>
        <v>23444</v>
      </c>
      <c r="H20" s="23"/>
      <c r="I20" s="10">
        <f>E20/M20</f>
        <v>43.0416666666667</v>
      </c>
      <c r="J20" s="19" t="s">
        <v>47</v>
      </c>
      <c r="K20" s="10">
        <f>7.5+0+0+6+24+24+24+24+24+24+15.5+24+24+24+24+24+24+11.5+24+24+24+17+24+24+24</f>
        <v>489.5</v>
      </c>
      <c r="L20" s="10">
        <f>G20/K20</f>
        <v>47.8937691521961</v>
      </c>
      <c r="M20" s="10">
        <v>24</v>
      </c>
    </row>
    <row r="21" s="1" customFormat="1" ht="25" customHeight="1" spans="1:13">
      <c r="A21" s="12">
        <v>16</v>
      </c>
      <c r="B21" s="8" t="s">
        <v>48</v>
      </c>
      <c r="C21" s="7">
        <v>623</v>
      </c>
      <c r="D21" s="7">
        <v>675</v>
      </c>
      <c r="E21" s="10">
        <f t="shared" si="1"/>
        <v>1298</v>
      </c>
      <c r="F21" s="10" t="s">
        <v>35</v>
      </c>
      <c r="G21" s="10">
        <f>547+0+0+662+1124+1392+1384+1483+1450+1339+986+1680+1486+1500+1565+1326+1366+691+1337+1248+1433+922+1582+1370+1298</f>
        <v>29171</v>
      </c>
      <c r="H21" s="22"/>
      <c r="I21" s="10">
        <f>E21/M20</f>
        <v>54.0833333333333</v>
      </c>
      <c r="J21" s="11"/>
      <c r="K21" s="22"/>
      <c r="L21" s="22"/>
      <c r="M21" s="10"/>
    </row>
    <row r="22" s="1" customFormat="1" ht="25" customHeight="1" spans="1:13">
      <c r="A22" s="7">
        <v>17</v>
      </c>
      <c r="B22" s="8" t="s">
        <v>49</v>
      </c>
      <c r="C22" s="12">
        <v>30.21</v>
      </c>
      <c r="D22" s="12">
        <v>31.25</v>
      </c>
      <c r="E22" s="13"/>
      <c r="F22" s="13" t="s">
        <v>50</v>
      </c>
      <c r="G22" s="13"/>
      <c r="H22" s="24"/>
      <c r="I22" s="24"/>
      <c r="J22" s="25"/>
      <c r="K22" s="24"/>
      <c r="L22" s="24"/>
      <c r="M22" s="10"/>
    </row>
    <row r="23" s="1" customFormat="1" ht="32" customHeight="1" spans="1:13">
      <c r="A23" s="7">
        <v>18</v>
      </c>
      <c r="B23" s="26" t="s">
        <v>151</v>
      </c>
      <c r="C23" s="27" t="s">
        <v>183</v>
      </c>
      <c r="D23" s="28"/>
      <c r="E23" s="28"/>
      <c r="F23" s="28"/>
      <c r="G23" s="28"/>
      <c r="H23" s="29"/>
      <c r="I23" s="30" t="s">
        <v>20</v>
      </c>
      <c r="J23" s="26" t="s">
        <v>156</v>
      </c>
      <c r="K23" s="27" t="s">
        <v>189</v>
      </c>
      <c r="L23" s="28"/>
      <c r="M23" s="29"/>
    </row>
    <row r="24" s="1" customFormat="1" ht="32" customHeight="1" spans="1:13">
      <c r="A24" s="7">
        <v>19</v>
      </c>
      <c r="B24" s="26" t="s">
        <v>153</v>
      </c>
      <c r="C24" s="27" t="s">
        <v>183</v>
      </c>
      <c r="D24" s="28"/>
      <c r="E24" s="28"/>
      <c r="F24" s="28"/>
      <c r="G24" s="28"/>
      <c r="H24" s="29"/>
      <c r="I24" s="33" t="s">
        <v>20</v>
      </c>
      <c r="J24" s="26" t="s">
        <v>159</v>
      </c>
      <c r="K24" s="27" t="s">
        <v>190</v>
      </c>
      <c r="L24" s="28"/>
      <c r="M24" s="29"/>
    </row>
    <row r="25" s="1" customFormat="1" ht="80" customHeight="1" spans="1:13">
      <c r="A25" s="7">
        <v>20</v>
      </c>
      <c r="B25" s="31" t="s">
        <v>55</v>
      </c>
      <c r="C25" s="27" t="s">
        <v>129</v>
      </c>
      <c r="D25" s="28"/>
      <c r="E25" s="28"/>
      <c r="F25" s="28"/>
      <c r="G25" s="28"/>
      <c r="H25" s="28"/>
      <c r="I25" s="28"/>
      <c r="J25" s="28"/>
      <c r="K25" s="28"/>
      <c r="L25" s="28"/>
      <c r="M25" s="29"/>
    </row>
    <row r="26" s="1" customFormat="1" ht="14" customHeight="1" spans="1:13">
      <c r="C26" s="33"/>
      <c r="D26" s="33"/>
      <c r="J26" s="34"/>
    </row>
    <row r="27" s="1" customFormat="1" ht="45" customHeight="1" spans="1:13">
      <c r="A27" s="5" t="s">
        <v>191</v>
      </c>
    </row>
    <row r="28" s="1" customFormat="1" ht="30" customHeight="1" spans="1:13">
      <c r="A28" s="6" t="s">
        <v>58</v>
      </c>
      <c r="B28" s="6" t="s">
        <v>59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7">
        <v>1</v>
      </c>
      <c r="B29" s="8" t="s">
        <v>60</v>
      </c>
      <c r="C29" s="10">
        <v>0</v>
      </c>
      <c r="D29" s="10">
        <v>0</v>
      </c>
      <c r="E29" s="10">
        <f t="shared" ref="E29:E35" si="2">D29+C29</f>
        <v>0</v>
      </c>
      <c r="F29" s="10" t="s">
        <v>35</v>
      </c>
      <c r="G29" s="10">
        <f>0+0+0+0+0+0+0+0+0+0+0+0+0+0+0+0+0+0+0+0+0+0+0+21.34+0</f>
        <v>21.34</v>
      </c>
      <c r="H29" s="10"/>
      <c r="I29" s="10"/>
      <c r="J29" s="11"/>
      <c r="K29" s="22"/>
      <c r="L29" s="22"/>
      <c r="M29" s="10"/>
    </row>
    <row r="30" s="1" customFormat="1" ht="25" customHeight="1" spans="1:13">
      <c r="A30" s="7">
        <v>2</v>
      </c>
      <c r="B30" s="8" t="s">
        <v>61</v>
      </c>
      <c r="C30" s="10">
        <v>0</v>
      </c>
      <c r="D30" s="10">
        <v>0</v>
      </c>
      <c r="E30" s="10">
        <f t="shared" si="2"/>
        <v>0</v>
      </c>
      <c r="F30" s="10" t="s">
        <v>35</v>
      </c>
      <c r="G30" s="10">
        <f>0+0+0+0+0+0+12.6+12.59+14.7+16.7+8.28+16.61+16.56+16.62+16.74+16.66+16.65+0+0+21.7+16.7+14.82+12.61+0+0</f>
        <v>230.54</v>
      </c>
      <c r="H30" s="10"/>
      <c r="I30" s="10"/>
      <c r="J30" s="11"/>
      <c r="K30" s="22"/>
      <c r="L30" s="22"/>
      <c r="M30" s="21"/>
    </row>
    <row r="31" s="1" customFormat="1" ht="25" customHeight="1" spans="1:13">
      <c r="A31" s="7">
        <v>3</v>
      </c>
      <c r="B31" s="8" t="s">
        <v>62</v>
      </c>
      <c r="C31" s="10">
        <v>14</v>
      </c>
      <c r="D31" s="10">
        <v>13</v>
      </c>
      <c r="E31" s="10">
        <f t="shared" si="2"/>
        <v>27</v>
      </c>
      <c r="F31" s="10" t="s">
        <v>35</v>
      </c>
      <c r="G31" s="10">
        <f>9+33+13+24+43.31+38+19+17+26+16+38+42.27+10+19+38+8+29+51.3+22+17+26+21+37+54+27</f>
        <v>677.88</v>
      </c>
      <c r="H31" s="10"/>
      <c r="I31" s="10"/>
      <c r="J31" s="11"/>
      <c r="K31" s="22"/>
      <c r="L31" s="22"/>
      <c r="M31" s="21"/>
    </row>
    <row r="32" s="1" customFormat="1" ht="25" customHeight="1" spans="1:13">
      <c r="A32" s="7">
        <v>4</v>
      </c>
      <c r="B32" s="8" t="s">
        <v>31</v>
      </c>
      <c r="C32" s="10">
        <v>0</v>
      </c>
      <c r="D32" s="10">
        <v>0</v>
      </c>
      <c r="E32" s="10">
        <f t="shared" si="2"/>
        <v>0</v>
      </c>
      <c r="F32" s="10" t="s">
        <v>14</v>
      </c>
      <c r="G32" s="10">
        <f>0+0+0+0+0+0+0+0+8.1945+5.4135+14.796+0+12.3255+0+9.1665+5.94+16.2675+0+0+0+14.337+3.5235+14.148+0+0</f>
        <v>104.112</v>
      </c>
      <c r="H32" s="10"/>
      <c r="J32" s="11"/>
      <c r="K32" s="22"/>
      <c r="L32" s="22"/>
      <c r="M32" s="22"/>
    </row>
    <row r="33" s="1" customFormat="1" ht="25" customHeight="1" spans="1:13">
      <c r="A33" s="7">
        <v>5</v>
      </c>
      <c r="B33" s="8" t="s">
        <v>33</v>
      </c>
      <c r="C33" s="10">
        <v>0</v>
      </c>
      <c r="D33" s="10">
        <v>0</v>
      </c>
      <c r="E33" s="10">
        <f t="shared" si="2"/>
        <v>0</v>
      </c>
      <c r="F33" s="10" t="s">
        <v>14</v>
      </c>
      <c r="G33" s="10">
        <f>0+0+0+0+0+0+0+0+0+0+0+0+0+0+0+0+0+0+0+0+0+0+0+0+0</f>
        <v>0</v>
      </c>
      <c r="H33" s="10"/>
      <c r="I33" s="10"/>
      <c r="J33" s="14"/>
      <c r="K33" s="22"/>
      <c r="L33" s="22"/>
      <c r="M33" s="22"/>
    </row>
    <row r="34" s="1" customFormat="1" ht="25" customHeight="1" spans="1:13">
      <c r="A34" s="7">
        <v>6</v>
      </c>
      <c r="B34" s="8" t="s">
        <v>63</v>
      </c>
      <c r="C34" s="10">
        <v>275</v>
      </c>
      <c r="D34" s="10">
        <v>277</v>
      </c>
      <c r="E34" s="10">
        <f t="shared" si="2"/>
        <v>552</v>
      </c>
      <c r="F34" s="10" t="s">
        <v>35</v>
      </c>
      <c r="G34" s="10">
        <f>580+604+307+408+430+215+238+250+321+330+333+338+268+307+272+0+145+595+589+591+590+260+0+210+552</f>
        <v>8733</v>
      </c>
      <c r="H34" s="10"/>
      <c r="I34" s="10"/>
      <c r="J34" s="35"/>
      <c r="K34" s="22"/>
      <c r="L34" s="10"/>
      <c r="M34" s="22"/>
    </row>
    <row r="35" s="1" customFormat="1" ht="25" customHeight="1" spans="1:13">
      <c r="A35" s="7">
        <v>7</v>
      </c>
      <c r="B35" s="8" t="s">
        <v>64</v>
      </c>
      <c r="C35" s="10">
        <v>500</v>
      </c>
      <c r="D35" s="10">
        <v>499</v>
      </c>
      <c r="E35" s="10">
        <f t="shared" si="2"/>
        <v>999</v>
      </c>
      <c r="F35" s="10" t="s">
        <v>35</v>
      </c>
      <c r="G35" s="10">
        <f>1010+819+776+499+966+1008+1007+1010+1005+1008+1008+980+786+1014+1016+1015+1015+972+986+1010+1007+1007+1006+1000+999</f>
        <v>23929</v>
      </c>
      <c r="H35" s="10"/>
      <c r="I35" s="10"/>
      <c r="J35" s="36"/>
      <c r="K35" s="22"/>
      <c r="L35" s="10"/>
      <c r="M35" s="22"/>
    </row>
    <row r="36" s="1" customFormat="1" ht="25" customHeight="1" spans="1:13">
      <c r="A36" s="7">
        <v>8</v>
      </c>
      <c r="B36" s="8" t="s">
        <v>65</v>
      </c>
      <c r="C36" s="10">
        <v>0</v>
      </c>
      <c r="D36" s="10">
        <v>0</v>
      </c>
      <c r="E36" s="10">
        <f>C36+D36</f>
        <v>0</v>
      </c>
      <c r="F36" s="10" t="s">
        <v>35</v>
      </c>
      <c r="G36" s="10">
        <f>0+0+0+0+0+0+0+0+0+0+0+0+0+0+0+0+0+0+0+0+0+0+0+0+0</f>
        <v>0</v>
      </c>
      <c r="H36" s="22"/>
      <c r="I36" s="7">
        <v>0</v>
      </c>
      <c r="J36" s="14"/>
      <c r="K36" s="37"/>
      <c r="L36" s="27"/>
      <c r="M36" s="38"/>
    </row>
    <row r="37" s="1" customFormat="1" ht="25" customHeight="1" spans="1:13">
      <c r="A37" s="7">
        <v>9</v>
      </c>
      <c r="B37" s="8" t="s">
        <v>66</v>
      </c>
      <c r="C37" s="10">
        <v>0</v>
      </c>
      <c r="D37" s="10">
        <v>0</v>
      </c>
      <c r="E37" s="10">
        <f>C37+D37</f>
        <v>0</v>
      </c>
      <c r="F37" s="10" t="s">
        <v>35</v>
      </c>
      <c r="G37" s="10">
        <f>0+0+0+0+0+0+0+0+0+0+0+0+0+0+0+0+0+0+0+0+0+0+0+0+0</f>
        <v>0</v>
      </c>
      <c r="H37" s="22"/>
      <c r="I37" s="7">
        <v>78.174</v>
      </c>
      <c r="J37" s="35"/>
      <c r="K37" s="37"/>
      <c r="L37" s="27"/>
      <c r="M37" s="38"/>
    </row>
    <row r="38" s="1" customFormat="1" ht="25" customHeight="1" spans="1:13">
      <c r="A38" s="7">
        <v>10</v>
      </c>
      <c r="B38" s="8" t="s">
        <v>67</v>
      </c>
      <c r="C38" s="7">
        <v>0</v>
      </c>
      <c r="D38" s="7">
        <v>0</v>
      </c>
      <c r="E38" s="10">
        <f>D38+C38</f>
        <v>0</v>
      </c>
      <c r="F38" s="10" t="s">
        <v>45</v>
      </c>
      <c r="G38" s="10">
        <f>0+0+2+0+0+0+2+0+3+4+2+2+4+6+3+4+4+0+1+5+4+3+3+0+0</f>
        <v>52</v>
      </c>
      <c r="H38" s="22"/>
      <c r="I38" s="10">
        <v>0</v>
      </c>
      <c r="J38" s="35"/>
      <c r="K38" s="27"/>
      <c r="L38" s="19" t="s">
        <v>68</v>
      </c>
      <c r="M38" s="7">
        <v>17</v>
      </c>
    </row>
    <row r="39" s="1" customFormat="1" ht="80" customHeight="1" spans="1:13">
      <c r="A39" s="7">
        <v>11</v>
      </c>
      <c r="B39" s="32" t="s">
        <v>55</v>
      </c>
      <c r="C39" s="27" t="s">
        <v>69</v>
      </c>
      <c r="D39" s="28"/>
      <c r="E39" s="28"/>
      <c r="F39" s="28"/>
      <c r="G39" s="28"/>
      <c r="H39" s="28"/>
      <c r="I39" s="28"/>
      <c r="J39" s="28"/>
      <c r="K39" s="28"/>
      <c r="L39" s="28"/>
      <c r="M39" s="29"/>
    </row>
    <row r="47" s="1" customFormat="1" spans="1:13">
      <c r="C47" s="33"/>
      <c r="D47" s="33"/>
      <c r="J47" s="34"/>
    </row>
    <row r="48" spans="1:13">
      <c r="L48" s="1"/>
    </row>
  </sheetData>
  <mergeCells count="11">
    <mergeCell ref="A1:M1"/>
    <mergeCell ref="C23:H23"/>
    <mergeCell ref="K23:M23"/>
    <mergeCell ref="C24:H24"/>
    <mergeCell ref="K24:M24"/>
    <mergeCell ref="C25:M25"/>
    <mergeCell ref="A27:M27"/>
    <mergeCell ref="C39:M39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zoomScale="85" zoomScaleNormal="85" topLeftCell="A6" workbookViewId="0">
      <selection activeCell="C25" sqref="C25:M25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192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8" customHeight="1" spans="1:13">
      <c r="A3" s="7">
        <v>1</v>
      </c>
      <c r="B3" s="8" t="s">
        <v>13</v>
      </c>
      <c r="C3" s="9">
        <v>3</v>
      </c>
      <c r="D3" s="9">
        <v>7</v>
      </c>
      <c r="E3" s="10">
        <f t="shared" ref="E3:E12" si="0">C3+D3</f>
        <v>10</v>
      </c>
      <c r="F3" s="10" t="s">
        <v>14</v>
      </c>
      <c r="G3" s="10">
        <f>12+0+0+0+6+13+13+13+15+9+13+9+15+13.5+15.5+11+12.5+12+5.5+11+12+9.5+17+15.5+12.5+10</f>
        <v>275.5</v>
      </c>
      <c r="H3" s="10">
        <v>330</v>
      </c>
      <c r="I3" s="10">
        <f>H3-G3</f>
        <v>54.5</v>
      </c>
      <c r="J3" s="11"/>
      <c r="K3" s="10"/>
      <c r="L3" s="10"/>
      <c r="M3" s="10">
        <f>I3/4</f>
        <v>13.625</v>
      </c>
    </row>
    <row r="4" s="1" customFormat="1" ht="38" customHeight="1" spans="1:13">
      <c r="A4" s="12">
        <v>2</v>
      </c>
      <c r="B4" s="8" t="s">
        <v>18</v>
      </c>
      <c r="C4" s="9">
        <v>12</v>
      </c>
      <c r="D4" s="9"/>
      <c r="E4" s="10">
        <f t="shared" si="0"/>
        <v>12</v>
      </c>
      <c r="F4" s="10" t="s">
        <v>14</v>
      </c>
      <c r="G4" s="10">
        <f>12+8+0+0+0+6+14+12+14+14+10+12+10+14+14+16+10+14+12+4+12+12+8+18+16+12</f>
        <v>274</v>
      </c>
      <c r="H4" s="13"/>
      <c r="I4" s="13"/>
      <c r="J4" s="11"/>
      <c r="K4" s="10"/>
      <c r="L4" s="10"/>
      <c r="M4" s="10"/>
    </row>
    <row r="5" s="1" customFormat="1" ht="38" customHeight="1" spans="1:13">
      <c r="A5" s="12">
        <v>3</v>
      </c>
      <c r="B5" s="8" t="s">
        <v>21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65+0+0+0+0+0+0+0+0+0+0+0+0+0+0+0+0+0+0+0+0+0+0+0+0+0</f>
        <v>65</v>
      </c>
      <c r="H5" s="10">
        <v>4950</v>
      </c>
      <c r="I5" s="10">
        <f>H5-G5-G7-G6</f>
        <v>1133</v>
      </c>
      <c r="J5" s="14"/>
      <c r="K5" s="10"/>
      <c r="L5" s="10"/>
      <c r="M5" s="10"/>
    </row>
    <row r="6" s="1" customFormat="1" ht="38" customHeight="1" spans="1:13">
      <c r="A6" s="15"/>
      <c r="B6" s="8" t="s">
        <v>23</v>
      </c>
      <c r="C6" s="10">
        <v>78</v>
      </c>
      <c r="D6" s="10">
        <v>69</v>
      </c>
      <c r="E6" s="10">
        <f t="shared" si="0"/>
        <v>147</v>
      </c>
      <c r="F6" s="10" t="s">
        <v>14</v>
      </c>
      <c r="G6" s="10">
        <f>0+0+0+0+183+194+174+196+189+174+99+228+173+212+203+172+165+64+196+141+172+106+192+189+168+147</f>
        <v>3737</v>
      </c>
      <c r="H6" s="15"/>
      <c r="I6" s="15"/>
      <c r="J6" s="11"/>
      <c r="K6" s="10"/>
      <c r="L6" s="10"/>
      <c r="M6" s="16"/>
    </row>
    <row r="7" s="1" customFormat="1" ht="38" customHeight="1" spans="1:13">
      <c r="A7" s="15"/>
      <c r="B7" s="8" t="s">
        <v>25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0+0+0+8+1+0+0+0+0+0+0+3+0+0+1+0+0+0+0+0+1+1+0+0+0+0</f>
        <v>15</v>
      </c>
      <c r="H7" s="15"/>
      <c r="I7" s="15"/>
      <c r="J7" s="11"/>
      <c r="K7" s="10"/>
      <c r="L7" s="10"/>
      <c r="M7" s="10"/>
    </row>
    <row r="8" s="1" customFormat="1" ht="38" customHeight="1" spans="1:13">
      <c r="A8" s="15"/>
      <c r="B8" s="8" t="s">
        <v>27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0+0+0+0+0+0+0+0+0+0+0+0+0+0+0+0+0+0+0+0+0+0+0+0+0+0</f>
        <v>0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29</v>
      </c>
      <c r="C9" s="13">
        <v>30.78</v>
      </c>
      <c r="D9" s="13"/>
      <c r="E9" s="10">
        <f t="shared" si="0"/>
        <v>30.78</v>
      </c>
      <c r="F9" s="13" t="s">
        <v>14</v>
      </c>
      <c r="G9" s="10">
        <f>0+31.23+0+31.02+0+30.93+30.89+30.97+30.96+0+31.05+30.81+0+0+31.58+30.96+31.28+0+0+30.94+31.23+31.45+31.67+30.99+31.02+30.78</f>
        <v>559.76</v>
      </c>
      <c r="H9" s="13">
        <v>6.08</v>
      </c>
      <c r="I9" s="13">
        <f>H9-K10</f>
        <v>1.041678</v>
      </c>
      <c r="J9" s="19" t="s">
        <v>30</v>
      </c>
      <c r="K9" s="10">
        <v>90</v>
      </c>
      <c r="L9" s="10">
        <v>0.92</v>
      </c>
      <c r="M9" s="20"/>
    </row>
    <row r="10" s="1" customFormat="1" ht="25" customHeight="1" spans="1:13">
      <c r="A10" s="7">
        <v>5</v>
      </c>
      <c r="B10" s="8" t="s">
        <v>31</v>
      </c>
      <c r="C10" s="10">
        <v>4.617</v>
      </c>
      <c r="D10" s="10">
        <v>2.2815</v>
      </c>
      <c r="E10" s="10">
        <f t="shared" si="0"/>
        <v>6.8985</v>
      </c>
      <c r="F10" s="10" t="s">
        <v>14</v>
      </c>
      <c r="G10" s="10">
        <f>6.831+0+0+0+6.6555+7.614+14.958+12.744+10.611+5.832+10.314+9.369+6.1965+9.4635+9.1395+9.774+8.532+7.128+9.45+7.4385+9.585+6.2775+9.18+8.694+11.2995+6.8985</f>
        <v>203.985</v>
      </c>
      <c r="H10" s="10"/>
      <c r="I10" s="10">
        <f>G10/(G3*0.1865)</f>
        <v>3.97006661054967</v>
      </c>
      <c r="J10" s="19" t="s">
        <v>32</v>
      </c>
      <c r="K10" s="20">
        <f>0+0.268578+0+0.257466+0+0.256719+0.253298+0.27873+0.281736+0+0.27945+0.271128+0+0+0.281062+0.275544+0.284648+0+0+0.287742+0.296685+0.305065+0.288197+0.291306+0.297792+0.283176</f>
        <v>5.038322</v>
      </c>
      <c r="L10" s="10"/>
      <c r="M10" s="10">
        <f>C9*L9/100</f>
        <v>0.283176</v>
      </c>
    </row>
    <row r="11" s="1" customFormat="1" ht="25" customHeight="1" spans="1:13">
      <c r="A11" s="7">
        <v>6</v>
      </c>
      <c r="B11" s="8" t="s">
        <v>33</v>
      </c>
      <c r="C11" s="10">
        <v>12.42</v>
      </c>
      <c r="D11" s="10">
        <v>0</v>
      </c>
      <c r="E11" s="10">
        <f t="shared" si="0"/>
        <v>12.42</v>
      </c>
      <c r="F11" s="10" t="s">
        <v>14</v>
      </c>
      <c r="G11" s="10">
        <f>14.352+0+0+0+6.7344+17.5536+13.2664+17.664+16.56+14.6096+11.5+16.56+10.9848+11.6472+15.6216+16.2104+14.2232+14.4808+6.9736+5.3728+12.0152+12.3464+14.5912+16.8912+13.2664+12.42</f>
        <v>305.8448</v>
      </c>
      <c r="H11" s="10"/>
      <c r="I11" s="10">
        <f>G11/(G3*0.1865)</f>
        <v>5.95251723651368</v>
      </c>
      <c r="J11" s="11"/>
      <c r="K11" s="10"/>
      <c r="L11" s="10"/>
      <c r="M11" s="21"/>
    </row>
    <row r="12" s="1" customFormat="1" ht="25" customHeight="1" spans="1:13">
      <c r="A12" s="7">
        <v>7</v>
      </c>
      <c r="B12" s="8" t="s">
        <v>34</v>
      </c>
      <c r="C12" s="10">
        <v>211</v>
      </c>
      <c r="D12" s="10">
        <v>242</v>
      </c>
      <c r="E12" s="10">
        <f t="shared" si="0"/>
        <v>453</v>
      </c>
      <c r="F12" s="10" t="s">
        <v>35</v>
      </c>
      <c r="G12" s="10">
        <f>472+11+0+16+206+451+454+465+490+368+388+385+456+440+477+407+450+317+323+411+451+296+501+459+367+453</f>
        <v>9514</v>
      </c>
      <c r="H12" s="10">
        <f>G12*1.05</f>
        <v>9989.7</v>
      </c>
      <c r="I12" s="10"/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36</v>
      </c>
      <c r="C13" s="10">
        <v>122</v>
      </c>
      <c r="D13" s="10">
        <v>211</v>
      </c>
      <c r="E13" s="10">
        <f t="shared" ref="E13:E21" si="1">D13+C13</f>
        <v>333</v>
      </c>
      <c r="F13" s="10" t="s">
        <v>35</v>
      </c>
      <c r="G13" s="10">
        <f>372+0+0+0+195+420+417+363+467+242+386+282+393+382+374+341+333+312+195.6+316+374+231+423+383+318+333</f>
        <v>7852.6</v>
      </c>
      <c r="H13" s="10"/>
      <c r="I13" s="10"/>
      <c r="J13" s="14"/>
      <c r="K13" s="10"/>
      <c r="L13" s="10"/>
      <c r="M13" s="10"/>
    </row>
    <row r="14" s="1" customFormat="1" ht="25" customHeight="1" spans="1:13">
      <c r="A14" s="7">
        <v>9</v>
      </c>
      <c r="B14" s="8" t="s">
        <v>37</v>
      </c>
      <c r="C14" s="10">
        <v>450.28</v>
      </c>
      <c r="D14" s="10">
        <v>451.28</v>
      </c>
      <c r="E14" s="10">
        <f t="shared" si="1"/>
        <v>901.56</v>
      </c>
      <c r="F14" s="10" t="s">
        <v>35</v>
      </c>
      <c r="G14" s="10">
        <f>209.75+0+0+0+370.64+733.22+886.44+846.58+728.24+930.46+896.96+902.95+629.84+963.57+867.96+679.89+781.38+634.77+618.01+738.09+740.32+767.61+841.08+718.96+833.13+901.56</f>
        <v>17221.41</v>
      </c>
      <c r="H14" s="10"/>
      <c r="I14" s="10"/>
      <c r="J14" s="19" t="s">
        <v>38</v>
      </c>
      <c r="K14" s="10">
        <v>3.26</v>
      </c>
      <c r="L14" s="10">
        <v>3.28</v>
      </c>
      <c r="M14" s="10"/>
    </row>
    <row r="15" s="1" customFormat="1" ht="25" customHeight="1" spans="1:13">
      <c r="A15" s="7">
        <v>10</v>
      </c>
      <c r="B15" s="8" t="s">
        <v>39</v>
      </c>
      <c r="C15" s="10">
        <v>12</v>
      </c>
      <c r="D15" s="10">
        <v>18</v>
      </c>
      <c r="E15" s="10">
        <f t="shared" si="1"/>
        <v>30</v>
      </c>
      <c r="F15" s="10" t="s">
        <v>14</v>
      </c>
      <c r="G15" s="10">
        <f>24+0+0+0+21+27+33+30+33+21+30+21+33+30+33+27+30+24+17+30+30+19+36+33+27+30</f>
        <v>639</v>
      </c>
      <c r="H15" s="10"/>
      <c r="I15" s="10">
        <f>G15/(G3*0.1865)</f>
        <v>12.4365642774775</v>
      </c>
      <c r="J15" s="19" t="s">
        <v>40</v>
      </c>
      <c r="K15" s="20">
        <f>0.641835+0+0+0+1.0970944+2.2635878+2.9007565+2.4932712+2.1651567+2.7262642+2.5433786+2.6076891+1.9524176+3.0179391+2.7017752+2.2869365+2.5432458+2.029962+1.9472319+2.344302+2.3083564+2.5310919+2.8058577+2.2944464+2.8788072+2.9481112</f>
        <v>54.0295144</v>
      </c>
      <c r="L15" s="10"/>
      <c r="M15" s="10">
        <f>(C14*K14+L14*D14)/1000</f>
        <v>2.9481112</v>
      </c>
    </row>
    <row r="16" s="1" customFormat="1" ht="25" customHeight="1" spans="1:13">
      <c r="A16" s="7">
        <v>11</v>
      </c>
      <c r="B16" s="8" t="s">
        <v>41</v>
      </c>
      <c r="C16" s="7">
        <v>0.075</v>
      </c>
      <c r="D16" s="7">
        <v>0</v>
      </c>
      <c r="E16" s="10">
        <f t="shared" si="1"/>
        <v>0.075</v>
      </c>
      <c r="F16" s="10" t="s">
        <v>14</v>
      </c>
      <c r="G16" s="10">
        <f>0+0+0+0+0+0.0875+0+0.075+0+0.0875+0.0375+0.0375+0+0+0.0375+0.0375+0.0375+0+0.075+0.0625+0+0+0+0+0.0875+0.075</f>
        <v>0.7375</v>
      </c>
      <c r="H16" s="22"/>
      <c r="I16" s="22"/>
      <c r="J16" s="11"/>
      <c r="K16" s="22"/>
      <c r="L16" s="22"/>
      <c r="M16" s="10"/>
    </row>
    <row r="17" s="1" customFormat="1" ht="25" customHeight="1" spans="1:13">
      <c r="A17" s="12">
        <v>12</v>
      </c>
      <c r="B17" s="8" t="s">
        <v>42</v>
      </c>
      <c r="C17" s="10">
        <v>2</v>
      </c>
      <c r="D17" s="7">
        <v>0</v>
      </c>
      <c r="E17" s="10">
        <f t="shared" si="1"/>
        <v>2</v>
      </c>
      <c r="F17" s="10" t="s">
        <v>14</v>
      </c>
      <c r="G17" s="10">
        <f>2+0+0+0+0+2+0+2+0+2+2+0+2+0+2+0+2+0+2+0+2+0+2+2+0+2</f>
        <v>26</v>
      </c>
      <c r="H17" s="22"/>
      <c r="I17" s="10">
        <f>G17/(G3*0.1865)</f>
        <v>0.506026089537424</v>
      </c>
      <c r="J17" s="11"/>
      <c r="K17" s="22"/>
      <c r="L17" s="22"/>
      <c r="M17" s="10"/>
    </row>
    <row r="18" s="1" customFormat="1" ht="25" customHeight="1" spans="1:13">
      <c r="A18" s="7">
        <v>13</v>
      </c>
      <c r="B18" s="8" t="s">
        <v>43</v>
      </c>
      <c r="C18" s="10">
        <v>2</v>
      </c>
      <c r="D18" s="7">
        <v>0</v>
      </c>
      <c r="E18" s="10">
        <f t="shared" si="1"/>
        <v>2</v>
      </c>
      <c r="F18" s="10" t="s">
        <v>14</v>
      </c>
      <c r="G18" s="10">
        <f>2+0+0+0+0+2+0+2+0+2+2+0+2+0+2+0+2+0+2+0+2+0+2+2+0+2</f>
        <v>26</v>
      </c>
      <c r="H18" s="22"/>
      <c r="I18" s="10">
        <f>G18/(G3*0.1865)</f>
        <v>0.506026089537424</v>
      </c>
      <c r="J18" s="11"/>
      <c r="K18" s="22"/>
      <c r="L18" s="22"/>
      <c r="M18" s="10"/>
    </row>
    <row r="19" s="1" customFormat="1" ht="25" customHeight="1" spans="1:13">
      <c r="A19" s="7">
        <v>14</v>
      </c>
      <c r="B19" s="8" t="s">
        <v>44</v>
      </c>
      <c r="C19" s="10">
        <v>3</v>
      </c>
      <c r="D19" s="7">
        <v>9</v>
      </c>
      <c r="E19" s="10">
        <f t="shared" si="1"/>
        <v>12</v>
      </c>
      <c r="F19" s="10" t="s">
        <v>45</v>
      </c>
      <c r="G19" s="10">
        <f>5+0+0+0+3+7+8+6+7+7+7+6+8+5+12+4+8+2+13+4+8+4+9+6+4+12</f>
        <v>155</v>
      </c>
      <c r="H19" s="22"/>
      <c r="I19" s="22"/>
      <c r="J19" s="11"/>
      <c r="K19" s="22"/>
      <c r="L19" s="22"/>
      <c r="M19" s="10"/>
    </row>
    <row r="20" s="1" customFormat="1" ht="25" customHeight="1" spans="1:13">
      <c r="A20" s="7">
        <v>15</v>
      </c>
      <c r="B20" s="8" t="s">
        <v>46</v>
      </c>
      <c r="C20" s="7">
        <v>589</v>
      </c>
      <c r="D20" s="7">
        <v>500</v>
      </c>
      <c r="E20" s="10">
        <f t="shared" si="1"/>
        <v>1089</v>
      </c>
      <c r="F20" s="10" t="s">
        <v>35</v>
      </c>
      <c r="G20" s="10">
        <f>507+0+0+339+1006+1051+1056+1200+1113+1132+810+1370+1187+1194+1246+1098+1056+635+1144+1095+1126+854+1192+1000+1033+1089</f>
        <v>24533</v>
      </c>
      <c r="H20" s="23"/>
      <c r="I20" s="10">
        <f>E20/M20</f>
        <v>48.4</v>
      </c>
      <c r="J20" s="19" t="s">
        <v>47</v>
      </c>
      <c r="K20" s="10">
        <f>7.5+0+0+6+24+24+24+24+24+24+15.5+24+24+24+24+24+24+11.5+24+24+24+17+24+24+24+22.5</f>
        <v>512</v>
      </c>
      <c r="L20" s="10">
        <f>G20/K20</f>
        <v>47.916015625</v>
      </c>
      <c r="M20" s="10">
        <v>22.5</v>
      </c>
    </row>
    <row r="21" s="1" customFormat="1" ht="25" customHeight="1" spans="1:13">
      <c r="A21" s="12">
        <v>16</v>
      </c>
      <c r="B21" s="8" t="s">
        <v>48</v>
      </c>
      <c r="C21" s="7">
        <v>701</v>
      </c>
      <c r="D21" s="7">
        <v>612</v>
      </c>
      <c r="E21" s="10">
        <f t="shared" si="1"/>
        <v>1313</v>
      </c>
      <c r="F21" s="10" t="s">
        <v>35</v>
      </c>
      <c r="G21" s="10">
        <f>547+0+0+662+1124+1392+1384+1483+1450+1339+986+1680+1486+1500+1565+1326+1366+691+1337+1248+1433+922+1582+1370+1298+1313</f>
        <v>30484</v>
      </c>
      <c r="H21" s="22"/>
      <c r="I21" s="10">
        <f>E21/M20</f>
        <v>58.3555555555556</v>
      </c>
      <c r="J21" s="11"/>
      <c r="K21" s="22"/>
      <c r="L21" s="22"/>
      <c r="M21" s="10"/>
    </row>
    <row r="22" s="1" customFormat="1" ht="25" customHeight="1" spans="1:13">
      <c r="A22" s="7">
        <v>17</v>
      </c>
      <c r="B22" s="8" t="s">
        <v>49</v>
      </c>
      <c r="C22" s="12">
        <v>36.15</v>
      </c>
      <c r="D22" s="12">
        <v>27.19</v>
      </c>
      <c r="E22" s="13"/>
      <c r="F22" s="13" t="s">
        <v>50</v>
      </c>
      <c r="G22" s="13"/>
      <c r="H22" s="24"/>
      <c r="I22" s="24"/>
      <c r="J22" s="25"/>
      <c r="K22" s="24"/>
      <c r="L22" s="24"/>
      <c r="M22" s="10"/>
    </row>
    <row r="23" s="1" customFormat="1" ht="32" customHeight="1" spans="1:13">
      <c r="A23" s="7">
        <v>18</v>
      </c>
      <c r="B23" s="26" t="s">
        <v>151</v>
      </c>
      <c r="C23" s="27" t="s">
        <v>189</v>
      </c>
      <c r="D23" s="28"/>
      <c r="E23" s="28"/>
      <c r="F23" s="28"/>
      <c r="G23" s="28"/>
      <c r="H23" s="29"/>
      <c r="I23" s="30" t="s">
        <v>73</v>
      </c>
      <c r="J23" s="26" t="s">
        <v>156</v>
      </c>
      <c r="K23" s="27" t="s">
        <v>193</v>
      </c>
      <c r="L23" s="28"/>
      <c r="M23" s="29"/>
    </row>
    <row r="24" s="1" customFormat="1" ht="32" customHeight="1" spans="1:13">
      <c r="A24" s="7">
        <v>19</v>
      </c>
      <c r="B24" s="26" t="s">
        <v>153</v>
      </c>
      <c r="C24" s="27" t="s">
        <v>190</v>
      </c>
      <c r="D24" s="28"/>
      <c r="E24" s="28"/>
      <c r="F24" s="28"/>
      <c r="G24" s="28"/>
      <c r="H24" s="29"/>
      <c r="I24" s="33" t="s">
        <v>73</v>
      </c>
      <c r="J24" s="26" t="s">
        <v>159</v>
      </c>
      <c r="K24" s="27" t="s">
        <v>193</v>
      </c>
      <c r="L24" s="28"/>
      <c r="M24" s="29"/>
    </row>
    <row r="25" s="1" customFormat="1" ht="80" customHeight="1" spans="1:13">
      <c r="A25" s="7">
        <v>20</v>
      </c>
      <c r="B25" s="31" t="s">
        <v>55</v>
      </c>
      <c r="C25" s="27" t="s">
        <v>75</v>
      </c>
      <c r="D25" s="28"/>
      <c r="E25" s="28"/>
      <c r="F25" s="28"/>
      <c r="G25" s="28"/>
      <c r="H25" s="28"/>
      <c r="I25" s="28"/>
      <c r="J25" s="28"/>
      <c r="K25" s="28"/>
      <c r="L25" s="28"/>
      <c r="M25" s="29"/>
    </row>
    <row r="26" s="1" customFormat="1" ht="14" customHeight="1" spans="1:13">
      <c r="C26" s="33"/>
      <c r="D26" s="33"/>
      <c r="J26" s="34"/>
    </row>
    <row r="27" s="1" customFormat="1" ht="45" customHeight="1" spans="1:13">
      <c r="A27" s="5" t="s">
        <v>194</v>
      </c>
    </row>
    <row r="28" s="1" customFormat="1" ht="30" customHeight="1" spans="1:13">
      <c r="A28" s="6" t="s">
        <v>58</v>
      </c>
      <c r="B28" s="6" t="s">
        <v>59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7">
        <v>1</v>
      </c>
      <c r="B29" s="8" t="s">
        <v>60</v>
      </c>
      <c r="C29" s="10">
        <v>0</v>
      </c>
      <c r="D29" s="10">
        <v>0</v>
      </c>
      <c r="E29" s="10">
        <f t="shared" ref="E29:E35" si="2">D29+C29</f>
        <v>0</v>
      </c>
      <c r="F29" s="10" t="s">
        <v>35</v>
      </c>
      <c r="G29" s="10">
        <f>0+0+0+0+0+0+0+0+0+0+0+0+0+0+0+0+0+0+0+0+0+0+0+21.34+0+0</f>
        <v>21.34</v>
      </c>
      <c r="H29" s="10"/>
      <c r="I29" s="10"/>
      <c r="J29" s="11"/>
      <c r="K29" s="22"/>
      <c r="L29" s="22"/>
      <c r="M29" s="10"/>
    </row>
    <row r="30" s="1" customFormat="1" ht="25" customHeight="1" spans="1:13">
      <c r="A30" s="7">
        <v>2</v>
      </c>
      <c r="B30" s="8" t="s">
        <v>61</v>
      </c>
      <c r="C30" s="10">
        <v>6.79</v>
      </c>
      <c r="D30" s="10">
        <v>6.26</v>
      </c>
      <c r="E30" s="10">
        <f t="shared" si="2"/>
        <v>13.05</v>
      </c>
      <c r="F30" s="10" t="s">
        <v>35</v>
      </c>
      <c r="G30" s="10">
        <f>0+0+0+0+0+0+12.6+12.59+14.7+16.7+8.28+16.61+16.56+16.62+16.74+16.66+16.65+0+0+21.7+16.7+14.82+12.61+0+0+13.05</f>
        <v>243.59</v>
      </c>
      <c r="H30" s="10"/>
      <c r="I30" s="10"/>
      <c r="J30" s="11"/>
      <c r="K30" s="22"/>
      <c r="L30" s="22"/>
      <c r="M30" s="21"/>
    </row>
    <row r="31" s="1" customFormat="1" ht="25" customHeight="1" spans="1:13">
      <c r="A31" s="7">
        <v>3</v>
      </c>
      <c r="B31" s="8" t="s">
        <v>62</v>
      </c>
      <c r="C31" s="10">
        <v>24</v>
      </c>
      <c r="D31" s="10">
        <v>12</v>
      </c>
      <c r="E31" s="10">
        <f t="shared" si="2"/>
        <v>36</v>
      </c>
      <c r="F31" s="10" t="s">
        <v>35</v>
      </c>
      <c r="G31" s="10">
        <f>9+33+13+24+43.31+38+19+17+26+16+38+42.27+10+19+38+8+29+51.3+22+17+26+21+37+54+27+36</f>
        <v>713.88</v>
      </c>
      <c r="H31" s="10"/>
      <c r="I31" s="10"/>
      <c r="J31" s="11"/>
      <c r="K31" s="22"/>
      <c r="L31" s="22"/>
      <c r="M31" s="21"/>
    </row>
    <row r="32" s="1" customFormat="1" ht="25" customHeight="1" spans="1:13">
      <c r="A32" s="7">
        <v>4</v>
      </c>
      <c r="B32" s="8" t="s">
        <v>31</v>
      </c>
      <c r="C32" s="10">
        <v>0</v>
      </c>
      <c r="D32" s="10">
        <v>0</v>
      </c>
      <c r="E32" s="10">
        <f t="shared" si="2"/>
        <v>0</v>
      </c>
      <c r="F32" s="10" t="s">
        <v>14</v>
      </c>
      <c r="G32" s="10">
        <f>0+0+0+0+0+0+0+0+8.1945+5.4135+14.796+0+12.3255+0+9.1665+5.94+16.2675+0+0+0+14.337+3.5235+14.148+0+0+0</f>
        <v>104.112</v>
      </c>
      <c r="H32" s="10"/>
      <c r="J32" s="11"/>
      <c r="K32" s="22"/>
      <c r="L32" s="22"/>
      <c r="M32" s="22"/>
    </row>
    <row r="33" s="1" customFormat="1" ht="25" customHeight="1" spans="1:13">
      <c r="A33" s="7">
        <v>5</v>
      </c>
      <c r="B33" s="8" t="s">
        <v>33</v>
      </c>
      <c r="C33" s="10">
        <v>0</v>
      </c>
      <c r="D33" s="10">
        <v>0</v>
      </c>
      <c r="E33" s="10">
        <f t="shared" si="2"/>
        <v>0</v>
      </c>
      <c r="F33" s="10" t="s">
        <v>14</v>
      </c>
      <c r="G33" s="10">
        <f>0+0+0+0+0+0+0+0+0+0+0+0+0+0+0+0+0+0+0+0+0+0+0+0+0+0</f>
        <v>0</v>
      </c>
      <c r="H33" s="10"/>
      <c r="I33" s="10"/>
      <c r="J33" s="14"/>
      <c r="K33" s="22"/>
      <c r="L33" s="22"/>
      <c r="M33" s="22"/>
    </row>
    <row r="34" s="1" customFormat="1" ht="25" customHeight="1" spans="1:13">
      <c r="A34" s="7">
        <v>6</v>
      </c>
      <c r="B34" s="8" t="s">
        <v>63</v>
      </c>
      <c r="C34" s="10">
        <v>252</v>
      </c>
      <c r="D34" s="10">
        <v>255</v>
      </c>
      <c r="E34" s="10">
        <f t="shared" si="2"/>
        <v>507</v>
      </c>
      <c r="F34" s="10" t="s">
        <v>35</v>
      </c>
      <c r="G34" s="10">
        <f>580+604+307+408+430+215+238+250+321+330+333+338+268+307+272+0+145+595+589+591+590+260+0+210+552+507</f>
        <v>9240</v>
      </c>
      <c r="H34" s="10"/>
      <c r="I34" s="10"/>
      <c r="J34" s="35"/>
      <c r="K34" s="22"/>
      <c r="L34" s="10"/>
      <c r="M34" s="22"/>
    </row>
    <row r="35" s="1" customFormat="1" ht="25" customHeight="1" spans="1:13">
      <c r="A35" s="7">
        <v>7</v>
      </c>
      <c r="B35" s="8" t="s">
        <v>64</v>
      </c>
      <c r="C35" s="10">
        <v>436</v>
      </c>
      <c r="D35" s="10">
        <v>443</v>
      </c>
      <c r="E35" s="10">
        <f t="shared" si="2"/>
        <v>879</v>
      </c>
      <c r="F35" s="10" t="s">
        <v>35</v>
      </c>
      <c r="G35" s="10">
        <f>1010+819+776+499+966+1008+1007+1010+1005+1008+1008+980+786+1014+1016+1015+1015+972+986+1010+1007+1007+1006+1000+999+879</f>
        <v>24808</v>
      </c>
      <c r="H35" s="10"/>
      <c r="I35" s="10"/>
      <c r="J35" s="36"/>
      <c r="K35" s="22"/>
      <c r="L35" s="10"/>
      <c r="M35" s="22"/>
    </row>
    <row r="36" s="1" customFormat="1" ht="25" customHeight="1" spans="1:13">
      <c r="A36" s="7">
        <v>8</v>
      </c>
      <c r="B36" s="8" t="s">
        <v>65</v>
      </c>
      <c r="C36" s="10">
        <v>0</v>
      </c>
      <c r="D36" s="10">
        <v>0</v>
      </c>
      <c r="E36" s="10">
        <f>C36+D36</f>
        <v>0</v>
      </c>
      <c r="F36" s="10" t="s">
        <v>35</v>
      </c>
      <c r="G36" s="10">
        <f>0+0+0+0+0+0+0+0+0+0+0+0+0+0+0+0+0+0+0+0+0+0+0+0+0+0</f>
        <v>0</v>
      </c>
      <c r="H36" s="22"/>
      <c r="I36" s="7">
        <v>0</v>
      </c>
      <c r="J36" s="14"/>
      <c r="K36" s="37"/>
      <c r="L36" s="27"/>
      <c r="M36" s="38"/>
    </row>
    <row r="37" s="1" customFormat="1" ht="25" customHeight="1" spans="1:13">
      <c r="A37" s="7">
        <v>9</v>
      </c>
      <c r="B37" s="8" t="s">
        <v>66</v>
      </c>
      <c r="C37" s="10">
        <v>0</v>
      </c>
      <c r="D37" s="10">
        <v>0</v>
      </c>
      <c r="E37" s="10">
        <f>C37+D37</f>
        <v>0</v>
      </c>
      <c r="F37" s="10" t="s">
        <v>35</v>
      </c>
      <c r="G37" s="10">
        <f>0+0+0+0+0+0+0+0+0+0+0+0+0+0+0+0+0+0+0+0+0+0+0+0+0+0</f>
        <v>0</v>
      </c>
      <c r="H37" s="22"/>
      <c r="I37" s="7">
        <v>82.517</v>
      </c>
      <c r="J37" s="35"/>
      <c r="K37" s="37"/>
      <c r="L37" s="27"/>
      <c r="M37" s="38"/>
    </row>
    <row r="38" s="1" customFormat="1" ht="25" customHeight="1" spans="1:13">
      <c r="A38" s="7">
        <v>10</v>
      </c>
      <c r="B38" s="8" t="s">
        <v>67</v>
      </c>
      <c r="C38" s="7">
        <v>2</v>
      </c>
      <c r="D38" s="7">
        <v>1</v>
      </c>
      <c r="E38" s="10">
        <f>D38+C38</f>
        <v>3</v>
      </c>
      <c r="F38" s="10" t="s">
        <v>45</v>
      </c>
      <c r="G38" s="10">
        <f>0+0+2+0+0+0+2+0+3+4+2+2+4+6+3+4+4+0+1+5+4+3+3+0+0+3</f>
        <v>55</v>
      </c>
      <c r="H38" s="22"/>
      <c r="I38" s="10">
        <v>0</v>
      </c>
      <c r="J38" s="35"/>
      <c r="K38" s="27"/>
      <c r="L38" s="19" t="s">
        <v>68</v>
      </c>
      <c r="M38" s="7">
        <v>1</v>
      </c>
    </row>
    <row r="39" s="1" customFormat="1" ht="80" customHeight="1" spans="1:13">
      <c r="A39" s="7">
        <v>11</v>
      </c>
      <c r="B39" s="32" t="s">
        <v>55</v>
      </c>
      <c r="C39" s="27" t="s">
        <v>69</v>
      </c>
      <c r="D39" s="28"/>
      <c r="E39" s="28"/>
      <c r="F39" s="28"/>
      <c r="G39" s="28"/>
      <c r="H39" s="28"/>
      <c r="I39" s="28"/>
      <c r="J39" s="28"/>
      <c r="K39" s="28"/>
      <c r="L39" s="28"/>
      <c r="M39" s="29"/>
    </row>
    <row r="47" s="1" customFormat="1" spans="1:13">
      <c r="C47" s="33"/>
      <c r="D47" s="33"/>
      <c r="J47" s="34"/>
    </row>
    <row r="48" spans="1:13">
      <c r="L48" s="1"/>
    </row>
  </sheetData>
  <mergeCells count="11">
    <mergeCell ref="A1:M1"/>
    <mergeCell ref="C23:H23"/>
    <mergeCell ref="K23:M23"/>
    <mergeCell ref="C24:H24"/>
    <mergeCell ref="K24:M24"/>
    <mergeCell ref="C25:M25"/>
    <mergeCell ref="A27:M27"/>
    <mergeCell ref="C39:M39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zoomScale="85" zoomScaleNormal="85" workbookViewId="0">
      <selection activeCell="N1" sqref="N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195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8" customHeight="1" spans="1:13">
      <c r="A3" s="7">
        <v>1</v>
      </c>
      <c r="B3" s="8" t="s">
        <v>13</v>
      </c>
      <c r="C3" s="9">
        <v>8.5</v>
      </c>
      <c r="D3" s="9">
        <v>2.5</v>
      </c>
      <c r="E3" s="10">
        <f t="shared" ref="E3:E12" si="0">C3+D3</f>
        <v>11</v>
      </c>
      <c r="F3" s="10" t="s">
        <v>14</v>
      </c>
      <c r="G3" s="10">
        <f>12+0+0+0+6+13+13+13+15+9+13+9+15+13.5+15.5+11+12.5+12+5.5+11+12+9.5+17+15.5+12.5+10+11</f>
        <v>286.5</v>
      </c>
      <c r="H3" s="10">
        <v>330</v>
      </c>
      <c r="I3" s="10">
        <f>H3-G3</f>
        <v>43.5</v>
      </c>
      <c r="J3" s="11"/>
      <c r="K3" s="10"/>
      <c r="L3" s="10"/>
      <c r="M3" s="10">
        <f>I3/3</f>
        <v>14.5</v>
      </c>
    </row>
    <row r="4" s="1" customFormat="1" ht="38" customHeight="1" spans="1:13">
      <c r="A4" s="12">
        <v>2</v>
      </c>
      <c r="B4" s="8" t="s">
        <v>18</v>
      </c>
      <c r="C4" s="9">
        <v>10</v>
      </c>
      <c r="D4" s="9"/>
      <c r="E4" s="10">
        <f t="shared" si="0"/>
        <v>10</v>
      </c>
      <c r="F4" s="10" t="s">
        <v>14</v>
      </c>
      <c r="G4" s="10">
        <f>12+8+0+0+0+6+14+12+14+14+10+12+10+14+14+16+10+14+12+4+12+12+8+18+16+12+10</f>
        <v>284</v>
      </c>
      <c r="H4" s="13"/>
      <c r="I4" s="13"/>
      <c r="J4" s="11"/>
      <c r="K4" s="10"/>
      <c r="L4" s="10"/>
      <c r="M4" s="10"/>
    </row>
    <row r="5" s="1" customFormat="1" ht="38" customHeight="1" spans="1:13">
      <c r="A5" s="12">
        <v>3</v>
      </c>
      <c r="B5" s="8" t="s">
        <v>21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65+0+0+0+0+0+0+0+0+0+0+0+0+0+0+0+0+0+0+0+0+0+0+0+0+0+0</f>
        <v>65</v>
      </c>
      <c r="H5" s="10">
        <v>4950</v>
      </c>
      <c r="I5" s="10">
        <f>H5-G5-G7-G6</f>
        <v>1021</v>
      </c>
      <c r="J5" s="14"/>
      <c r="K5" s="10"/>
      <c r="L5" s="10"/>
      <c r="M5" s="10"/>
    </row>
    <row r="6" s="1" customFormat="1" ht="38" customHeight="1" spans="1:13">
      <c r="A6" s="15"/>
      <c r="B6" s="8" t="s">
        <v>23</v>
      </c>
      <c r="C6" s="10">
        <v>0</v>
      </c>
      <c r="D6" s="10">
        <v>112</v>
      </c>
      <c r="E6" s="10">
        <f t="shared" si="0"/>
        <v>112</v>
      </c>
      <c r="F6" s="10" t="s">
        <v>14</v>
      </c>
      <c r="G6" s="10">
        <f>0+0+0+0+183+194+174+196+189+174+99+228+173+212+203+172+165+64+196+141+172+106+192+189+168+147+112</f>
        <v>3849</v>
      </c>
      <c r="H6" s="15"/>
      <c r="I6" s="15"/>
      <c r="J6" s="11"/>
      <c r="K6" s="10"/>
      <c r="L6" s="10"/>
      <c r="M6" s="16"/>
    </row>
    <row r="7" s="1" customFormat="1" ht="38" customHeight="1" spans="1:13">
      <c r="A7" s="15"/>
      <c r="B7" s="8" t="s">
        <v>25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0+0+0+8+1+0+0+0+0+0+0+3+0+0+1+0+0+0+0+0+1+1+0+0+0+0+0</f>
        <v>15</v>
      </c>
      <c r="H7" s="15"/>
      <c r="I7" s="15"/>
      <c r="J7" s="11"/>
      <c r="K7" s="10"/>
      <c r="L7" s="10"/>
      <c r="M7" s="10"/>
    </row>
    <row r="8" s="1" customFormat="1" ht="38" customHeight="1" spans="1:13">
      <c r="A8" s="15"/>
      <c r="B8" s="8" t="s">
        <v>27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0+0+0+0+0+0+0+0+0+0+0+0+0+0+0+0+0+0+0+0+0+0+0+0+0+0+0</f>
        <v>0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29</v>
      </c>
      <c r="C9" s="13">
        <v>30.81</v>
      </c>
      <c r="D9" s="13"/>
      <c r="E9" s="10">
        <f t="shared" si="0"/>
        <v>30.81</v>
      </c>
      <c r="F9" s="13" t="s">
        <v>14</v>
      </c>
      <c r="G9" s="10">
        <f>0+31.23+0+31.02+0+30.93+30.89+30.97+30.96+0+31.05+30.81+0+0+31.58+30.96+31.28+0+0+30.94+31.23+31.45+31.67+30.99+31.02+30.78+30.81</f>
        <v>590.57</v>
      </c>
      <c r="H9" s="13">
        <v>6.08</v>
      </c>
      <c r="I9" s="13">
        <f>H9-K10</f>
        <v>0.755145</v>
      </c>
      <c r="J9" s="19" t="s">
        <v>30</v>
      </c>
      <c r="K9" s="10">
        <v>60</v>
      </c>
      <c r="L9" s="10">
        <v>0.93</v>
      </c>
      <c r="M9" s="20"/>
    </row>
    <row r="10" s="1" customFormat="1" ht="25" customHeight="1" spans="1:13">
      <c r="A10" s="7">
        <v>5</v>
      </c>
      <c r="B10" s="8" t="s">
        <v>31</v>
      </c>
      <c r="C10" s="10">
        <v>7.7355</v>
      </c>
      <c r="D10" s="10">
        <v>1.458</v>
      </c>
      <c r="E10" s="10">
        <f t="shared" si="0"/>
        <v>9.1935</v>
      </c>
      <c r="F10" s="10" t="s">
        <v>14</v>
      </c>
      <c r="G10" s="10">
        <f>6.831+0+0+0+6.6555+7.614+14.958+12.744+10.611+5.832+10.314+9.369+6.1965+9.4635+9.1395+9.774+8.532+7.128+9.45+7.4385+9.585+6.2775+9.18+8.694+11.2995+6.8985+9.1935</f>
        <v>213.1785</v>
      </c>
      <c r="H10" s="10"/>
      <c r="I10" s="10">
        <f>G10/(G3*0.1865)</f>
        <v>3.98969723341241</v>
      </c>
      <c r="J10" s="19" t="s">
        <v>32</v>
      </c>
      <c r="K10" s="20">
        <f>0+0.268578+0+0.257466+0+0.256719+0.253298+0.27873+0.281736+0+0.27945+0.271128+0+0+0.281062+0.275544+0.284648+0+0+0.287742+0.296685+0.305065+0.288197+0.291306+0.297792+0.283176+0.286533</f>
        <v>5.324855</v>
      </c>
      <c r="L10" s="10"/>
      <c r="M10" s="10">
        <f>C9*L9/100</f>
        <v>0.286533</v>
      </c>
    </row>
    <row r="11" s="1" customFormat="1" ht="25" customHeight="1" spans="1:13">
      <c r="A11" s="7">
        <v>6</v>
      </c>
      <c r="B11" s="8" t="s">
        <v>33</v>
      </c>
      <c r="C11" s="10">
        <v>12.9168</v>
      </c>
      <c r="D11" s="10">
        <v>0</v>
      </c>
      <c r="E11" s="10">
        <f t="shared" si="0"/>
        <v>12.9168</v>
      </c>
      <c r="F11" s="10" t="s">
        <v>14</v>
      </c>
      <c r="G11" s="10">
        <f>14.352+0+0+0+6.7344+17.5536+13.2664+17.664+16.56+14.6096+11.5+16.56+10.9848+11.6472+15.6216+16.2104+14.2232+14.4808+6.9736+5.3728+12.0152+12.3464+14.5912+16.8912+13.2664+12.42+12.9168</f>
        <v>318.7616</v>
      </c>
      <c r="H11" s="10"/>
      <c r="I11" s="10">
        <f>G11/(G3*0.1865)</f>
        <v>5.96571546210388</v>
      </c>
      <c r="J11" s="11"/>
      <c r="K11" s="10"/>
      <c r="L11" s="10"/>
      <c r="M11" s="21"/>
    </row>
    <row r="12" s="1" customFormat="1" ht="25" customHeight="1" spans="1:13">
      <c r="A12" s="7">
        <v>7</v>
      </c>
      <c r="B12" s="8" t="s">
        <v>34</v>
      </c>
      <c r="C12" s="10">
        <v>153</v>
      </c>
      <c r="D12" s="10">
        <v>58</v>
      </c>
      <c r="E12" s="10">
        <f t="shared" si="0"/>
        <v>211</v>
      </c>
      <c r="F12" s="10" t="s">
        <v>35</v>
      </c>
      <c r="G12" s="10">
        <f>472+11+0+16+206+451+454+465+490+368+388+385+456+440+477+407+450+317+323+411+451+296+501+459+367+453+211</f>
        <v>9725</v>
      </c>
      <c r="H12" s="10">
        <f>G12*1.05</f>
        <v>10211.25</v>
      </c>
      <c r="I12" s="10"/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36</v>
      </c>
      <c r="C13" s="10">
        <v>230</v>
      </c>
      <c r="D13" s="10">
        <v>0</v>
      </c>
      <c r="E13" s="10">
        <f t="shared" ref="E13:E21" si="1">D13+C13</f>
        <v>230</v>
      </c>
      <c r="F13" s="10" t="s">
        <v>35</v>
      </c>
      <c r="G13" s="10">
        <f>372+0+0+0+195+420+417+363+467+242+386+282+393+382+374+341+333+312+195.6+316+374+231+423+383+318+333+230</f>
        <v>8082.6</v>
      </c>
      <c r="H13" s="10"/>
      <c r="I13" s="10"/>
      <c r="J13" s="14"/>
      <c r="K13" s="10"/>
      <c r="L13" s="10"/>
      <c r="M13" s="10"/>
    </row>
    <row r="14" s="1" customFormat="1" ht="25" customHeight="1" spans="1:13">
      <c r="A14" s="7">
        <v>9</v>
      </c>
      <c r="B14" s="8" t="s">
        <v>37</v>
      </c>
      <c r="C14" s="10">
        <v>419.61</v>
      </c>
      <c r="D14" s="10">
        <v>423.89</v>
      </c>
      <c r="E14" s="10">
        <f t="shared" si="1"/>
        <v>843.5</v>
      </c>
      <c r="F14" s="10" t="s">
        <v>35</v>
      </c>
      <c r="G14" s="10">
        <f>209.75+0+0+0+370.64+733.22+886.44+846.58+728.24+930.46+896.96+902.95+629.84+963.57+867.96+679.89+781.38+634.77+618.01+738.09+740.32+767.61+841.08+718.96+833.13+901.56+843.5</f>
        <v>18064.91</v>
      </c>
      <c r="H14" s="10"/>
      <c r="I14" s="10"/>
      <c r="J14" s="19" t="s">
        <v>38</v>
      </c>
      <c r="K14" s="10">
        <v>3.33</v>
      </c>
      <c r="L14" s="10">
        <v>3.13</v>
      </c>
      <c r="M14" s="10"/>
    </row>
    <row r="15" s="1" customFormat="1" ht="25" customHeight="1" spans="1:13">
      <c r="A15" s="7">
        <v>10</v>
      </c>
      <c r="B15" s="8" t="s">
        <v>39</v>
      </c>
      <c r="C15" s="10">
        <v>18</v>
      </c>
      <c r="D15" s="10">
        <v>4</v>
      </c>
      <c r="E15" s="10">
        <f t="shared" si="1"/>
        <v>22</v>
      </c>
      <c r="F15" s="10" t="s">
        <v>14</v>
      </c>
      <c r="G15" s="10">
        <f>24+0+0+0+21+27+33+30+33+21+30+21+33+30+33+27+30+24+17+30+30+19+36+33+27+30+22</f>
        <v>661</v>
      </c>
      <c r="H15" s="10"/>
      <c r="I15" s="10">
        <f>G15/(G3*0.1865)</f>
        <v>12.3708060207085</v>
      </c>
      <c r="J15" s="19" t="s">
        <v>40</v>
      </c>
      <c r="K15" s="20">
        <f>0.641835+0+0+0+1.0970944+2.2635878+2.9007565+2.4932712+2.1651567+2.7262642+2.5433786+2.6076891+1.9524176+3.0179391+2.7017752+2.2869365+2.5432458+2.029962+1.9472319+2.344302+2.3083564+2.5310919+2.8058577+2.2944464+2.8788072+2.9481112+2.724077</f>
        <v>56.7535914</v>
      </c>
      <c r="L15" s="10"/>
      <c r="M15" s="10">
        <f>(C14*K14+L14*D14)/1000</f>
        <v>2.724077</v>
      </c>
    </row>
    <row r="16" s="1" customFormat="1" ht="25" customHeight="1" spans="1:13">
      <c r="A16" s="7">
        <v>11</v>
      </c>
      <c r="B16" s="8" t="s">
        <v>41</v>
      </c>
      <c r="C16" s="7">
        <v>0</v>
      </c>
      <c r="D16" s="7">
        <v>0</v>
      </c>
      <c r="E16" s="10">
        <f t="shared" si="1"/>
        <v>0</v>
      </c>
      <c r="F16" s="10" t="s">
        <v>14</v>
      </c>
      <c r="G16" s="10">
        <f>0+0+0+0+0+0.0875+0+0.075+0+0.0875+0.0375+0.0375+0+0+0.0375+0.0375+0.0375+0+0.075+0.0625+0+0+0+0+0.0875+0.075+0</f>
        <v>0.7375</v>
      </c>
      <c r="H16" s="22"/>
      <c r="I16" s="22"/>
      <c r="J16" s="11"/>
      <c r="K16" s="22"/>
      <c r="L16" s="22"/>
      <c r="M16" s="10"/>
    </row>
    <row r="17" s="1" customFormat="1" ht="25" customHeight="1" spans="1:13">
      <c r="A17" s="12">
        <v>12</v>
      </c>
      <c r="B17" s="8" t="s">
        <v>42</v>
      </c>
      <c r="C17" s="10">
        <v>0</v>
      </c>
      <c r="D17" s="7">
        <v>0</v>
      </c>
      <c r="E17" s="10">
        <f t="shared" si="1"/>
        <v>0</v>
      </c>
      <c r="F17" s="10" t="s">
        <v>14</v>
      </c>
      <c r="G17" s="10">
        <f>2+0+0+0+0+2+0+2+0+2+2+0+2+0+2+0+2+0+2+0+2+0+2+2+0+2+0</f>
        <v>26</v>
      </c>
      <c r="H17" s="22"/>
      <c r="I17" s="10">
        <f>G17/(G3*0.1865)</f>
        <v>0.486597513673858</v>
      </c>
      <c r="J17" s="11"/>
      <c r="K17" s="22"/>
      <c r="L17" s="22"/>
      <c r="M17" s="10"/>
    </row>
    <row r="18" s="1" customFormat="1" ht="25" customHeight="1" spans="1:13">
      <c r="A18" s="7">
        <v>13</v>
      </c>
      <c r="B18" s="8" t="s">
        <v>43</v>
      </c>
      <c r="C18" s="10">
        <v>0</v>
      </c>
      <c r="D18" s="7">
        <v>0</v>
      </c>
      <c r="E18" s="10">
        <f t="shared" si="1"/>
        <v>0</v>
      </c>
      <c r="F18" s="10" t="s">
        <v>14</v>
      </c>
      <c r="G18" s="10">
        <f>2+0+0+0+0+2+0+2+0+2+2+0+2+0+2+0+2+0+2+0+2+0+2+2+0+2+0</f>
        <v>26</v>
      </c>
      <c r="H18" s="22"/>
      <c r="I18" s="10">
        <f>G18/(G3*0.1865)</f>
        <v>0.486597513673858</v>
      </c>
      <c r="J18" s="11"/>
      <c r="K18" s="22"/>
      <c r="L18" s="22"/>
      <c r="M18" s="10"/>
    </row>
    <row r="19" s="1" customFormat="1" ht="25" customHeight="1" spans="1:13">
      <c r="A19" s="7">
        <v>14</v>
      </c>
      <c r="B19" s="8" t="s">
        <v>44</v>
      </c>
      <c r="C19" s="10">
        <v>2</v>
      </c>
      <c r="D19" s="7">
        <v>4</v>
      </c>
      <c r="E19" s="10">
        <f t="shared" si="1"/>
        <v>6</v>
      </c>
      <c r="F19" s="10" t="s">
        <v>45</v>
      </c>
      <c r="G19" s="10">
        <f>5+0+0+0+3+7+8+6+7+7+7+6+8+5+12+4+8+2+13+4+8+4+9+6+4+12+6</f>
        <v>161</v>
      </c>
      <c r="H19" s="22"/>
      <c r="I19" s="22"/>
      <c r="J19" s="11"/>
      <c r="K19" s="22"/>
      <c r="L19" s="22"/>
      <c r="M19" s="10"/>
    </row>
    <row r="20" s="1" customFormat="1" ht="25" customHeight="1" spans="1:13">
      <c r="A20" s="7">
        <v>15</v>
      </c>
      <c r="B20" s="8" t="s">
        <v>46</v>
      </c>
      <c r="C20" s="7">
        <v>140</v>
      </c>
      <c r="D20" s="7">
        <v>607</v>
      </c>
      <c r="E20" s="10">
        <f t="shared" si="1"/>
        <v>747</v>
      </c>
      <c r="F20" s="10" t="s">
        <v>35</v>
      </c>
      <c r="G20" s="10">
        <f>507+0+0+339+1006+1051+1056+1200+1113+1132+810+1370+1187+1194+1246+1098+1056+635+1144+1095+1126+854+1192+1000+1033+1089+747</f>
        <v>25280</v>
      </c>
      <c r="H20" s="23"/>
      <c r="I20" s="10">
        <f>E20/M20</f>
        <v>51.5172413793103</v>
      </c>
      <c r="J20" s="19" t="s">
        <v>47</v>
      </c>
      <c r="K20" s="10">
        <f>7.5+0+0+6+24+24+24+24+24+24+15.5+24+24+24+24+24+24+11.5+24+24+24+17+24+24+24+22.5+14.5</f>
        <v>526.5</v>
      </c>
      <c r="L20" s="10">
        <f>G20/K20</f>
        <v>48.0151946818613</v>
      </c>
      <c r="M20" s="10">
        <v>14.5</v>
      </c>
    </row>
    <row r="21" s="1" customFormat="1" ht="25" customHeight="1" spans="1:13">
      <c r="A21" s="12">
        <v>16</v>
      </c>
      <c r="B21" s="8" t="s">
        <v>48</v>
      </c>
      <c r="C21" s="7">
        <v>320</v>
      </c>
      <c r="D21" s="7">
        <v>617</v>
      </c>
      <c r="E21" s="10">
        <f t="shared" si="1"/>
        <v>937</v>
      </c>
      <c r="F21" s="10" t="s">
        <v>35</v>
      </c>
      <c r="G21" s="10">
        <f>547+0+0+662+1124+1392+1384+1483+1450+1339+986+1680+1486+1500+1565+1326+1366+691+1337+1248+1433+922+1582+1370+1298+1313+937</f>
        <v>31421</v>
      </c>
      <c r="H21" s="22"/>
      <c r="I21" s="10">
        <f>E21/M20</f>
        <v>64.6206896551724</v>
      </c>
      <c r="J21" s="11"/>
      <c r="K21" s="22"/>
      <c r="L21" s="22"/>
      <c r="M21" s="10"/>
    </row>
    <row r="22" s="1" customFormat="1" ht="25" customHeight="1" spans="1:13">
      <c r="A22" s="7">
        <v>17</v>
      </c>
      <c r="B22" s="8" t="s">
        <v>49</v>
      </c>
      <c r="C22" s="12">
        <v>0</v>
      </c>
      <c r="D22" s="12">
        <v>29.33</v>
      </c>
      <c r="E22" s="13"/>
      <c r="F22" s="13" t="s">
        <v>50</v>
      </c>
      <c r="G22" s="13"/>
      <c r="H22" s="24"/>
      <c r="I22" s="24"/>
      <c r="J22" s="25"/>
      <c r="K22" s="24"/>
      <c r="L22" s="24"/>
      <c r="M22" s="10"/>
    </row>
    <row r="23" s="1" customFormat="1" ht="32" customHeight="1" spans="1:13">
      <c r="A23" s="7">
        <v>18</v>
      </c>
      <c r="B23" s="26" t="s">
        <v>151</v>
      </c>
      <c r="C23" s="27" t="s">
        <v>193</v>
      </c>
      <c r="D23" s="28"/>
      <c r="E23" s="28"/>
      <c r="F23" s="28"/>
      <c r="G23" s="28"/>
      <c r="H23" s="29"/>
      <c r="I23" s="30" t="s">
        <v>20</v>
      </c>
      <c r="J23" s="26" t="s">
        <v>156</v>
      </c>
      <c r="K23" s="27" t="s">
        <v>196</v>
      </c>
      <c r="L23" s="28"/>
      <c r="M23" s="29"/>
    </row>
    <row r="24" s="1" customFormat="1" ht="32" customHeight="1" spans="1:13">
      <c r="A24" s="7">
        <v>19</v>
      </c>
      <c r="B24" s="26" t="s">
        <v>153</v>
      </c>
      <c r="C24" s="27" t="s">
        <v>193</v>
      </c>
      <c r="D24" s="28"/>
      <c r="E24" s="28"/>
      <c r="F24" s="28"/>
      <c r="G24" s="28"/>
      <c r="H24" s="29"/>
      <c r="I24" s="30" t="s">
        <v>20</v>
      </c>
      <c r="J24" s="26" t="s">
        <v>159</v>
      </c>
      <c r="K24" s="27" t="s">
        <v>197</v>
      </c>
      <c r="L24" s="28"/>
      <c r="M24" s="29"/>
    </row>
    <row r="25" s="1" customFormat="1" ht="80" customHeight="1" spans="1:13">
      <c r="A25" s="7">
        <v>20</v>
      </c>
      <c r="B25" s="31" t="s">
        <v>55</v>
      </c>
      <c r="C25" s="27" t="s">
        <v>129</v>
      </c>
      <c r="D25" s="28"/>
      <c r="E25" s="28"/>
      <c r="F25" s="28"/>
      <c r="G25" s="28"/>
      <c r="H25" s="28"/>
      <c r="I25" s="28"/>
      <c r="J25" s="28"/>
      <c r="K25" s="28"/>
      <c r="L25" s="28"/>
      <c r="M25" s="29"/>
    </row>
    <row r="26" s="1" customFormat="1" ht="14" customHeight="1" spans="1:13">
      <c r="C26" s="33"/>
      <c r="D26" s="33"/>
      <c r="J26" s="34"/>
    </row>
    <row r="27" s="1" customFormat="1" ht="45" customHeight="1" spans="1:13">
      <c r="A27" s="5" t="s">
        <v>198</v>
      </c>
    </row>
    <row r="28" s="1" customFormat="1" ht="30" customHeight="1" spans="1:13">
      <c r="A28" s="6" t="s">
        <v>58</v>
      </c>
      <c r="B28" s="6" t="s">
        <v>59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7">
        <v>1</v>
      </c>
      <c r="B29" s="8" t="s">
        <v>60</v>
      </c>
      <c r="C29" s="10">
        <v>0</v>
      </c>
      <c r="D29" s="10">
        <v>0</v>
      </c>
      <c r="E29" s="10">
        <f t="shared" ref="E29:E35" si="2">D29+C29</f>
        <v>0</v>
      </c>
      <c r="F29" s="10" t="s">
        <v>35</v>
      </c>
      <c r="G29" s="10">
        <f>0+0+0+0+0+0+0+0+0+0+0+0+0+0+0+0+0+0+0+0+0+0+0+21.34+0+0+0</f>
        <v>21.34</v>
      </c>
      <c r="H29" s="10"/>
      <c r="I29" s="10"/>
      <c r="J29" s="11"/>
      <c r="K29" s="22"/>
      <c r="L29" s="22"/>
      <c r="M29" s="10"/>
    </row>
    <row r="30" s="1" customFormat="1" ht="25" customHeight="1" spans="1:13">
      <c r="A30" s="7">
        <v>2</v>
      </c>
      <c r="B30" s="8" t="s">
        <v>61</v>
      </c>
      <c r="C30" s="10">
        <v>6.33</v>
      </c>
      <c r="D30" s="10">
        <v>6.24</v>
      </c>
      <c r="E30" s="10">
        <f t="shared" si="2"/>
        <v>12.57</v>
      </c>
      <c r="F30" s="10" t="s">
        <v>35</v>
      </c>
      <c r="G30" s="10">
        <f>0+0+0+0+0+0+12.6+12.59+14.7+16.7+8.28+16.61+16.56+16.62+16.74+16.66+16.65+0+0+21.7+16.7+14.82+12.61+0+0+13.05+12.57</f>
        <v>256.16</v>
      </c>
      <c r="H30" s="10"/>
      <c r="I30" s="10"/>
      <c r="J30" s="11"/>
      <c r="K30" s="22"/>
      <c r="L30" s="22"/>
      <c r="M30" s="21"/>
    </row>
    <row r="31" s="1" customFormat="1" ht="25" customHeight="1" spans="1:13">
      <c r="A31" s="7">
        <v>3</v>
      </c>
      <c r="B31" s="8" t="s">
        <v>62</v>
      </c>
      <c r="C31" s="10">
        <v>14</v>
      </c>
      <c r="D31" s="10">
        <v>15</v>
      </c>
      <c r="E31" s="10">
        <f t="shared" si="2"/>
        <v>29</v>
      </c>
      <c r="F31" s="10" t="s">
        <v>35</v>
      </c>
      <c r="G31" s="10">
        <f>9+33+13+24+43.31+38+19+17+26+16+38+42.27+10+19+38+8+29+51.3+22+17+26+21+37+54+27+36+29</f>
        <v>742.88</v>
      </c>
      <c r="H31" s="10"/>
      <c r="I31" s="10"/>
      <c r="J31" s="11"/>
      <c r="K31" s="22"/>
      <c r="L31" s="22"/>
      <c r="M31" s="21"/>
    </row>
    <row r="32" s="1" customFormat="1" ht="25" customHeight="1" spans="1:13">
      <c r="A32" s="7">
        <v>4</v>
      </c>
      <c r="B32" s="8" t="s">
        <v>31</v>
      </c>
      <c r="C32" s="10">
        <v>6.8985</v>
      </c>
      <c r="D32" s="10">
        <v>0</v>
      </c>
      <c r="E32" s="10">
        <f t="shared" si="2"/>
        <v>6.8985</v>
      </c>
      <c r="F32" s="10" t="s">
        <v>14</v>
      </c>
      <c r="G32" s="10">
        <f>0+0+0+0+0+0+0+0+8.1945+5.4135+14.796+0+12.3255+0+9.1665+5.94+16.2675+0+0+0+14.337+3.5235+14.148+0+0+0+6.8985</f>
        <v>111.0105</v>
      </c>
      <c r="H32" s="10"/>
      <c r="J32" s="11"/>
      <c r="K32" s="22"/>
      <c r="L32" s="22"/>
      <c r="M32" s="22"/>
    </row>
    <row r="33" s="1" customFormat="1" ht="25" customHeight="1" spans="1:13">
      <c r="A33" s="7">
        <v>5</v>
      </c>
      <c r="B33" s="8" t="s">
        <v>33</v>
      </c>
      <c r="C33" s="10">
        <v>0</v>
      </c>
      <c r="D33" s="10">
        <v>0</v>
      </c>
      <c r="E33" s="10">
        <f t="shared" si="2"/>
        <v>0</v>
      </c>
      <c r="F33" s="10" t="s">
        <v>14</v>
      </c>
      <c r="G33" s="10">
        <f>0+0+0+0+0+0+0+0+0+0+0+0+0+0+0+0+0+0+0+0+0+0+0+0+0+0+0</f>
        <v>0</v>
      </c>
      <c r="H33" s="10"/>
      <c r="I33" s="10"/>
      <c r="J33" s="14"/>
      <c r="K33" s="22"/>
      <c r="L33" s="22"/>
      <c r="M33" s="22"/>
    </row>
    <row r="34" s="1" customFormat="1" ht="25" customHeight="1" spans="1:13">
      <c r="A34" s="7">
        <v>6</v>
      </c>
      <c r="B34" s="8" t="s">
        <v>63</v>
      </c>
      <c r="C34" s="10">
        <v>296</v>
      </c>
      <c r="D34" s="10">
        <v>292</v>
      </c>
      <c r="E34" s="10">
        <f t="shared" si="2"/>
        <v>588</v>
      </c>
      <c r="F34" s="10" t="s">
        <v>35</v>
      </c>
      <c r="G34" s="10">
        <f>580+604+307+408+430+215+238+250+321+330+333+338+268+307+272+0+145+595+589+591+590+260+0+210+552+507+588</f>
        <v>9828</v>
      </c>
      <c r="H34" s="10"/>
      <c r="I34" s="10"/>
      <c r="J34" s="35"/>
      <c r="K34" s="22"/>
      <c r="L34" s="10"/>
      <c r="M34" s="22"/>
    </row>
    <row r="35" s="1" customFormat="1" ht="25" customHeight="1" spans="1:13">
      <c r="A35" s="7">
        <v>7</v>
      </c>
      <c r="B35" s="8" t="s">
        <v>64</v>
      </c>
      <c r="C35" s="10">
        <v>428</v>
      </c>
      <c r="D35" s="10">
        <v>431</v>
      </c>
      <c r="E35" s="10">
        <f t="shared" si="2"/>
        <v>859</v>
      </c>
      <c r="F35" s="10" t="s">
        <v>35</v>
      </c>
      <c r="G35" s="10">
        <f>1010+819+776+499+966+1008+1007+1010+1005+1008+1008+980+786+1014+1016+1015+1015+972+986+1010+1007+1007+1006+1000+999+879+859</f>
        <v>25667</v>
      </c>
      <c r="H35" s="10"/>
      <c r="I35" s="10"/>
      <c r="J35" s="36"/>
      <c r="K35" s="22"/>
      <c r="L35" s="10"/>
      <c r="M35" s="22"/>
    </row>
    <row r="36" s="1" customFormat="1" ht="25" customHeight="1" spans="1:13">
      <c r="A36" s="7">
        <v>8</v>
      </c>
      <c r="B36" s="8" t="s">
        <v>65</v>
      </c>
      <c r="C36" s="10">
        <v>0</v>
      </c>
      <c r="D36" s="10">
        <v>0</v>
      </c>
      <c r="E36" s="10">
        <f>C36+D36</f>
        <v>0</v>
      </c>
      <c r="F36" s="10" t="s">
        <v>35</v>
      </c>
      <c r="G36" s="10">
        <f>0+0+0+0+0+0+0+0+0+0+0+0+0+0+0+0+0+0+0+0+0+0+0+0+0+0+0</f>
        <v>0</v>
      </c>
      <c r="H36" s="22"/>
      <c r="I36" s="7">
        <v>0</v>
      </c>
      <c r="J36" s="14"/>
      <c r="K36" s="37"/>
      <c r="L36" s="27"/>
      <c r="M36" s="38"/>
    </row>
    <row r="37" s="1" customFormat="1" ht="25" customHeight="1" spans="1:13">
      <c r="A37" s="7">
        <v>9</v>
      </c>
      <c r="B37" s="8" t="s">
        <v>66</v>
      </c>
      <c r="C37" s="10">
        <v>0</v>
      </c>
      <c r="D37" s="10">
        <v>0</v>
      </c>
      <c r="E37" s="10">
        <f>C37+D37</f>
        <v>0</v>
      </c>
      <c r="F37" s="10" t="s">
        <v>35</v>
      </c>
      <c r="G37" s="10">
        <f>0+0+0+0+0+0+0+0+0+0+0+0+0+0+0+0+0+0+0+0+0+0+0+0+0+0+0</f>
        <v>0</v>
      </c>
      <c r="H37" s="22"/>
      <c r="I37" s="7">
        <v>81.6484</v>
      </c>
      <c r="J37" s="35"/>
      <c r="K37" s="37"/>
      <c r="L37" s="27"/>
      <c r="M37" s="38"/>
    </row>
    <row r="38" s="1" customFormat="1" ht="25" customHeight="1" spans="1:13">
      <c r="A38" s="7">
        <v>10</v>
      </c>
      <c r="B38" s="8" t="s">
        <v>67</v>
      </c>
      <c r="C38" s="7">
        <v>0</v>
      </c>
      <c r="D38" s="7">
        <v>2</v>
      </c>
      <c r="E38" s="10">
        <f>D38+C38</f>
        <v>2</v>
      </c>
      <c r="F38" s="10" t="s">
        <v>45</v>
      </c>
      <c r="G38" s="10">
        <f>0+0+2+0+0+0+2+0+3+4+2+2+4+6+3+4+4+0+1+5+4+3+3+0+0+3+2</f>
        <v>57</v>
      </c>
      <c r="H38" s="22"/>
      <c r="I38" s="10">
        <v>0</v>
      </c>
      <c r="J38" s="35"/>
      <c r="K38" s="27"/>
      <c r="L38" s="19" t="s">
        <v>68</v>
      </c>
      <c r="M38" s="7">
        <v>3</v>
      </c>
    </row>
    <row r="39" s="1" customFormat="1" ht="80" customHeight="1" spans="1:13">
      <c r="A39" s="7">
        <v>11</v>
      </c>
      <c r="B39" s="32" t="s">
        <v>55</v>
      </c>
      <c r="C39" s="27" t="s">
        <v>69</v>
      </c>
      <c r="D39" s="28"/>
      <c r="E39" s="28"/>
      <c r="F39" s="28"/>
      <c r="G39" s="28"/>
      <c r="H39" s="28"/>
      <c r="I39" s="28"/>
      <c r="J39" s="28"/>
      <c r="K39" s="28"/>
      <c r="L39" s="28"/>
      <c r="M39" s="29"/>
    </row>
    <row r="47" s="1" customFormat="1" spans="1:13">
      <c r="C47" s="33"/>
      <c r="D47" s="33"/>
      <c r="J47" s="34"/>
    </row>
    <row r="48" spans="1:13">
      <c r="L48" s="1"/>
    </row>
  </sheetData>
  <mergeCells count="11">
    <mergeCell ref="A1:M1"/>
    <mergeCell ref="C23:H23"/>
    <mergeCell ref="K23:M23"/>
    <mergeCell ref="C24:H24"/>
    <mergeCell ref="K24:M24"/>
    <mergeCell ref="C25:M25"/>
    <mergeCell ref="A27:M27"/>
    <mergeCell ref="C39:M39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zoomScale="85" zoomScaleNormal="85" topLeftCell="A4" workbookViewId="0">
      <selection activeCell="C25" sqref="C25:M25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199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8" customHeight="1" spans="1:13">
      <c r="A3" s="7">
        <v>1</v>
      </c>
      <c r="B3" s="8" t="s">
        <v>13</v>
      </c>
      <c r="C3" s="9">
        <v>1.5</v>
      </c>
      <c r="D3" s="9">
        <v>11</v>
      </c>
      <c r="E3" s="10">
        <f t="shared" ref="E3:E12" si="0">C3+D3</f>
        <v>12.5</v>
      </c>
      <c r="F3" s="10" t="s">
        <v>14</v>
      </c>
      <c r="G3" s="10">
        <f>12+0+0+0+6+13+13+13+15+9+13+9+15+13.5+15.5+11+12.5+12+5.5+11+12+9.5+17+15.5+12.5+10+11+12.5</f>
        <v>299</v>
      </c>
      <c r="H3" s="10">
        <v>330</v>
      </c>
      <c r="I3" s="10">
        <f>H3-G3</f>
        <v>31</v>
      </c>
      <c r="J3" s="11"/>
      <c r="K3" s="10"/>
      <c r="L3" s="10"/>
      <c r="M3" s="10">
        <f>I3/2</f>
        <v>15.5</v>
      </c>
    </row>
    <row r="4" s="1" customFormat="1" ht="38" customHeight="1" spans="1:13">
      <c r="A4" s="12">
        <v>2</v>
      </c>
      <c r="B4" s="8" t="s">
        <v>18</v>
      </c>
      <c r="C4" s="9">
        <v>12</v>
      </c>
      <c r="D4" s="9"/>
      <c r="E4" s="10">
        <f t="shared" si="0"/>
        <v>12</v>
      </c>
      <c r="F4" s="10" t="s">
        <v>14</v>
      </c>
      <c r="G4" s="10">
        <f>12+8+0+0+0+6+14+12+14+14+10+12+10+14+14+16+10+14+12+4+12+12+8+18+16+12+10+12</f>
        <v>296</v>
      </c>
      <c r="H4" s="13"/>
      <c r="I4" s="13"/>
      <c r="J4" s="11"/>
      <c r="K4" s="10"/>
      <c r="L4" s="10"/>
      <c r="M4" s="10"/>
    </row>
    <row r="5" s="1" customFormat="1" ht="38" customHeight="1" spans="1:13">
      <c r="A5" s="12">
        <v>3</v>
      </c>
      <c r="B5" s="8" t="s">
        <v>21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65+0+0+0+0+0+0+0+0+0+0+0+0+0+0+0+0+0+0+0+0+0+0+0+0+0+0+0</f>
        <v>65</v>
      </c>
      <c r="H5" s="10">
        <v>4950</v>
      </c>
      <c r="I5" s="10">
        <f>H5-G5-G7-G6</f>
        <v>839</v>
      </c>
      <c r="J5" s="14"/>
      <c r="K5" s="10"/>
      <c r="L5" s="10"/>
      <c r="M5" s="10"/>
    </row>
    <row r="6" s="1" customFormat="1" ht="38" customHeight="1" spans="1:13">
      <c r="A6" s="15"/>
      <c r="B6" s="8" t="s">
        <v>23</v>
      </c>
      <c r="C6" s="10">
        <v>100</v>
      </c>
      <c r="D6" s="10">
        <v>82</v>
      </c>
      <c r="E6" s="10">
        <f t="shared" si="0"/>
        <v>182</v>
      </c>
      <c r="F6" s="10" t="s">
        <v>14</v>
      </c>
      <c r="G6" s="10">
        <f>0+0+0+0+183+194+174+196+189+174+99+228+173+212+203+172+165+64+196+141+172+106+192+189+168+147+112+182</f>
        <v>4031</v>
      </c>
      <c r="H6" s="15"/>
      <c r="I6" s="15"/>
      <c r="J6" s="11"/>
      <c r="K6" s="10"/>
      <c r="L6" s="10"/>
      <c r="M6" s="16"/>
    </row>
    <row r="7" s="1" customFormat="1" ht="38" customHeight="1" spans="1:13">
      <c r="A7" s="15"/>
      <c r="B7" s="8" t="s">
        <v>25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0+0+0+8+1+0+0+0+0+0+0+3+0+0+1+0+0+0+0+0+1+1+0+0+0+0+0+0</f>
        <v>15</v>
      </c>
      <c r="H7" s="15"/>
      <c r="I7" s="15"/>
      <c r="J7" s="11"/>
      <c r="K7" s="10"/>
      <c r="L7" s="10"/>
      <c r="M7" s="10"/>
    </row>
    <row r="8" s="1" customFormat="1" ht="38" customHeight="1" spans="1:13">
      <c r="A8" s="15"/>
      <c r="B8" s="8" t="s">
        <v>27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0+0+0+0+0+0+0+0+0+0+0+0+0+0+0+0+0+0+0+0+0+0+0+0+0+0+0+0</f>
        <v>0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29</v>
      </c>
      <c r="C9" s="13">
        <v>30.69</v>
      </c>
      <c r="D9" s="13"/>
      <c r="E9" s="10">
        <f t="shared" si="0"/>
        <v>30.69</v>
      </c>
      <c r="F9" s="13" t="s">
        <v>14</v>
      </c>
      <c r="G9" s="10">
        <f>0+31.23+0+31.02+0+30.93+30.89+30.97+30.96+0+31.05+30.81+0+0+31.58+30.96+31.28+0+0+30.94+31.23+31.45+31.67+30.99+31.02+30.78+30.81+30.69</f>
        <v>621.26</v>
      </c>
      <c r="H9" s="13">
        <v>6.08</v>
      </c>
      <c r="I9" s="13">
        <f>H9-K10</f>
        <v>0.46359</v>
      </c>
      <c r="J9" s="19" t="s">
        <v>30</v>
      </c>
      <c r="K9" s="10">
        <v>30</v>
      </c>
      <c r="L9" s="10">
        <v>0.95</v>
      </c>
      <c r="M9" s="20"/>
    </row>
    <row r="10" s="1" customFormat="1" ht="25" customHeight="1" spans="1:13">
      <c r="A10" s="7">
        <v>5</v>
      </c>
      <c r="B10" s="8" t="s">
        <v>31</v>
      </c>
      <c r="C10" s="10">
        <v>4.833</v>
      </c>
      <c r="D10" s="10">
        <v>2.646</v>
      </c>
      <c r="E10" s="10">
        <f t="shared" si="0"/>
        <v>7.479</v>
      </c>
      <c r="F10" s="10" t="s">
        <v>14</v>
      </c>
      <c r="G10" s="10">
        <f>6.831+0+0+0+6.6555+7.614+14.958+12.744+10.611+5.832+10.314+9.369+6.1965+9.4635+9.1395+9.774+8.532+7.128+9.45+7.4385+9.585+6.2775+9.18+8.694+11.2995+6.8985+9.1935+7.479</f>
        <v>220.6575</v>
      </c>
      <c r="H10" s="10"/>
      <c r="I10" s="10">
        <f>G10/(G3*0.1865)</f>
        <v>3.95702385969317</v>
      </c>
      <c r="J10" s="19" t="s">
        <v>32</v>
      </c>
      <c r="K10" s="20">
        <f>0+0.268578+0+0.257466+0+0.256719+0.253298+0.27873+0.281736+0+0.27945+0.271128+0+0+0.281062+0.275544+0.284648+0+0+0.287742+0.296685+0.305065+0.288197+0.291306+0.297792+0.283176+0.286533+0.291555</f>
        <v>5.61641</v>
      </c>
      <c r="L10" s="10"/>
      <c r="M10" s="10">
        <f>C9*L9/100</f>
        <v>0.291555</v>
      </c>
    </row>
    <row r="11" s="1" customFormat="1" ht="25" customHeight="1" spans="1:13">
      <c r="A11" s="7">
        <v>6</v>
      </c>
      <c r="B11" s="8" t="s">
        <v>33</v>
      </c>
      <c r="C11" s="10">
        <v>10.9664</v>
      </c>
      <c r="D11" s="10">
        <v>0</v>
      </c>
      <c r="E11" s="10">
        <f t="shared" si="0"/>
        <v>10.9664</v>
      </c>
      <c r="F11" s="10" t="s">
        <v>14</v>
      </c>
      <c r="G11" s="10">
        <f>14.352+0+0+0+6.7344+17.5536+13.2664+17.664+16.56+14.6096+11.5+16.56+10.9848+11.6472+15.6216+16.2104+14.2232+14.4808+6.9736+5.3728+12.0152+12.3464+14.5912+16.8912+13.2664+12.42+12.9168+10.9664</f>
        <v>329.728</v>
      </c>
      <c r="H11" s="10"/>
      <c r="I11" s="10">
        <f>G11/(G3*0.1865)</f>
        <v>5.91297174675191</v>
      </c>
      <c r="J11" s="11"/>
      <c r="K11" s="10"/>
      <c r="L11" s="10"/>
      <c r="M11" s="21"/>
    </row>
    <row r="12" s="1" customFormat="1" ht="25" customHeight="1" spans="1:13">
      <c r="A12" s="7">
        <v>7</v>
      </c>
      <c r="B12" s="8" t="s">
        <v>34</v>
      </c>
      <c r="C12" s="10">
        <v>213</v>
      </c>
      <c r="D12" s="10">
        <v>222</v>
      </c>
      <c r="E12" s="10">
        <f t="shared" si="0"/>
        <v>435</v>
      </c>
      <c r="F12" s="10" t="s">
        <v>35</v>
      </c>
      <c r="G12" s="10">
        <f>472+11+0+16+206+451+454+465+490+368+388+385+456+440+477+407+450+317+323+411+451+296+501+459+367+453+211+435</f>
        <v>10160</v>
      </c>
      <c r="H12" s="10">
        <f>G12*1.05</f>
        <v>10668</v>
      </c>
      <c r="I12" s="10"/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36</v>
      </c>
      <c r="C13" s="10">
        <v>177</v>
      </c>
      <c r="D13" s="10">
        <v>245</v>
      </c>
      <c r="E13" s="10">
        <f t="shared" ref="E13:E21" si="1">D13+C13</f>
        <v>422</v>
      </c>
      <c r="F13" s="10" t="s">
        <v>35</v>
      </c>
      <c r="G13" s="10">
        <f>372+0+0+0+195+420+417+363+467+242+386+282+393+382+374+341+333+312+195.6+316+374+231+423+383+318+333+230+422</f>
        <v>8504.6</v>
      </c>
      <c r="H13" s="10"/>
      <c r="I13" s="10"/>
      <c r="J13" s="14"/>
      <c r="K13" s="10"/>
      <c r="L13" s="10"/>
      <c r="M13" s="10"/>
    </row>
    <row r="14" s="1" customFormat="1" ht="25" customHeight="1" spans="1:13">
      <c r="A14" s="7">
        <v>9</v>
      </c>
      <c r="B14" s="8" t="s">
        <v>37</v>
      </c>
      <c r="C14" s="10">
        <v>434.82</v>
      </c>
      <c r="D14" s="10">
        <v>420.3</v>
      </c>
      <c r="E14" s="10">
        <f t="shared" si="1"/>
        <v>855.12</v>
      </c>
      <c r="F14" s="10" t="s">
        <v>35</v>
      </c>
      <c r="G14" s="10">
        <f>209.75+0+0+0+370.64+733.22+886.44+846.58+728.24+930.46+896.96+902.95+629.84+963.57+867.96+679.89+781.38+634.77+618.01+738.09+740.32+767.61+841.08+718.96+833.13+901.56+843.5+855.12</f>
        <v>18920.03</v>
      </c>
      <c r="H14" s="10"/>
      <c r="I14" s="10"/>
      <c r="J14" s="19" t="s">
        <v>38</v>
      </c>
      <c r="K14" s="10">
        <v>3.17</v>
      </c>
      <c r="L14" s="10">
        <v>3.23</v>
      </c>
      <c r="M14" s="10"/>
    </row>
    <row r="15" s="1" customFormat="1" ht="25" customHeight="1" spans="1:13">
      <c r="A15" s="7">
        <v>10</v>
      </c>
      <c r="B15" s="8" t="s">
        <v>39</v>
      </c>
      <c r="C15" s="10">
        <v>15</v>
      </c>
      <c r="D15" s="10">
        <v>18</v>
      </c>
      <c r="E15" s="10">
        <f t="shared" si="1"/>
        <v>33</v>
      </c>
      <c r="F15" s="10" t="s">
        <v>14</v>
      </c>
      <c r="G15" s="10">
        <f>24+0+0+0+21+27+33+30+33+21+30+21+33+30+33+27+30+24+17+30+30+19+36+33+27+30+22+33</f>
        <v>694</v>
      </c>
      <c r="H15" s="10"/>
      <c r="I15" s="10">
        <f>G15/(G3*0.1865)</f>
        <v>12.4454168048993</v>
      </c>
      <c r="J15" s="19" t="s">
        <v>40</v>
      </c>
      <c r="K15" s="20">
        <f>0.641835+0+0+0+1.0970944+2.2635878+2.9007565+2.4932712+2.1651567+2.7262642+2.5433786+2.6076891+1.9524176+3.0179391+2.7017752+2.2869365+2.5432458+2.029962+1.9472319+2.344302+2.3083564+2.5310919+2.8058577+2.2944464+2.8788072+2.9481112+2.724077+2.7359484</f>
        <v>59.4895398</v>
      </c>
      <c r="L15" s="10"/>
      <c r="M15" s="10">
        <f>(C14*K14+L14*D14)/1000</f>
        <v>2.7359484</v>
      </c>
    </row>
    <row r="16" s="1" customFormat="1" ht="25" customHeight="1" spans="1:13">
      <c r="A16" s="7">
        <v>11</v>
      </c>
      <c r="B16" s="8" t="s">
        <v>41</v>
      </c>
      <c r="C16" s="7">
        <v>0</v>
      </c>
      <c r="D16" s="7">
        <v>0</v>
      </c>
      <c r="E16" s="10">
        <f t="shared" si="1"/>
        <v>0</v>
      </c>
      <c r="F16" s="10" t="s">
        <v>14</v>
      </c>
      <c r="G16" s="10">
        <f>0+0+0+0+0+0.0875+0+0.075+0+0.0875+0.0375+0.0375+0+0+0.0375+0.0375+0.0375+0+0.075+0.0625+0+0+0+0+0.0875+0.075+0+0</f>
        <v>0.7375</v>
      </c>
      <c r="H16" s="22"/>
      <c r="I16" s="22"/>
      <c r="J16" s="11"/>
      <c r="K16" s="22"/>
      <c r="L16" s="22"/>
      <c r="M16" s="10"/>
    </row>
    <row r="17" s="1" customFormat="1" ht="25" customHeight="1" spans="1:13">
      <c r="A17" s="12">
        <v>12</v>
      </c>
      <c r="B17" s="8" t="s">
        <v>42</v>
      </c>
      <c r="C17" s="10">
        <v>2</v>
      </c>
      <c r="D17" s="7">
        <v>0</v>
      </c>
      <c r="E17" s="10">
        <f t="shared" si="1"/>
        <v>2</v>
      </c>
      <c r="F17" s="10" t="s">
        <v>14</v>
      </c>
      <c r="G17" s="10">
        <f>2+0+0+0+0+2+0+2+0+2+2+0+2+0+2+0+2+0+2+0+2+0+2+2+0+2+0+2</f>
        <v>28</v>
      </c>
      <c r="H17" s="22"/>
      <c r="I17" s="10">
        <f>G17/(G3*0.1865)</f>
        <v>0.502120562733688</v>
      </c>
      <c r="J17" s="11"/>
      <c r="K17" s="22"/>
      <c r="L17" s="22"/>
      <c r="M17" s="10"/>
    </row>
    <row r="18" s="1" customFormat="1" ht="25" customHeight="1" spans="1:13">
      <c r="A18" s="7">
        <v>13</v>
      </c>
      <c r="B18" s="8" t="s">
        <v>43</v>
      </c>
      <c r="C18" s="10">
        <v>2</v>
      </c>
      <c r="D18" s="7">
        <v>0</v>
      </c>
      <c r="E18" s="10">
        <f t="shared" si="1"/>
        <v>2</v>
      </c>
      <c r="F18" s="10" t="s">
        <v>14</v>
      </c>
      <c r="G18" s="10">
        <f>2+0+0+0+0+2+0+2+0+2+2+0+2+0+2+0+2+0+2+0+2+0+2+2+0+2+0+2</f>
        <v>28</v>
      </c>
      <c r="H18" s="22"/>
      <c r="I18" s="10">
        <f>G18/(G3*0.1865)</f>
        <v>0.502120562733688</v>
      </c>
      <c r="J18" s="11"/>
      <c r="K18" s="22"/>
      <c r="L18" s="22"/>
      <c r="M18" s="10"/>
    </row>
    <row r="19" s="1" customFormat="1" ht="25" customHeight="1" spans="1:13">
      <c r="A19" s="7">
        <v>14</v>
      </c>
      <c r="B19" s="8" t="s">
        <v>44</v>
      </c>
      <c r="C19" s="10">
        <v>2</v>
      </c>
      <c r="D19" s="7">
        <v>2</v>
      </c>
      <c r="E19" s="10">
        <f t="shared" si="1"/>
        <v>4</v>
      </c>
      <c r="F19" s="10" t="s">
        <v>45</v>
      </c>
      <c r="G19" s="10">
        <f>5+0+0+0+3+7+8+6+7+7+7+6+8+5+12+4+8+2+13+4+8+4+9+6+4+12+6+4</f>
        <v>165</v>
      </c>
      <c r="H19" s="22"/>
      <c r="I19" s="22"/>
      <c r="J19" s="11"/>
      <c r="K19" s="22"/>
      <c r="L19" s="22"/>
      <c r="M19" s="10"/>
    </row>
    <row r="20" s="1" customFormat="1" ht="25" customHeight="1" spans="1:13">
      <c r="A20" s="7">
        <v>15</v>
      </c>
      <c r="B20" s="8" t="s">
        <v>46</v>
      </c>
      <c r="C20" s="7">
        <v>635</v>
      </c>
      <c r="D20" s="7">
        <v>646</v>
      </c>
      <c r="E20" s="10">
        <f t="shared" si="1"/>
        <v>1281</v>
      </c>
      <c r="F20" s="10" t="s">
        <v>35</v>
      </c>
      <c r="G20" s="10">
        <f>507+0+0+339+1006+1051+1056+1200+1113+1132+810+1370+1187+1194+1246+1098+1056+635+1144+1095+1126+854+1192+1000+1033+1089+747+1281</f>
        <v>26561</v>
      </c>
      <c r="H20" s="23"/>
      <c r="I20" s="10">
        <f>E20/M20</f>
        <v>53.375</v>
      </c>
      <c r="J20" s="19" t="s">
        <v>47</v>
      </c>
      <c r="K20" s="10">
        <f>7.5+0+0+6+24+24+24+24+24+24+15.5+24+24+24+24+24+24+11.5+24+24+24+17+24+24+24+22.5+14.5+24</f>
        <v>550.5</v>
      </c>
      <c r="L20" s="10">
        <f>G20/K20</f>
        <v>48.2488646684832</v>
      </c>
      <c r="M20" s="10">
        <v>24</v>
      </c>
    </row>
    <row r="21" s="1" customFormat="1" ht="25" customHeight="1" spans="1:13">
      <c r="A21" s="12">
        <v>16</v>
      </c>
      <c r="B21" s="8" t="s">
        <v>48</v>
      </c>
      <c r="C21" s="7">
        <v>825</v>
      </c>
      <c r="D21" s="7">
        <v>799</v>
      </c>
      <c r="E21" s="10">
        <f t="shared" si="1"/>
        <v>1624</v>
      </c>
      <c r="F21" s="10" t="s">
        <v>35</v>
      </c>
      <c r="G21" s="10">
        <f>547+0+0+662+1124+1392+1384+1483+1450+1339+986+1680+1486+1500+1565+1326+1366+691+1337+1248+1433+922+1582+1370+1298+1313+937+1624</f>
        <v>33045</v>
      </c>
      <c r="H21" s="22"/>
      <c r="I21" s="10">
        <f>E21/M20</f>
        <v>67.6666666666667</v>
      </c>
      <c r="J21" s="11"/>
      <c r="K21" s="22"/>
      <c r="L21" s="22"/>
      <c r="M21" s="10"/>
    </row>
    <row r="22" s="1" customFormat="1" ht="25" customHeight="1" spans="1:13">
      <c r="A22" s="7">
        <v>17</v>
      </c>
      <c r="B22" s="8" t="s">
        <v>49</v>
      </c>
      <c r="C22" s="12">
        <v>29.16</v>
      </c>
      <c r="D22" s="12">
        <v>23.33</v>
      </c>
      <c r="E22" s="13"/>
      <c r="F22" s="13" t="s">
        <v>50</v>
      </c>
      <c r="G22" s="13"/>
      <c r="H22" s="24"/>
      <c r="I22" s="24"/>
      <c r="J22" s="25"/>
      <c r="K22" s="24"/>
      <c r="L22" s="24"/>
      <c r="M22" s="10"/>
    </row>
    <row r="23" s="1" customFormat="1" ht="32" customHeight="1" spans="1:13">
      <c r="A23" s="7">
        <v>18</v>
      </c>
      <c r="B23" s="26" t="s">
        <v>151</v>
      </c>
      <c r="C23" s="27" t="s">
        <v>196</v>
      </c>
      <c r="D23" s="28"/>
      <c r="E23" s="28"/>
      <c r="F23" s="28"/>
      <c r="G23" s="28"/>
      <c r="H23" s="29"/>
      <c r="I23" s="30" t="s">
        <v>20</v>
      </c>
      <c r="J23" s="26" t="s">
        <v>156</v>
      </c>
      <c r="K23" s="27" t="s">
        <v>196</v>
      </c>
      <c r="L23" s="28"/>
      <c r="M23" s="29"/>
    </row>
    <row r="24" s="1" customFormat="1" ht="32" customHeight="1" spans="1:13">
      <c r="A24" s="7">
        <v>19</v>
      </c>
      <c r="B24" s="26" t="s">
        <v>153</v>
      </c>
      <c r="C24" s="27" t="s">
        <v>196</v>
      </c>
      <c r="D24" s="28"/>
      <c r="E24" s="28"/>
      <c r="F24" s="28"/>
      <c r="G24" s="28"/>
      <c r="H24" s="29"/>
      <c r="I24" s="30" t="s">
        <v>20</v>
      </c>
      <c r="J24" s="26" t="s">
        <v>159</v>
      </c>
      <c r="K24" s="27" t="s">
        <v>197</v>
      </c>
      <c r="L24" s="28"/>
      <c r="M24" s="29"/>
    </row>
    <row r="25" s="1" customFormat="1" ht="80" customHeight="1" spans="1:13">
      <c r="A25" s="7">
        <v>20</v>
      </c>
      <c r="B25" s="31" t="s">
        <v>55</v>
      </c>
      <c r="C25" s="27" t="s">
        <v>129</v>
      </c>
      <c r="D25" s="28"/>
      <c r="E25" s="28"/>
      <c r="F25" s="28"/>
      <c r="G25" s="28"/>
      <c r="H25" s="28"/>
      <c r="I25" s="28"/>
      <c r="J25" s="28"/>
      <c r="K25" s="28"/>
      <c r="L25" s="28"/>
      <c r="M25" s="29"/>
    </row>
    <row r="26" s="1" customFormat="1" ht="14" customHeight="1" spans="1:13">
      <c r="C26" s="33"/>
      <c r="D26" s="33"/>
      <c r="J26" s="34"/>
    </row>
    <row r="27" s="1" customFormat="1" ht="45" customHeight="1" spans="1:13">
      <c r="A27" s="5" t="s">
        <v>200</v>
      </c>
    </row>
    <row r="28" s="1" customFormat="1" ht="30" customHeight="1" spans="1:13">
      <c r="A28" s="6" t="s">
        <v>58</v>
      </c>
      <c r="B28" s="6" t="s">
        <v>59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7">
        <v>1</v>
      </c>
      <c r="B29" s="8" t="s">
        <v>60</v>
      </c>
      <c r="C29" s="10">
        <v>0</v>
      </c>
      <c r="D29" s="10">
        <v>0</v>
      </c>
      <c r="E29" s="10">
        <f t="shared" ref="E29:E35" si="2">D29+C29</f>
        <v>0</v>
      </c>
      <c r="F29" s="10" t="s">
        <v>35</v>
      </c>
      <c r="G29" s="10">
        <f>0+0+0+0+0+0+0+0+0+0+0+0+0+0+0+0+0+0+0+0+0+0+0+21.34+0+0+0+0</f>
        <v>21.34</v>
      </c>
      <c r="H29" s="10"/>
      <c r="I29" s="10"/>
      <c r="J29" s="11"/>
      <c r="K29" s="22"/>
      <c r="L29" s="22"/>
      <c r="M29" s="10"/>
    </row>
    <row r="30" s="1" customFormat="1" ht="25" customHeight="1" spans="1:13">
      <c r="A30" s="7">
        <v>2</v>
      </c>
      <c r="B30" s="8" t="s">
        <v>61</v>
      </c>
      <c r="C30" s="10">
        <v>6.27</v>
      </c>
      <c r="D30" s="10">
        <v>6.28</v>
      </c>
      <c r="E30" s="10">
        <f t="shared" si="2"/>
        <v>12.55</v>
      </c>
      <c r="F30" s="10" t="s">
        <v>35</v>
      </c>
      <c r="G30" s="10">
        <f>0+0+0+0+0+0+12.6+12.59+14.7+16.7+8.28+16.61+16.56+16.62+16.74+16.66+16.65+0+0+21.7+16.7+14.82+12.61+0+0+13.05+12.57+12.55</f>
        <v>268.71</v>
      </c>
      <c r="H30" s="10"/>
      <c r="I30" s="10"/>
      <c r="J30" s="11"/>
      <c r="K30" s="22"/>
      <c r="L30" s="22"/>
      <c r="M30" s="21"/>
    </row>
    <row r="31" s="1" customFormat="1" ht="25" customHeight="1" spans="1:13">
      <c r="A31" s="7">
        <v>3</v>
      </c>
      <c r="B31" s="8" t="s">
        <v>62</v>
      </c>
      <c r="C31" s="10">
        <v>5</v>
      </c>
      <c r="D31" s="10">
        <v>13</v>
      </c>
      <c r="E31" s="10">
        <f t="shared" si="2"/>
        <v>18</v>
      </c>
      <c r="F31" s="10" t="s">
        <v>35</v>
      </c>
      <c r="G31" s="10">
        <f>9+33+13+24+43.31+38+19+17+26+16+38+42.27+10+19+38+8+29+51.3+22+17+26+21+37+54+27+36+29+18</f>
        <v>760.88</v>
      </c>
      <c r="H31" s="10"/>
      <c r="I31" s="10"/>
      <c r="J31" s="11"/>
      <c r="K31" s="22"/>
      <c r="L31" s="22"/>
      <c r="M31" s="21"/>
    </row>
    <row r="32" s="1" customFormat="1" ht="25" customHeight="1" spans="1:13">
      <c r="A32" s="7">
        <v>4</v>
      </c>
      <c r="B32" s="8" t="s">
        <v>31</v>
      </c>
      <c r="C32" s="10">
        <v>0</v>
      </c>
      <c r="D32" s="10">
        <v>0</v>
      </c>
      <c r="E32" s="10">
        <f t="shared" si="2"/>
        <v>0</v>
      </c>
      <c r="F32" s="10" t="s">
        <v>14</v>
      </c>
      <c r="G32" s="10">
        <f>0+0+0+0+0+0+0+0+8.1945+5.4135+14.796+0+12.3255+0+9.1665+5.94+16.2675+0+0+0+14.337+3.5235+14.148+0+0+0+6.8985+0</f>
        <v>111.0105</v>
      </c>
      <c r="H32" s="10"/>
      <c r="J32" s="11"/>
      <c r="K32" s="22"/>
      <c r="L32" s="22"/>
      <c r="M32" s="22"/>
    </row>
    <row r="33" s="1" customFormat="1" ht="25" customHeight="1" spans="1:13">
      <c r="A33" s="7">
        <v>5</v>
      </c>
      <c r="B33" s="8" t="s">
        <v>33</v>
      </c>
      <c r="C33" s="10">
        <v>0</v>
      </c>
      <c r="D33" s="10">
        <v>0</v>
      </c>
      <c r="E33" s="10">
        <f t="shared" si="2"/>
        <v>0</v>
      </c>
      <c r="F33" s="10" t="s">
        <v>14</v>
      </c>
      <c r="G33" s="10">
        <f>0+0+0+0+0+0+0+0+0+0+0+0+0+0+0+0+0+0+0+0+0+0+0+0+0+0+0+0</f>
        <v>0</v>
      </c>
      <c r="H33" s="10"/>
      <c r="I33" s="10"/>
      <c r="J33" s="14"/>
      <c r="K33" s="22"/>
      <c r="L33" s="22"/>
      <c r="M33" s="22"/>
    </row>
    <row r="34" s="1" customFormat="1" ht="25" customHeight="1" spans="1:13">
      <c r="A34" s="7">
        <v>6</v>
      </c>
      <c r="B34" s="8" t="s">
        <v>63</v>
      </c>
      <c r="C34" s="10">
        <v>296</v>
      </c>
      <c r="D34" s="10">
        <v>296</v>
      </c>
      <c r="E34" s="10">
        <f t="shared" si="2"/>
        <v>592</v>
      </c>
      <c r="F34" s="10" t="s">
        <v>35</v>
      </c>
      <c r="G34" s="10">
        <f>580+604+307+408+430+215+238+250+321+330+333+338+268+307+272+0+145+595+589+591+590+260+0+210+552+507+588+592</f>
        <v>10420</v>
      </c>
      <c r="H34" s="10"/>
      <c r="I34" s="10"/>
      <c r="J34" s="35"/>
      <c r="K34" s="22"/>
      <c r="L34" s="10"/>
      <c r="M34" s="22"/>
    </row>
    <row r="35" s="1" customFormat="1" ht="25" customHeight="1" spans="1:13">
      <c r="A35" s="7">
        <v>7</v>
      </c>
      <c r="B35" s="8" t="s">
        <v>64</v>
      </c>
      <c r="C35" s="10">
        <v>428</v>
      </c>
      <c r="D35" s="10">
        <v>447</v>
      </c>
      <c r="E35" s="10">
        <f t="shared" si="2"/>
        <v>875</v>
      </c>
      <c r="F35" s="10" t="s">
        <v>35</v>
      </c>
      <c r="G35" s="10">
        <f>1010+819+776+499+966+1008+1007+1010+1005+1008+1008+980+786+1014+1016+1015+1015+972+986+1010+1007+1007+1006+1000+999+879+859+875</f>
        <v>26542</v>
      </c>
      <c r="H35" s="10"/>
      <c r="I35" s="10"/>
      <c r="J35" s="36"/>
      <c r="K35" s="22"/>
      <c r="L35" s="10"/>
      <c r="M35" s="22"/>
    </row>
    <row r="36" s="1" customFormat="1" ht="25" customHeight="1" spans="1:13">
      <c r="A36" s="7">
        <v>8</v>
      </c>
      <c r="B36" s="8" t="s">
        <v>65</v>
      </c>
      <c r="C36" s="10">
        <v>0</v>
      </c>
      <c r="D36" s="10">
        <v>0</v>
      </c>
      <c r="E36" s="10">
        <f>C36+D36</f>
        <v>0</v>
      </c>
      <c r="F36" s="10" t="s">
        <v>35</v>
      </c>
      <c r="G36" s="10">
        <f>0+0+0+0+0+0+0+0+0+0+0+0+0+0+0+0+0+0+0+0+0+0+0+0+0+0+0+0</f>
        <v>0</v>
      </c>
      <c r="H36" s="22"/>
      <c r="I36" s="7">
        <v>0</v>
      </c>
      <c r="J36" s="14"/>
      <c r="K36" s="37"/>
      <c r="L36" s="27"/>
      <c r="M36" s="38"/>
    </row>
    <row r="37" s="1" customFormat="1" ht="25" customHeight="1" spans="1:13">
      <c r="A37" s="7">
        <v>9</v>
      </c>
      <c r="B37" s="8" t="s">
        <v>66</v>
      </c>
      <c r="C37" s="10">
        <v>0</v>
      </c>
      <c r="D37" s="10">
        <v>0</v>
      </c>
      <c r="E37" s="10">
        <f>C37+D37</f>
        <v>0</v>
      </c>
      <c r="F37" s="10" t="s">
        <v>35</v>
      </c>
      <c r="G37" s="10">
        <f>0+0+0+0+0+0+0+0+0+0+0+0+0+0+0+0+0+0+0+0+0+0+0+0+0+0+0+0</f>
        <v>0</v>
      </c>
      <c r="H37" s="22"/>
      <c r="I37" s="7">
        <v>77.3054</v>
      </c>
      <c r="J37" s="35"/>
      <c r="K37" s="37"/>
      <c r="L37" s="27"/>
      <c r="M37" s="38"/>
    </row>
    <row r="38" s="1" customFormat="1" ht="25" customHeight="1" spans="1:13">
      <c r="A38" s="7">
        <v>10</v>
      </c>
      <c r="B38" s="8" t="s">
        <v>67</v>
      </c>
      <c r="C38" s="7">
        <v>0</v>
      </c>
      <c r="D38" s="7">
        <v>2</v>
      </c>
      <c r="E38" s="10">
        <f>D38+C38</f>
        <v>2</v>
      </c>
      <c r="F38" s="10" t="s">
        <v>45</v>
      </c>
      <c r="G38" s="10">
        <f>0+0+2+0+0+0+2+0+3+4+2+2+4+6+3+4+4+0+1+5+4+3+3+0+0+3+2+2</f>
        <v>59</v>
      </c>
      <c r="H38" s="22"/>
      <c r="I38" s="10">
        <v>0</v>
      </c>
      <c r="J38" s="35"/>
      <c r="K38" s="27"/>
      <c r="L38" s="19" t="s">
        <v>68</v>
      </c>
      <c r="M38" s="7">
        <v>5</v>
      </c>
    </row>
    <row r="39" s="1" customFormat="1" ht="80" customHeight="1" spans="1:13">
      <c r="A39" s="7">
        <v>11</v>
      </c>
      <c r="B39" s="32" t="s">
        <v>55</v>
      </c>
      <c r="C39" s="27" t="s">
        <v>69</v>
      </c>
      <c r="D39" s="28"/>
      <c r="E39" s="28"/>
      <c r="F39" s="28"/>
      <c r="G39" s="28"/>
      <c r="H39" s="28"/>
      <c r="I39" s="28"/>
      <c r="J39" s="28"/>
      <c r="K39" s="28"/>
      <c r="L39" s="28"/>
      <c r="M39" s="29"/>
    </row>
    <row r="47" s="1" customFormat="1" spans="1:13">
      <c r="C47" s="33"/>
      <c r="D47" s="33"/>
      <c r="J47" s="34"/>
    </row>
    <row r="48" spans="1:13">
      <c r="L48" s="1"/>
    </row>
  </sheetData>
  <mergeCells count="11">
    <mergeCell ref="A1:M1"/>
    <mergeCell ref="C23:H23"/>
    <mergeCell ref="K23:M23"/>
    <mergeCell ref="C24:H24"/>
    <mergeCell ref="K24:M24"/>
    <mergeCell ref="C25:M25"/>
    <mergeCell ref="A27:M27"/>
    <mergeCell ref="C39:M39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zoomScale="85" zoomScaleNormal="85" topLeftCell="A6" workbookViewId="0">
      <selection activeCell="J2" sqref="J2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201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8" customHeight="1" spans="1:13">
      <c r="A3" s="7">
        <v>1</v>
      </c>
      <c r="B3" s="8" t="s">
        <v>13</v>
      </c>
      <c r="C3" s="9">
        <v>7</v>
      </c>
      <c r="D3" s="9">
        <v>8.5</v>
      </c>
      <c r="E3" s="10">
        <f t="shared" ref="E3:E12" si="0">C3+D3</f>
        <v>15.5</v>
      </c>
      <c r="F3" s="10" t="s">
        <v>14</v>
      </c>
      <c r="G3" s="10">
        <f>12+0+0+0+6+13+13+13+15+9+13+9+15+13.5+15.5+11+12.5+12+5.5+11+12+9.5+17+15.5+12.5+10+11+12.5+15.5</f>
        <v>314.5</v>
      </c>
      <c r="H3" s="10">
        <v>330</v>
      </c>
      <c r="I3" s="10">
        <f>H3-G3</f>
        <v>15.5</v>
      </c>
      <c r="J3" s="11"/>
      <c r="K3" s="10"/>
      <c r="L3" s="10"/>
      <c r="M3" s="10">
        <f>I3/1</f>
        <v>15.5</v>
      </c>
    </row>
    <row r="4" s="1" customFormat="1" ht="38" customHeight="1" spans="1:13">
      <c r="A4" s="12">
        <v>2</v>
      </c>
      <c r="B4" s="8" t="s">
        <v>18</v>
      </c>
      <c r="C4" s="9">
        <v>12</v>
      </c>
      <c r="D4" s="9"/>
      <c r="E4" s="10">
        <f t="shared" si="0"/>
        <v>12</v>
      </c>
      <c r="F4" s="10" t="s">
        <v>14</v>
      </c>
      <c r="G4" s="10">
        <f>12+8+0+0+0+6+14+12+14+14+10+12+10+14+14+16+10+14+12+4+12+12+8+18+16+12+10+12+12</f>
        <v>308</v>
      </c>
      <c r="H4" s="13"/>
      <c r="I4" s="13"/>
      <c r="J4" s="11"/>
      <c r="K4" s="10"/>
      <c r="L4" s="10"/>
      <c r="M4" s="10"/>
    </row>
    <row r="5" s="1" customFormat="1" ht="38" customHeight="1" spans="1:13">
      <c r="A5" s="12">
        <v>3</v>
      </c>
      <c r="B5" s="8" t="s">
        <v>21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65+0+0+0+0+0+0+0+0+0+0+0+0+0+0+0+0+0+0+0+0+0+0+0+0+0+0+0+0</f>
        <v>65</v>
      </c>
      <c r="H5" s="10">
        <v>4950</v>
      </c>
      <c r="I5" s="10">
        <f>H5-G5-G7-G6</f>
        <v>620</v>
      </c>
      <c r="J5" s="14"/>
      <c r="K5" s="10"/>
      <c r="L5" s="10"/>
      <c r="M5" s="10"/>
    </row>
    <row r="6" s="1" customFormat="1" ht="38" customHeight="1" spans="1:13">
      <c r="A6" s="15"/>
      <c r="B6" s="8" t="s">
        <v>23</v>
      </c>
      <c r="C6" s="10">
        <v>107</v>
      </c>
      <c r="D6" s="10">
        <v>112</v>
      </c>
      <c r="E6" s="10">
        <f t="shared" si="0"/>
        <v>219</v>
      </c>
      <c r="F6" s="10" t="s">
        <v>14</v>
      </c>
      <c r="G6" s="10">
        <f>0+0+0+0+183+194+174+196+189+174+99+228+173+212+203+172+165+64+196+141+172+106+192+189+168+147+112+182+219</f>
        <v>4250</v>
      </c>
      <c r="H6" s="15"/>
      <c r="I6" s="15"/>
      <c r="J6" s="11"/>
      <c r="K6" s="10"/>
      <c r="L6" s="10"/>
      <c r="M6" s="16"/>
    </row>
    <row r="7" s="1" customFormat="1" ht="38" customHeight="1" spans="1:13">
      <c r="A7" s="15"/>
      <c r="B7" s="8" t="s">
        <v>25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0+0+0+8+1+0+0+0+0+0+0+3+0+0+1+0+0+0+0+0+1+1+0+0+0+0+0+0+0</f>
        <v>15</v>
      </c>
      <c r="H7" s="15"/>
      <c r="I7" s="15"/>
      <c r="J7" s="11"/>
      <c r="K7" s="10"/>
      <c r="L7" s="10"/>
      <c r="M7" s="10"/>
    </row>
    <row r="8" s="1" customFormat="1" ht="38" customHeight="1" spans="1:13">
      <c r="A8" s="15"/>
      <c r="B8" s="8" t="s">
        <v>27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0+0+0+0+0+0+0+0+0+0+0+0+0+0+0+0+0+0+0+0+0+0+0+0+0+0+0+0+0</f>
        <v>0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29</v>
      </c>
      <c r="C9" s="13">
        <v>30.57</v>
      </c>
      <c r="D9" s="13"/>
      <c r="E9" s="10">
        <f t="shared" si="0"/>
        <v>30.57</v>
      </c>
      <c r="F9" s="13" t="s">
        <v>14</v>
      </c>
      <c r="G9" s="10">
        <f>0+31.23+0+31.02+0+30.93+30.89+30.97+30.96+0+31.05+30.81+0+0+31.58+30.96+31.28+0+0+30.94+31.23+31.45+31.67+30.99+31.02+30.78+30.81+30.69+30.57</f>
        <v>651.83</v>
      </c>
      <c r="H9" s="13">
        <v>6.08</v>
      </c>
      <c r="I9" s="13">
        <f>H9-K10</f>
        <v>0.185403</v>
      </c>
      <c r="J9" s="19" t="s">
        <v>30</v>
      </c>
      <c r="K9" s="10">
        <v>0</v>
      </c>
      <c r="L9" s="10">
        <v>0.91</v>
      </c>
      <c r="M9" s="20"/>
    </row>
    <row r="10" s="1" customFormat="1" ht="25" customHeight="1" spans="1:13">
      <c r="A10" s="7">
        <v>5</v>
      </c>
      <c r="B10" s="8" t="s">
        <v>31</v>
      </c>
      <c r="C10" s="10">
        <v>6.3315</v>
      </c>
      <c r="D10" s="10">
        <v>2.4435</v>
      </c>
      <c r="E10" s="10">
        <f t="shared" si="0"/>
        <v>8.775</v>
      </c>
      <c r="F10" s="10" t="s">
        <v>14</v>
      </c>
      <c r="G10" s="10">
        <f>6.831+0+0+0+6.6555+7.614+14.958+12.744+10.611+5.832+10.314+9.369+6.1965+9.4635+9.1395+9.774+8.532+7.128+9.45+7.4385+9.585+6.2775+9.18+8.694+11.2995+6.8985+9.1935+7.479+8.775</f>
        <v>229.4325</v>
      </c>
      <c r="H10" s="10"/>
      <c r="I10" s="10">
        <f>G10/(G3*0.1865)</f>
        <v>3.91160913318302</v>
      </c>
      <c r="J10" s="19" t="s">
        <v>32</v>
      </c>
      <c r="K10" s="20">
        <f>0+0.268578+0+0.257466+0+0.256719+0.253298+0.27873+0.281736+0+0.27945+0.271128+0+0+0.281062+0.275544+0.284648+0+0+0.287742+0.296685+0.305065+0.288197+0.291306+0.297792+0.283176+0.286533+0.291555+0.278187</f>
        <v>5.894597</v>
      </c>
      <c r="L10" s="10"/>
      <c r="M10" s="10">
        <f>C9*L9/100</f>
        <v>0.278187</v>
      </c>
    </row>
    <row r="11" s="1" customFormat="1" ht="25" customHeight="1" spans="1:13">
      <c r="A11" s="7">
        <v>6</v>
      </c>
      <c r="B11" s="8" t="s">
        <v>33</v>
      </c>
      <c r="C11" s="10">
        <v>12.052</v>
      </c>
      <c r="D11" s="10">
        <v>0</v>
      </c>
      <c r="E11" s="10">
        <f t="shared" si="0"/>
        <v>12.052</v>
      </c>
      <c r="F11" s="10" t="s">
        <v>14</v>
      </c>
      <c r="G11" s="10">
        <f>14.352+0+0+0+6.7344+17.5536+13.2664+17.664+16.56+14.6096+11.5+16.56+10.9848+11.6472+15.6216+16.2104+14.2232+14.4808+6.9736+5.3728+12.0152+12.3464+14.5912+16.8912+13.2664+12.42+12.9168+10.9664+12.052</f>
        <v>341.78</v>
      </c>
      <c r="H11" s="10"/>
      <c r="I11" s="10">
        <f>G11/(G3*0.1865)</f>
        <v>5.82702873193332</v>
      </c>
      <c r="J11" s="11"/>
      <c r="K11" s="10"/>
      <c r="L11" s="10"/>
      <c r="M11" s="21"/>
    </row>
    <row r="12" s="1" customFormat="1" ht="25" customHeight="1" spans="1:13">
      <c r="A12" s="7">
        <v>7</v>
      </c>
      <c r="B12" s="8" t="s">
        <v>34</v>
      </c>
      <c r="C12" s="10">
        <v>198</v>
      </c>
      <c r="D12" s="10">
        <v>236</v>
      </c>
      <c r="E12" s="10">
        <f t="shared" si="0"/>
        <v>434</v>
      </c>
      <c r="F12" s="10" t="s">
        <v>35</v>
      </c>
      <c r="G12" s="10">
        <f>472+11+0+16+206+451+454+465+490+368+388+385+456+440+477+407+450+317+323+411+451+296+501+459+367+453+211+435+434</f>
        <v>10594</v>
      </c>
      <c r="H12" s="10">
        <f>G12*1.05</f>
        <v>11123.7</v>
      </c>
      <c r="I12" s="10"/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36</v>
      </c>
      <c r="C13" s="10">
        <v>189</v>
      </c>
      <c r="D13" s="10">
        <v>206</v>
      </c>
      <c r="E13" s="10">
        <f t="shared" ref="E13:E21" si="1">D13+C13</f>
        <v>395</v>
      </c>
      <c r="F13" s="10" t="s">
        <v>35</v>
      </c>
      <c r="G13" s="10">
        <f>372+0+0+0+195+420+417+363+467+242+386+282+393+382+374+341+333+312+195.6+316+374+231+423+383+318+333+230+422+395</f>
        <v>8899.6</v>
      </c>
      <c r="H13" s="10"/>
      <c r="I13" s="10"/>
      <c r="J13" s="14"/>
      <c r="K13" s="10"/>
      <c r="L13" s="10"/>
      <c r="M13" s="10"/>
    </row>
    <row r="14" s="1" customFormat="1" ht="25" customHeight="1" spans="1:13">
      <c r="A14" s="7">
        <v>9</v>
      </c>
      <c r="B14" s="8" t="s">
        <v>37</v>
      </c>
      <c r="C14" s="10">
        <v>420.92</v>
      </c>
      <c r="D14" s="10">
        <v>463.45</v>
      </c>
      <c r="E14" s="10">
        <f t="shared" si="1"/>
        <v>884.37</v>
      </c>
      <c r="F14" s="10" t="s">
        <v>35</v>
      </c>
      <c r="G14" s="10">
        <f>209.75+0+0+0+370.64+733.22+886.44+846.58+728.24+930.46+896.96+902.95+629.84+963.57+867.96+679.89+781.38+634.77+618.01+738.09+740.32+767.61+841.08+718.96+833.13+901.56+843.5+855.12+884.37</f>
        <v>19804.4</v>
      </c>
      <c r="H14" s="10"/>
      <c r="I14" s="10"/>
      <c r="J14" s="19" t="s">
        <v>38</v>
      </c>
      <c r="K14" s="10">
        <v>3</v>
      </c>
      <c r="L14" s="10">
        <v>3.08</v>
      </c>
      <c r="M14" s="10"/>
    </row>
    <row r="15" s="1" customFormat="1" ht="25" customHeight="1" spans="1:13">
      <c r="A15" s="7">
        <v>10</v>
      </c>
      <c r="B15" s="8" t="s">
        <v>39</v>
      </c>
      <c r="C15" s="10">
        <v>21</v>
      </c>
      <c r="D15" s="10">
        <v>15</v>
      </c>
      <c r="E15" s="10">
        <f t="shared" si="1"/>
        <v>36</v>
      </c>
      <c r="F15" s="10" t="s">
        <v>14</v>
      </c>
      <c r="G15" s="10">
        <f>24+0+0+0+21+27+33+30+33+21+30+21+33+30+33+27+30+24+17+30+30+19+36+33+27+30+22+33+36</f>
        <v>730</v>
      </c>
      <c r="H15" s="10"/>
      <c r="I15" s="10">
        <f>G15/(G3*0.1865)</f>
        <v>12.445815946841</v>
      </c>
      <c r="J15" s="19" t="s">
        <v>40</v>
      </c>
      <c r="K15" s="20">
        <f>0.641835+0+0+0+1.0970944+2.2635878+2.9007565+2.4932712+2.1651567+2.7262642+2.5433786+2.6076891+1.9524176+3.0179391+2.7017752+2.2869365+2.5432458+2.029962+1.9472319+2.344302+2.3083564+2.5310919+2.8058577+2.2944464+2.8788072+2.9481112+2.724077+2.7359484+2.690186</f>
        <v>62.1797258</v>
      </c>
      <c r="L15" s="10"/>
      <c r="M15" s="10">
        <f>(C14*K14+L14*D14)/1000</f>
        <v>2.690186</v>
      </c>
    </row>
    <row r="16" s="1" customFormat="1" ht="25" customHeight="1" spans="1:13">
      <c r="A16" s="7">
        <v>11</v>
      </c>
      <c r="B16" s="8" t="s">
        <v>41</v>
      </c>
      <c r="C16" s="7">
        <v>0</v>
      </c>
      <c r="D16" s="7">
        <v>0</v>
      </c>
      <c r="E16" s="10">
        <f t="shared" si="1"/>
        <v>0</v>
      </c>
      <c r="F16" s="10" t="s">
        <v>14</v>
      </c>
      <c r="G16" s="10">
        <f>0+0+0+0+0+0.0875+0+0.075+0+0.0875+0.0375+0.0375+0+0+0.0375+0.0375+0.0375+0+0.075+0.0625+0+0+0+0+0.0875+0.075+0+0+0</f>
        <v>0.7375</v>
      </c>
      <c r="H16" s="22"/>
      <c r="I16" s="22"/>
      <c r="J16" s="11"/>
      <c r="K16" s="22"/>
      <c r="L16" s="22"/>
      <c r="M16" s="10"/>
    </row>
    <row r="17" s="1" customFormat="1" ht="25" customHeight="1" spans="1:13">
      <c r="A17" s="12">
        <v>12</v>
      </c>
      <c r="B17" s="8" t="s">
        <v>42</v>
      </c>
      <c r="C17" s="10">
        <v>0</v>
      </c>
      <c r="D17" s="7">
        <v>0</v>
      </c>
      <c r="E17" s="10">
        <f t="shared" si="1"/>
        <v>0</v>
      </c>
      <c r="F17" s="10" t="s">
        <v>14</v>
      </c>
      <c r="G17" s="10">
        <f>2+0+0+0+0+2+0+2+0+2+2+0+2+0+2+0+2+0+2+0+2+0+2+2+0+2+0+2+0</f>
        <v>28</v>
      </c>
      <c r="H17" s="22"/>
      <c r="I17" s="10">
        <f>G17/(G3*0.1865)</f>
        <v>0.477373762344587</v>
      </c>
      <c r="J17" s="11"/>
      <c r="K17" s="22"/>
      <c r="L17" s="22"/>
      <c r="M17" s="10"/>
    </row>
    <row r="18" s="1" customFormat="1" ht="25" customHeight="1" spans="1:13">
      <c r="A18" s="7">
        <v>13</v>
      </c>
      <c r="B18" s="8" t="s">
        <v>43</v>
      </c>
      <c r="C18" s="10">
        <v>0</v>
      </c>
      <c r="D18" s="7">
        <v>0</v>
      </c>
      <c r="E18" s="10">
        <f t="shared" si="1"/>
        <v>0</v>
      </c>
      <c r="F18" s="10" t="s">
        <v>14</v>
      </c>
      <c r="G18" s="10">
        <f>2+0+0+0+0+2+0+2+0+2+2+0+2+0+2+0+2+0+2+0+2+0+2+2+0+2+0+2+0</f>
        <v>28</v>
      </c>
      <c r="H18" s="22"/>
      <c r="I18" s="10">
        <f>G18/(G3*0.1865)</f>
        <v>0.477373762344587</v>
      </c>
      <c r="J18" s="11"/>
      <c r="K18" s="22"/>
      <c r="L18" s="22"/>
      <c r="M18" s="10"/>
    </row>
    <row r="19" s="1" customFormat="1" ht="25" customHeight="1" spans="1:13">
      <c r="A19" s="7">
        <v>14</v>
      </c>
      <c r="B19" s="8" t="s">
        <v>44</v>
      </c>
      <c r="C19" s="10">
        <v>3</v>
      </c>
      <c r="D19" s="7">
        <v>6</v>
      </c>
      <c r="E19" s="10">
        <f t="shared" si="1"/>
        <v>9</v>
      </c>
      <c r="F19" s="10" t="s">
        <v>45</v>
      </c>
      <c r="G19" s="10">
        <f>5+0+0+0+3+7+8+6+7+7+7+6+8+5+12+4+8+2+13+4+8+4+9+6+4+12+6+4+9</f>
        <v>174</v>
      </c>
      <c r="H19" s="22"/>
      <c r="I19" s="22"/>
      <c r="J19" s="11"/>
      <c r="K19" s="22"/>
      <c r="L19" s="22"/>
      <c r="M19" s="10"/>
    </row>
    <row r="20" s="1" customFormat="1" ht="25" customHeight="1" spans="1:13">
      <c r="A20" s="7">
        <v>15</v>
      </c>
      <c r="B20" s="8" t="s">
        <v>46</v>
      </c>
      <c r="C20" s="7">
        <v>606</v>
      </c>
      <c r="D20" s="7">
        <v>636</v>
      </c>
      <c r="E20" s="10">
        <f t="shared" si="1"/>
        <v>1242</v>
      </c>
      <c r="F20" s="10" t="s">
        <v>35</v>
      </c>
      <c r="G20" s="10">
        <f>507+0+0+339+1006+1051+1056+1200+1113+1132+810+1370+1187+1194+1246+1098+1056+635+1144+1095+1126+854+1192+1000+1033+1089+747+1281+1242</f>
        <v>27803</v>
      </c>
      <c r="H20" s="23"/>
      <c r="I20" s="10">
        <f>E20/M20</f>
        <v>51.75</v>
      </c>
      <c r="J20" s="19" t="s">
        <v>47</v>
      </c>
      <c r="K20" s="10">
        <f>7.5+0+0+6+24+24+24+24+24+24+15.5+24+24+24+24+24+24+11.5+24+24+24+17+24+24+24+22.5+14.5+24+24</f>
        <v>574.5</v>
      </c>
      <c r="L20" s="10">
        <f>G20/K20</f>
        <v>48.3951261966928</v>
      </c>
      <c r="M20" s="10">
        <v>24</v>
      </c>
    </row>
    <row r="21" s="1" customFormat="1" ht="25" customHeight="1" spans="1:13">
      <c r="A21" s="12">
        <v>16</v>
      </c>
      <c r="B21" s="8" t="s">
        <v>48</v>
      </c>
      <c r="C21" s="7">
        <v>772</v>
      </c>
      <c r="D21" s="7">
        <v>850</v>
      </c>
      <c r="E21" s="10">
        <f t="shared" si="1"/>
        <v>1622</v>
      </c>
      <c r="F21" s="10" t="s">
        <v>35</v>
      </c>
      <c r="G21" s="10">
        <f>547+0+0+662+1124+1392+1384+1483+1450+1339+986+1680+1486+1500+1565+1326+1366+691+1337+1248+1433+922+1582+1370+1298+1313+937+1624+1622</f>
        <v>34667</v>
      </c>
      <c r="H21" s="22"/>
      <c r="I21" s="10">
        <f>E21/M20</f>
        <v>67.5833333333333</v>
      </c>
      <c r="J21" s="11"/>
      <c r="K21" s="22"/>
      <c r="L21" s="22"/>
      <c r="M21" s="10"/>
    </row>
    <row r="22" s="1" customFormat="1" ht="25" customHeight="1" spans="1:13">
      <c r="A22" s="7">
        <v>17</v>
      </c>
      <c r="B22" s="8" t="s">
        <v>49</v>
      </c>
      <c r="C22" s="12">
        <v>25.42</v>
      </c>
      <c r="D22" s="12">
        <v>27.29</v>
      </c>
      <c r="E22" s="13"/>
      <c r="F22" s="13" t="s">
        <v>50</v>
      </c>
      <c r="G22" s="13"/>
      <c r="H22" s="24"/>
      <c r="I22" s="24"/>
      <c r="J22" s="25"/>
      <c r="K22" s="24"/>
      <c r="L22" s="24"/>
      <c r="M22" s="10"/>
    </row>
    <row r="23" s="1" customFormat="1" ht="32" customHeight="1" spans="1:13">
      <c r="A23" s="7">
        <v>18</v>
      </c>
      <c r="B23" s="26" t="s">
        <v>151</v>
      </c>
      <c r="C23" s="27" t="s">
        <v>196</v>
      </c>
      <c r="D23" s="28"/>
      <c r="E23" s="28"/>
      <c r="F23" s="28"/>
      <c r="G23" s="28"/>
      <c r="H23" s="29"/>
      <c r="I23" s="30" t="s">
        <v>20</v>
      </c>
      <c r="J23" s="26" t="s">
        <v>156</v>
      </c>
      <c r="K23" s="27" t="s">
        <v>202</v>
      </c>
      <c r="L23" s="28"/>
      <c r="M23" s="29"/>
    </row>
    <row r="24" s="1" customFormat="1" ht="32" customHeight="1" spans="1:13">
      <c r="A24" s="7">
        <v>19</v>
      </c>
      <c r="B24" s="26" t="s">
        <v>153</v>
      </c>
      <c r="C24" s="27" t="s">
        <v>196</v>
      </c>
      <c r="D24" s="28"/>
      <c r="E24" s="28"/>
      <c r="F24" s="28"/>
      <c r="G24" s="28"/>
      <c r="H24" s="29"/>
      <c r="I24" s="30" t="s">
        <v>20</v>
      </c>
      <c r="J24" s="26" t="s">
        <v>159</v>
      </c>
      <c r="K24" s="27" t="s">
        <v>203</v>
      </c>
      <c r="L24" s="28"/>
      <c r="M24" s="29"/>
    </row>
    <row r="25" s="1" customFormat="1" ht="80" customHeight="1" spans="1:13">
      <c r="A25" s="7">
        <v>20</v>
      </c>
      <c r="B25" s="31" t="s">
        <v>55</v>
      </c>
      <c r="C25" s="27" t="s">
        <v>56</v>
      </c>
      <c r="D25" s="28"/>
      <c r="E25" s="28"/>
      <c r="F25" s="28"/>
      <c r="G25" s="28"/>
      <c r="H25" s="28"/>
      <c r="I25" s="29"/>
      <c r="J25" s="32" t="s">
        <v>51</v>
      </c>
      <c r="K25" s="27" t="s">
        <v>204</v>
      </c>
      <c r="L25" s="28"/>
      <c r="M25" s="29"/>
    </row>
    <row r="26" s="1" customFormat="1" ht="14" customHeight="1" spans="1:13">
      <c r="C26" s="33"/>
      <c r="D26" s="33"/>
      <c r="J26" s="34"/>
    </row>
    <row r="27" s="1" customFormat="1" ht="45" customHeight="1" spans="1:13">
      <c r="A27" s="5" t="s">
        <v>205</v>
      </c>
    </row>
    <row r="28" s="1" customFormat="1" ht="30" customHeight="1" spans="1:13">
      <c r="A28" s="6" t="s">
        <v>58</v>
      </c>
      <c r="B28" s="6" t="s">
        <v>59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7">
        <v>1</v>
      </c>
      <c r="B29" s="8" t="s">
        <v>60</v>
      </c>
      <c r="C29" s="10">
        <v>0</v>
      </c>
      <c r="D29" s="10">
        <v>0</v>
      </c>
      <c r="E29" s="10">
        <f t="shared" ref="E29:E35" si="2">D29+C29</f>
        <v>0</v>
      </c>
      <c r="F29" s="10" t="s">
        <v>35</v>
      </c>
      <c r="G29" s="10">
        <f>0+0+0+0+0+0+0+0+0+0+0+0+0+0+0+0+0+0+0+0+0+0+0+21.34+0+0+0+0+0</f>
        <v>21.34</v>
      </c>
      <c r="H29" s="10"/>
      <c r="I29" s="10"/>
      <c r="J29" s="11"/>
      <c r="K29" s="22"/>
      <c r="L29" s="22"/>
      <c r="M29" s="10"/>
    </row>
    <row r="30" s="1" customFormat="1" ht="25" customHeight="1" spans="1:13">
      <c r="A30" s="7">
        <v>2</v>
      </c>
      <c r="B30" s="8" t="s">
        <v>61</v>
      </c>
      <c r="C30" s="10">
        <v>0</v>
      </c>
      <c r="D30" s="10">
        <v>6.24</v>
      </c>
      <c r="E30" s="10">
        <f t="shared" si="2"/>
        <v>6.24</v>
      </c>
      <c r="F30" s="10" t="s">
        <v>35</v>
      </c>
      <c r="G30" s="10">
        <f>0+0+0+0+0+0+12.6+12.59+14.7+16.7+8.28+16.61+16.56+16.62+16.74+16.66+16.65+0+0+21.7+16.7+14.82+12.61+0+0+13.05+12.57+12.55+6.24</f>
        <v>274.95</v>
      </c>
      <c r="H30" s="10"/>
      <c r="I30" s="10"/>
      <c r="J30" s="11"/>
      <c r="K30" s="22"/>
      <c r="L30" s="22"/>
      <c r="M30" s="21"/>
    </row>
    <row r="31" s="1" customFormat="1" ht="25" customHeight="1" spans="1:13">
      <c r="A31" s="7">
        <v>3</v>
      </c>
      <c r="B31" s="8" t="s">
        <v>62</v>
      </c>
      <c r="C31" s="10">
        <v>12</v>
      </c>
      <c r="D31" s="10">
        <v>15</v>
      </c>
      <c r="E31" s="10">
        <f t="shared" si="2"/>
        <v>27</v>
      </c>
      <c r="F31" s="10" t="s">
        <v>35</v>
      </c>
      <c r="G31" s="10">
        <f>9+33+13+24+43.31+38+19+17+26+16+38+42.27+10+19+38+8+29+51.3+22+17+26+21+37+54+27+36+29+18+27</f>
        <v>787.88</v>
      </c>
      <c r="H31" s="10"/>
      <c r="I31" s="10"/>
      <c r="J31" s="11"/>
      <c r="K31" s="22"/>
      <c r="L31" s="22"/>
      <c r="M31" s="21"/>
    </row>
    <row r="32" s="1" customFormat="1" ht="25" customHeight="1" spans="1:13">
      <c r="A32" s="7">
        <v>4</v>
      </c>
      <c r="B32" s="8" t="s">
        <v>31</v>
      </c>
      <c r="C32" s="10">
        <v>7.0605</v>
      </c>
      <c r="D32" s="10">
        <v>0</v>
      </c>
      <c r="E32" s="10">
        <f t="shared" si="2"/>
        <v>7.0605</v>
      </c>
      <c r="F32" s="10" t="s">
        <v>14</v>
      </c>
      <c r="G32" s="10">
        <f>0+0+0+0+0+0+0+0+8.1945+5.4135+14.796+0+12.3255+0+9.1665+5.94+16.2675+0+0+0+14.337+3.5235+14.148+0+0+0+6.8985+0+7.0605</f>
        <v>118.071</v>
      </c>
      <c r="H32" s="10"/>
      <c r="J32" s="11"/>
      <c r="K32" s="22"/>
      <c r="L32" s="22"/>
      <c r="M32" s="22"/>
    </row>
    <row r="33" s="1" customFormat="1" ht="25" customHeight="1" spans="1:13">
      <c r="A33" s="7">
        <v>5</v>
      </c>
      <c r="B33" s="8" t="s">
        <v>33</v>
      </c>
      <c r="C33" s="10">
        <v>0</v>
      </c>
      <c r="D33" s="10">
        <v>0</v>
      </c>
      <c r="E33" s="10">
        <f t="shared" si="2"/>
        <v>0</v>
      </c>
      <c r="F33" s="10" t="s">
        <v>14</v>
      </c>
      <c r="G33" s="10">
        <f>0+0+0+0+0+0+0+0+0+0+0+0+0+0+0+0+0+0+0+0+0+0+0+0+0+0+0+0+0</f>
        <v>0</v>
      </c>
      <c r="H33" s="10"/>
      <c r="I33" s="10"/>
      <c r="J33" s="14"/>
      <c r="K33" s="22"/>
      <c r="L33" s="22"/>
      <c r="M33" s="22"/>
    </row>
    <row r="34" s="1" customFormat="1" ht="25" customHeight="1" spans="1:13">
      <c r="A34" s="7">
        <v>6</v>
      </c>
      <c r="B34" s="8" t="s">
        <v>63</v>
      </c>
      <c r="C34" s="10">
        <v>133</v>
      </c>
      <c r="D34" s="10">
        <v>0</v>
      </c>
      <c r="E34" s="10">
        <f t="shared" si="2"/>
        <v>133</v>
      </c>
      <c r="F34" s="10" t="s">
        <v>35</v>
      </c>
      <c r="G34" s="10">
        <f>580+604+307+408+430+215+238+250+321+330+333+338+268+307+272+0+145+595+589+591+590+260+0+210+552+507+588+592+133</f>
        <v>10553</v>
      </c>
      <c r="H34" s="10"/>
      <c r="I34" s="10"/>
      <c r="J34" s="35"/>
      <c r="K34" s="22"/>
      <c r="L34" s="10"/>
      <c r="M34" s="22"/>
    </row>
    <row r="35" s="1" customFormat="1" ht="25" customHeight="1" spans="1:13">
      <c r="A35" s="7">
        <v>7</v>
      </c>
      <c r="B35" s="8" t="s">
        <v>64</v>
      </c>
      <c r="C35" s="10">
        <v>496</v>
      </c>
      <c r="D35" s="10">
        <v>496</v>
      </c>
      <c r="E35" s="10">
        <f t="shared" si="2"/>
        <v>992</v>
      </c>
      <c r="F35" s="10" t="s">
        <v>35</v>
      </c>
      <c r="G35" s="10">
        <f>1010+819+776+499+966+1008+1007+1010+1005+1008+1008+980+786+1014+1016+1015+1015+972+986+1010+1007+1007+1006+1000+999+879+859+875+992</f>
        <v>27534</v>
      </c>
      <c r="H35" s="10"/>
      <c r="I35" s="10"/>
      <c r="J35" s="36"/>
      <c r="K35" s="22"/>
      <c r="L35" s="10"/>
      <c r="M35" s="22"/>
    </row>
    <row r="36" s="1" customFormat="1" ht="25" customHeight="1" spans="1:13">
      <c r="A36" s="7">
        <v>8</v>
      </c>
      <c r="B36" s="8" t="s">
        <v>65</v>
      </c>
      <c r="C36" s="10">
        <v>0</v>
      </c>
      <c r="D36" s="10">
        <v>0</v>
      </c>
      <c r="E36" s="10">
        <f>C36+D36</f>
        <v>0</v>
      </c>
      <c r="F36" s="10" t="s">
        <v>35</v>
      </c>
      <c r="G36" s="10">
        <f>0+0+0+0+0+0+0+0+0+0+0+0+0+0+0+0+0+0+0+0+0+0+0+0+0+0+0+0+0</f>
        <v>0</v>
      </c>
      <c r="H36" s="22"/>
      <c r="I36" s="7">
        <v>1065</v>
      </c>
      <c r="J36" s="14"/>
      <c r="K36" s="37"/>
      <c r="L36" s="27"/>
      <c r="M36" s="38"/>
    </row>
    <row r="37" s="1" customFormat="1" ht="25" customHeight="1" spans="1:13">
      <c r="A37" s="7">
        <v>9</v>
      </c>
      <c r="B37" s="8" t="s">
        <v>66</v>
      </c>
      <c r="C37" s="10">
        <v>0</v>
      </c>
      <c r="D37" s="10">
        <v>0</v>
      </c>
      <c r="E37" s="10">
        <f>C37+D37</f>
        <v>0</v>
      </c>
      <c r="F37" s="10" t="s">
        <v>35</v>
      </c>
      <c r="G37" s="10">
        <f>0+0+0+0+0+0+0+0+0+0+0+0+0+0+0+0+0+0+0+0+0+0+0+0+0+0+0+0+0</f>
        <v>0</v>
      </c>
      <c r="H37" s="22"/>
      <c r="I37" s="7">
        <v>66.8822</v>
      </c>
      <c r="J37" s="35"/>
      <c r="K37" s="37"/>
      <c r="L37" s="27"/>
      <c r="M37" s="38"/>
    </row>
    <row r="38" s="1" customFormat="1" ht="25" customHeight="1" spans="1:13">
      <c r="A38" s="7">
        <v>10</v>
      </c>
      <c r="B38" s="8" t="s">
        <v>67</v>
      </c>
      <c r="C38" s="7">
        <v>0</v>
      </c>
      <c r="D38" s="7">
        <v>0</v>
      </c>
      <c r="E38" s="10">
        <f>D38+C38</f>
        <v>0</v>
      </c>
      <c r="F38" s="10" t="s">
        <v>45</v>
      </c>
      <c r="G38" s="10">
        <f>0+0+2+0+0+0+2+0+3+4+2+2+4+6+3+4+4+0+1+5+4+3+3+0+0+3+2+2+0</f>
        <v>59</v>
      </c>
      <c r="H38" s="22"/>
      <c r="I38" s="10">
        <v>0</v>
      </c>
      <c r="J38" s="35"/>
      <c r="K38" s="27"/>
      <c r="L38" s="19" t="s">
        <v>68</v>
      </c>
      <c r="M38" s="7">
        <v>5</v>
      </c>
    </row>
    <row r="39" s="1" customFormat="1" ht="80" customHeight="1" spans="1:13">
      <c r="A39" s="7">
        <v>11</v>
      </c>
      <c r="B39" s="32" t="s">
        <v>55</v>
      </c>
      <c r="C39" s="27" t="s">
        <v>69</v>
      </c>
      <c r="D39" s="28"/>
      <c r="E39" s="28"/>
      <c r="F39" s="28"/>
      <c r="G39" s="28"/>
      <c r="H39" s="28"/>
      <c r="I39" s="28"/>
      <c r="J39" s="28"/>
      <c r="K39" s="28"/>
      <c r="L39" s="28"/>
      <c r="M39" s="29"/>
    </row>
    <row r="47" s="1" customFormat="1" spans="1:13">
      <c r="C47" s="33"/>
      <c r="D47" s="33"/>
      <c r="J47" s="34"/>
    </row>
    <row r="48" spans="1:13">
      <c r="L48" s="1"/>
    </row>
  </sheetData>
  <mergeCells count="12">
    <mergeCell ref="A1:M1"/>
    <mergeCell ref="C23:H23"/>
    <mergeCell ref="K23:M23"/>
    <mergeCell ref="C24:H24"/>
    <mergeCell ref="K24:M24"/>
    <mergeCell ref="C25:I25"/>
    <mergeCell ref="K25:M25"/>
    <mergeCell ref="A27:M27"/>
    <mergeCell ref="C39:M39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tabSelected="1" zoomScale="85" zoomScaleNormal="85" workbookViewId="0">
      <selection activeCell="K25" sqref="K25:M25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206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8" customHeight="1" spans="1:13">
      <c r="A3" s="7">
        <v>1</v>
      </c>
      <c r="B3" s="8" t="s">
        <v>13</v>
      </c>
      <c r="C3" s="9">
        <v>8</v>
      </c>
      <c r="D3" s="9">
        <v>4</v>
      </c>
      <c r="E3" s="10">
        <f t="shared" ref="E3:E12" si="0">C3+D3</f>
        <v>12</v>
      </c>
      <c r="F3" s="10" t="s">
        <v>14</v>
      </c>
      <c r="G3" s="10">
        <f>12+0+0+0+6+13+13+13+15+9+13+9+15+13.5+15.5+11+12.5+12+5.5+11+12+9.5+17+15.5+12.5+10+11+12.5+15.5+12</f>
        <v>326.5</v>
      </c>
      <c r="H3" s="10">
        <v>330</v>
      </c>
      <c r="I3" s="10">
        <f>H3-G3</f>
        <v>3.5</v>
      </c>
      <c r="J3" s="11"/>
      <c r="K3" s="10"/>
      <c r="L3" s="10"/>
      <c r="M3" s="10">
        <v>0</v>
      </c>
    </row>
    <row r="4" s="1" customFormat="1" ht="38" customHeight="1" spans="1:13">
      <c r="A4" s="12">
        <v>2</v>
      </c>
      <c r="B4" s="8" t="s">
        <v>18</v>
      </c>
      <c r="C4" s="9">
        <v>22</v>
      </c>
      <c r="D4" s="9"/>
      <c r="E4" s="10">
        <f t="shared" si="0"/>
        <v>22</v>
      </c>
      <c r="F4" s="10" t="s">
        <v>14</v>
      </c>
      <c r="G4" s="10">
        <f>12+8+0+0+0+6+14+12+14+14+10+12+10+14+14+16+10+14+12+4+12+12+8+18+16+12+10+12+12+22</f>
        <v>330</v>
      </c>
      <c r="H4" s="13"/>
      <c r="I4" s="13"/>
      <c r="J4" s="11"/>
      <c r="K4" s="10"/>
      <c r="L4" s="10"/>
      <c r="M4" s="10"/>
    </row>
    <row r="5" s="1" customFormat="1" ht="38" customHeight="1" spans="1:13">
      <c r="A5" s="12">
        <v>3</v>
      </c>
      <c r="B5" s="8" t="s">
        <v>21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65+0+0+0+0+0+0+0+0+0+0+0+0+0+0+0+0+0+0+0+0+0+0+0+0+0+0+0+0+0</f>
        <v>65</v>
      </c>
      <c r="H5" s="10">
        <v>4950</v>
      </c>
      <c r="I5" s="10">
        <f>H5-G5-G7-G6</f>
        <v>509</v>
      </c>
      <c r="J5" s="14"/>
      <c r="K5" s="10"/>
      <c r="L5" s="10"/>
      <c r="M5" s="10"/>
    </row>
    <row r="6" s="1" customFormat="1" ht="38" customHeight="1" spans="1:13">
      <c r="A6" s="15"/>
      <c r="B6" s="8" t="s">
        <v>23</v>
      </c>
      <c r="C6" s="10">
        <v>10</v>
      </c>
      <c r="D6" s="10">
        <v>101</v>
      </c>
      <c r="E6" s="10">
        <f t="shared" si="0"/>
        <v>111</v>
      </c>
      <c r="F6" s="10" t="s">
        <v>14</v>
      </c>
      <c r="G6" s="10">
        <f>0+0+0+0+183+194+174+196+189+174+99+228+173+212+203+172+165+64+196+141+172+106+192+189+168+147+112+182+219+111</f>
        <v>4361</v>
      </c>
      <c r="H6" s="15"/>
      <c r="I6" s="15"/>
      <c r="J6" s="11"/>
      <c r="K6" s="10"/>
      <c r="L6" s="10"/>
      <c r="M6" s="16"/>
    </row>
    <row r="7" s="1" customFormat="1" ht="38" customHeight="1" spans="1:13">
      <c r="A7" s="15"/>
      <c r="B7" s="8" t="s">
        <v>25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0+0+0+8+1+0+0+0+0+0+0+3+0+0+1+0+0+0+0+0+1+1+0+0+0+0+0+0+0+0</f>
        <v>15</v>
      </c>
      <c r="H7" s="15"/>
      <c r="I7" s="15"/>
      <c r="J7" s="11"/>
      <c r="K7" s="10"/>
      <c r="L7" s="10"/>
      <c r="M7" s="10"/>
    </row>
    <row r="8" s="1" customFormat="1" ht="38" customHeight="1" spans="1:13">
      <c r="A8" s="15"/>
      <c r="B8" s="8" t="s">
        <v>27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0+0+0+0+0+0+0+0+0+0+0+0+0+0+0+0+0+0+0+0+0+0+0+0+0+0+0+0+0+0</f>
        <v>0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29</v>
      </c>
      <c r="C9" s="13">
        <v>30.48</v>
      </c>
      <c r="D9" s="13"/>
      <c r="E9" s="10">
        <f t="shared" si="0"/>
        <v>30.48</v>
      </c>
      <c r="F9" s="13" t="s">
        <v>14</v>
      </c>
      <c r="G9" s="10">
        <f>0+31.23+0+31.02+0+30.93+30.89+30.97+30.96+0+31.05+30.81+0+0+31.58+30.96+31.28+0+0+30.94+31.23+31.45+31.67+30.99+31.02+30.78+30.81+30.69+30.57+30.48</f>
        <v>682.31</v>
      </c>
      <c r="H9" s="13">
        <v>6.08</v>
      </c>
      <c r="I9" s="13">
        <f>H9-K10</f>
        <v>-0.0950129999999998</v>
      </c>
      <c r="J9" s="19" t="s">
        <v>30</v>
      </c>
      <c r="K9" s="10">
        <v>20</v>
      </c>
      <c r="L9" s="10">
        <v>0.92</v>
      </c>
      <c r="M9" s="20"/>
    </row>
    <row r="10" s="1" customFormat="1" ht="25" customHeight="1" spans="1:13">
      <c r="A10" s="7">
        <v>5</v>
      </c>
      <c r="B10" s="8" t="s">
        <v>31</v>
      </c>
      <c r="C10" s="10">
        <v>8.1945</v>
      </c>
      <c r="D10" s="10">
        <v>2.0115</v>
      </c>
      <c r="E10" s="10">
        <f t="shared" si="0"/>
        <v>10.206</v>
      </c>
      <c r="F10" s="10" t="s">
        <v>14</v>
      </c>
      <c r="G10" s="10">
        <f>6.831+0+0+0+6.6555+7.614+14.958+12.744+10.611+5.832+10.314+9.369+6.1965+9.4635+9.1395+9.774+8.532+7.128+9.45+7.4385+9.585+6.2775+9.18+8.694+11.2995+6.8985+9.1935+7.479+8.775+10.206</f>
        <v>239.6385</v>
      </c>
      <c r="H10" s="10"/>
      <c r="I10" s="10">
        <f>G10/(G3*0.1865)</f>
        <v>3.93545155582196</v>
      </c>
      <c r="J10" s="19" t="s">
        <v>32</v>
      </c>
      <c r="K10" s="20">
        <f>0+0.268578+0+0.257466+0+0.256719+0.253298+0.27873+0.281736+0+0.27945+0.271128+0+0+0.281062+0.275544+0.284648+0+0+0.287742+0.296685+0.305065+0.288197+0.291306+0.297792+0.283176+0.286533+0.291555+0.278187+0.280416</f>
        <v>6.175013</v>
      </c>
      <c r="L10" s="10"/>
      <c r="M10" s="10">
        <f>C9*L9/100</f>
        <v>0.280416</v>
      </c>
    </row>
    <row r="11" s="1" customFormat="1" ht="25" customHeight="1" spans="1:13">
      <c r="A11" s="7">
        <v>6</v>
      </c>
      <c r="B11" s="8" t="s">
        <v>33</v>
      </c>
      <c r="C11" s="10">
        <v>18.0688</v>
      </c>
      <c r="D11" s="10">
        <v>0</v>
      </c>
      <c r="E11" s="10">
        <f t="shared" si="0"/>
        <v>18.0688</v>
      </c>
      <c r="F11" s="10" t="s">
        <v>14</v>
      </c>
      <c r="G11" s="10">
        <f>14.352+0+0+0+6.7344+17.5536+13.2664+17.664+16.56+14.6096+11.5+16.56+10.9848+11.6472+15.6216+16.2104+14.2232+14.4808+6.9736+5.3728+12.0152+12.3464+14.5912+16.8912+13.2664+12.42+12.9168+10.9664+12.052+18.0688</f>
        <v>359.8488</v>
      </c>
      <c r="H11" s="10"/>
      <c r="I11" s="10">
        <f>G11/(G3*0.1865)</f>
        <v>5.90959933324849</v>
      </c>
      <c r="J11" s="11"/>
      <c r="K11" s="10"/>
      <c r="L11" s="10"/>
      <c r="M11" s="21"/>
    </row>
    <row r="12" s="1" customFormat="1" ht="25" customHeight="1" spans="1:13">
      <c r="A12" s="7">
        <v>7</v>
      </c>
      <c r="B12" s="8" t="s">
        <v>34</v>
      </c>
      <c r="C12" s="10">
        <v>231</v>
      </c>
      <c r="D12" s="10">
        <v>34</v>
      </c>
      <c r="E12" s="10">
        <f t="shared" si="0"/>
        <v>265</v>
      </c>
      <c r="F12" s="10" t="s">
        <v>35</v>
      </c>
      <c r="G12" s="10">
        <f>472+11+0+16+206+451+454+465+490+368+388+385+456+440+477+407+450+317+323+411+451+296+501+459+367+453+211+435+434+265</f>
        <v>10859</v>
      </c>
      <c r="H12" s="10">
        <f>G12*1.05</f>
        <v>11401.95</v>
      </c>
      <c r="I12" s="10"/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36</v>
      </c>
      <c r="C13" s="10">
        <v>270</v>
      </c>
      <c r="D13" s="10">
        <v>17</v>
      </c>
      <c r="E13" s="10">
        <f t="shared" ref="E13:E21" si="1">D13+C13</f>
        <v>287</v>
      </c>
      <c r="F13" s="10" t="s">
        <v>35</v>
      </c>
      <c r="G13" s="10">
        <f>372+0+0+0+195+420+417+363+467+242+386+282+393+382+374+341+333+312+195.6+316+374+231+423+383+318+333+230+422+395+287</f>
        <v>9186.6</v>
      </c>
      <c r="H13" s="10"/>
      <c r="I13" s="10"/>
      <c r="J13" s="14"/>
      <c r="K13" s="10"/>
      <c r="L13" s="10"/>
      <c r="M13" s="10"/>
    </row>
    <row r="14" s="1" customFormat="1" ht="25" customHeight="1" spans="1:13">
      <c r="A14" s="7">
        <v>9</v>
      </c>
      <c r="B14" s="8" t="s">
        <v>37</v>
      </c>
      <c r="C14" s="10">
        <v>406.7</v>
      </c>
      <c r="D14" s="10">
        <v>447.08</v>
      </c>
      <c r="E14" s="10">
        <f t="shared" si="1"/>
        <v>853.78</v>
      </c>
      <c r="F14" s="10" t="s">
        <v>35</v>
      </c>
      <c r="G14" s="10">
        <f>209.75+0+0+0+370.64+733.22+886.44+846.58+728.24+930.46+896.96+902.95+629.84+963.57+867.96+679.89+781.38+634.77+618.01+738.09+740.32+767.61+841.08+718.96+833.13+901.56+843.5+855.12+884.37+853.78</f>
        <v>20658.18</v>
      </c>
      <c r="H14" s="10"/>
      <c r="I14" s="10"/>
      <c r="J14" s="19" t="s">
        <v>38</v>
      </c>
      <c r="K14" s="10">
        <v>3.05</v>
      </c>
      <c r="L14" s="10">
        <v>3.04</v>
      </c>
      <c r="M14" s="10"/>
    </row>
    <row r="15" s="1" customFormat="1" ht="25" customHeight="1" spans="1:13">
      <c r="A15" s="7">
        <v>10</v>
      </c>
      <c r="B15" s="8" t="s">
        <v>39</v>
      </c>
      <c r="C15" s="10">
        <v>21</v>
      </c>
      <c r="D15" s="10">
        <v>0</v>
      </c>
      <c r="E15" s="10">
        <f t="shared" si="1"/>
        <v>21</v>
      </c>
      <c r="F15" s="10" t="s">
        <v>14</v>
      </c>
      <c r="G15" s="10">
        <f>24+0+0+0+21+27+33+30+33+21+30+21+33+30+33+27+30+24+17+30+30+19+36+33+27+30+22+33+36+21</f>
        <v>751</v>
      </c>
      <c r="H15" s="10"/>
      <c r="I15" s="10">
        <f>G15/(G3*0.1865)</f>
        <v>12.3332608008408</v>
      </c>
      <c r="J15" s="19" t="s">
        <v>40</v>
      </c>
      <c r="K15" s="20">
        <f>0.641835+0+0+0+1.0970944+2.2635878+2.9007565+2.4932712+2.1651567+2.7262642+2.5433786+2.6076891+1.9524176+3.0179391+2.7017752+2.2869365+2.5432458+2.029962+1.9472319+2.344302+2.3083564+2.5310919+2.8058577+2.2944464+2.8788072+2.9481112+2.724077+2.7359484+2.690186+2.5995582</f>
        <v>64.779284</v>
      </c>
      <c r="L15" s="10"/>
      <c r="M15" s="10">
        <f>(C14*K14+L14*D14)/1000</f>
        <v>2.5995582</v>
      </c>
    </row>
    <row r="16" s="1" customFormat="1" ht="25" customHeight="1" spans="1:13">
      <c r="A16" s="7">
        <v>11</v>
      </c>
      <c r="B16" s="8" t="s">
        <v>41</v>
      </c>
      <c r="C16" s="7">
        <v>0</v>
      </c>
      <c r="D16" s="7">
        <v>0</v>
      </c>
      <c r="E16" s="10">
        <f t="shared" si="1"/>
        <v>0</v>
      </c>
      <c r="F16" s="10" t="s">
        <v>14</v>
      </c>
      <c r="G16" s="10">
        <f>0+0+0+0+0+0.0875+0+0.075+0+0.0875+0.0375+0.0375+0+0+0.0375+0.0375+0.0375+0+0.075+0.0625+0+0+0+0+0.0875+0.075+0+0+0+0</f>
        <v>0.7375</v>
      </c>
      <c r="H16" s="22"/>
      <c r="I16" s="22"/>
      <c r="J16" s="11"/>
      <c r="K16" s="22"/>
      <c r="L16" s="22"/>
      <c r="M16" s="10"/>
    </row>
    <row r="17" s="1" customFormat="1" ht="25" customHeight="1" spans="1:13">
      <c r="A17" s="12">
        <v>12</v>
      </c>
      <c r="B17" s="8" t="s">
        <v>42</v>
      </c>
      <c r="C17" s="10">
        <v>2</v>
      </c>
      <c r="D17" s="7">
        <v>0</v>
      </c>
      <c r="E17" s="10">
        <f t="shared" si="1"/>
        <v>2</v>
      </c>
      <c r="F17" s="10" t="s">
        <v>14</v>
      </c>
      <c r="G17" s="10">
        <f>2+0+0+0+0+2+0+2+0+2+2+0+2+0+2+0+2+0+2+0+2+0+2+2+0+2+0+2+0+2</f>
        <v>30</v>
      </c>
      <c r="H17" s="22"/>
      <c r="I17" s="10">
        <f>G17/(G3*0.1865)</f>
        <v>0.492673533988315</v>
      </c>
      <c r="J17" s="11"/>
      <c r="K17" s="22"/>
      <c r="L17" s="22"/>
      <c r="M17" s="10"/>
    </row>
    <row r="18" s="1" customFormat="1" ht="25" customHeight="1" spans="1:13">
      <c r="A18" s="7">
        <v>13</v>
      </c>
      <c r="B18" s="8" t="s">
        <v>43</v>
      </c>
      <c r="C18" s="10">
        <v>2</v>
      </c>
      <c r="D18" s="7">
        <v>0</v>
      </c>
      <c r="E18" s="10">
        <f t="shared" si="1"/>
        <v>2</v>
      </c>
      <c r="F18" s="10" t="s">
        <v>14</v>
      </c>
      <c r="G18" s="10">
        <f>2+0+0+0+0+2+0+2+0+2+2+0+2+0+2+0+2+0+2+0+2+0+2+2+0+2+0+2+0+2</f>
        <v>30</v>
      </c>
      <c r="H18" s="22"/>
      <c r="I18" s="10">
        <f>G18/(G3*0.1865)</f>
        <v>0.492673533988315</v>
      </c>
      <c r="J18" s="11"/>
      <c r="K18" s="22"/>
      <c r="L18" s="22"/>
      <c r="M18" s="10"/>
    </row>
    <row r="19" s="1" customFormat="1" ht="25" customHeight="1" spans="1:13">
      <c r="A19" s="7">
        <v>14</v>
      </c>
      <c r="B19" s="8" t="s">
        <v>44</v>
      </c>
      <c r="C19" s="10">
        <v>5</v>
      </c>
      <c r="D19" s="7">
        <v>2</v>
      </c>
      <c r="E19" s="10">
        <f t="shared" si="1"/>
        <v>7</v>
      </c>
      <c r="F19" s="10" t="s">
        <v>45</v>
      </c>
      <c r="G19" s="10">
        <f>5+0+0+0+3+7+8+6+7+7+7+6+8+5+12+4+8+2+13+4+8+4+9+6+4+12+6+4+9+7</f>
        <v>181</v>
      </c>
      <c r="H19" s="22"/>
      <c r="I19" s="22"/>
      <c r="J19" s="11"/>
      <c r="K19" s="22"/>
      <c r="L19" s="22"/>
      <c r="M19" s="10"/>
    </row>
    <row r="20" s="1" customFormat="1" ht="25" customHeight="1" spans="1:13">
      <c r="A20" s="7">
        <v>15</v>
      </c>
      <c r="B20" s="8" t="s">
        <v>46</v>
      </c>
      <c r="C20" s="7">
        <v>167</v>
      </c>
      <c r="D20" s="7">
        <v>648</v>
      </c>
      <c r="E20" s="10">
        <f t="shared" si="1"/>
        <v>815</v>
      </c>
      <c r="F20" s="10" t="s">
        <v>35</v>
      </c>
      <c r="G20" s="10">
        <f>507+0+0+339+1006+1051+1056+1200+1113+1132+810+1370+1187+1194+1246+1098+1056+635+1144+1095+1126+854+1192+1000+1033+1089+747+1281+1242+815</f>
        <v>28618</v>
      </c>
      <c r="H20" s="23"/>
      <c r="I20" s="10">
        <f>E20/M20</f>
        <v>58.2142857142857</v>
      </c>
      <c r="J20" s="19" t="s">
        <v>47</v>
      </c>
      <c r="K20" s="10">
        <f>7.5+0+0+6+24+24+24+24+24+24+15.5+24+24+24+24+24+24+11.5+24+24+24+17+24+24+24+22.5+14.5+24+24+14</f>
        <v>588.5</v>
      </c>
      <c r="L20" s="10">
        <f>G20/K20</f>
        <v>48.6287170773152</v>
      </c>
      <c r="M20" s="10">
        <v>14</v>
      </c>
    </row>
    <row r="21" s="1" customFormat="1" ht="25" customHeight="1" spans="1:13">
      <c r="A21" s="12">
        <v>16</v>
      </c>
      <c r="B21" s="8" t="s">
        <v>48</v>
      </c>
      <c r="C21" s="7">
        <v>214</v>
      </c>
      <c r="D21" s="7">
        <v>674</v>
      </c>
      <c r="E21" s="10">
        <f t="shared" si="1"/>
        <v>888</v>
      </c>
      <c r="F21" s="10" t="s">
        <v>35</v>
      </c>
      <c r="G21" s="10">
        <f>547+0+0+662+1124+1392+1384+1483+1450+1339+986+1680+1486+1500+1565+1326+1366+691+1337+1248+1433+922+1582+1370+1298+1313+937+1624+1622+888</f>
        <v>35555</v>
      </c>
      <c r="H21" s="22"/>
      <c r="I21" s="10">
        <f>E21/M20</f>
        <v>63.4285714285714</v>
      </c>
      <c r="J21" s="11"/>
      <c r="K21" s="22"/>
      <c r="L21" s="22"/>
      <c r="M21" s="10"/>
    </row>
    <row r="22" s="1" customFormat="1" ht="25" customHeight="1" spans="1:13">
      <c r="A22" s="7">
        <v>17</v>
      </c>
      <c r="B22" s="8" t="s">
        <v>49</v>
      </c>
      <c r="C22" s="12">
        <v>25.42</v>
      </c>
      <c r="D22" s="12">
        <v>23.19</v>
      </c>
      <c r="E22" s="13"/>
      <c r="F22" s="13" t="s">
        <v>50</v>
      </c>
      <c r="G22" s="13"/>
      <c r="H22" s="24"/>
      <c r="I22" s="24"/>
      <c r="J22" s="25"/>
      <c r="K22" s="24"/>
      <c r="L22" s="24"/>
      <c r="M22" s="10"/>
    </row>
    <row r="23" s="1" customFormat="1" ht="32" customHeight="1" spans="1:13">
      <c r="A23" s="7">
        <v>18</v>
      </c>
      <c r="B23" s="26" t="s">
        <v>151</v>
      </c>
      <c r="C23" s="27" t="s">
        <v>202</v>
      </c>
      <c r="D23" s="28"/>
      <c r="E23" s="28"/>
      <c r="F23" s="28"/>
      <c r="G23" s="28"/>
      <c r="H23" s="29"/>
      <c r="I23" s="30" t="s">
        <v>20</v>
      </c>
      <c r="J23" s="26" t="s">
        <v>156</v>
      </c>
      <c r="K23" s="27" t="s">
        <v>207</v>
      </c>
      <c r="L23" s="28"/>
      <c r="M23" s="29"/>
    </row>
    <row r="24" s="1" customFormat="1" ht="32" customHeight="1" spans="1:13">
      <c r="A24" s="7">
        <v>19</v>
      </c>
      <c r="B24" s="26" t="s">
        <v>153</v>
      </c>
      <c r="C24" s="27" t="s">
        <v>203</v>
      </c>
      <c r="D24" s="28"/>
      <c r="E24" s="28"/>
      <c r="F24" s="28"/>
      <c r="G24" s="28"/>
      <c r="H24" s="29"/>
      <c r="I24" s="30" t="s">
        <v>20</v>
      </c>
      <c r="J24" s="26" t="s">
        <v>159</v>
      </c>
      <c r="K24" s="27" t="s">
        <v>208</v>
      </c>
      <c r="L24" s="28"/>
      <c r="M24" s="29"/>
    </row>
    <row r="25" s="1" customFormat="1" ht="80" customHeight="1" spans="1:13">
      <c r="A25" s="7">
        <v>20</v>
      </c>
      <c r="B25" s="31" t="s">
        <v>55</v>
      </c>
      <c r="C25" s="27" t="s">
        <v>129</v>
      </c>
      <c r="D25" s="28"/>
      <c r="E25" s="28"/>
      <c r="F25" s="28"/>
      <c r="G25" s="28"/>
      <c r="H25" s="28"/>
      <c r="I25" s="29"/>
      <c r="J25" s="32" t="s">
        <v>51</v>
      </c>
      <c r="K25" s="27" t="s">
        <v>209</v>
      </c>
      <c r="L25" s="28"/>
      <c r="M25" s="29"/>
    </row>
    <row r="26" s="1" customFormat="1" ht="14" customHeight="1" spans="1:13">
      <c r="C26" s="33"/>
      <c r="D26" s="33"/>
      <c r="J26" s="34"/>
    </row>
    <row r="27" s="1" customFormat="1" ht="45" customHeight="1" spans="1:13">
      <c r="A27" s="5" t="s">
        <v>210</v>
      </c>
    </row>
    <row r="28" s="1" customFormat="1" ht="30" customHeight="1" spans="1:13">
      <c r="A28" s="6" t="s">
        <v>58</v>
      </c>
      <c r="B28" s="6" t="s">
        <v>59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7">
        <v>1</v>
      </c>
      <c r="B29" s="8" t="s">
        <v>60</v>
      </c>
      <c r="C29" s="10">
        <v>0</v>
      </c>
      <c r="D29" s="10">
        <v>0</v>
      </c>
      <c r="E29" s="10">
        <f t="shared" ref="E29:E35" si="2">D29+C29</f>
        <v>0</v>
      </c>
      <c r="F29" s="10" t="s">
        <v>35</v>
      </c>
      <c r="G29" s="10">
        <f>0+0+0+0+0+0+0+0+0+0+0+0+0+0+0+0+0+0+0+0+0+0+0+21.34+0+0+0+0+0+0</f>
        <v>21.34</v>
      </c>
      <c r="H29" s="10"/>
      <c r="I29" s="10"/>
      <c r="J29" s="11"/>
      <c r="K29" s="22"/>
      <c r="L29" s="22"/>
      <c r="M29" s="10"/>
    </row>
    <row r="30" s="1" customFormat="1" ht="25" customHeight="1" spans="1:13">
      <c r="A30" s="7">
        <v>2</v>
      </c>
      <c r="B30" s="8" t="s">
        <v>61</v>
      </c>
      <c r="C30" s="10">
        <v>6.3</v>
      </c>
      <c r="D30" s="10">
        <v>6.37</v>
      </c>
      <c r="E30" s="10">
        <f t="shared" si="2"/>
        <v>12.67</v>
      </c>
      <c r="F30" s="10" t="s">
        <v>35</v>
      </c>
      <c r="G30" s="10">
        <f>0+0+0+0+0+0+12.6+12.59+14.7+16.7+8.28+16.61+16.56+16.62+16.74+16.66+16.65+0+0+21.7+16.7+14.82+12.61+0+0+13.05+12.57+12.55+6.24+12.67</f>
        <v>287.62</v>
      </c>
      <c r="H30" s="10"/>
      <c r="I30" s="10"/>
      <c r="J30" s="11"/>
      <c r="K30" s="22"/>
      <c r="L30" s="22"/>
      <c r="M30" s="21"/>
    </row>
    <row r="31" s="1" customFormat="1" ht="25" customHeight="1" spans="1:13">
      <c r="A31" s="7">
        <v>3</v>
      </c>
      <c r="B31" s="8" t="s">
        <v>62</v>
      </c>
      <c r="C31" s="10">
        <v>10</v>
      </c>
      <c r="D31" s="10">
        <v>10</v>
      </c>
      <c r="E31" s="10">
        <f t="shared" si="2"/>
        <v>20</v>
      </c>
      <c r="F31" s="10" t="s">
        <v>35</v>
      </c>
      <c r="G31" s="10">
        <f>9+33+13+24+43.31+38+19+17+26+16+38+42.27+10+19+38+8+29+51.3+22+17+26+21+37+54+27+36+29+18+27+20</f>
        <v>807.88</v>
      </c>
      <c r="H31" s="10"/>
      <c r="I31" s="10"/>
      <c r="J31" s="11"/>
      <c r="K31" s="22"/>
      <c r="L31" s="22"/>
      <c r="M31" s="21"/>
    </row>
    <row r="32" s="1" customFormat="1" ht="25" customHeight="1" spans="1:13">
      <c r="A32" s="7">
        <v>4</v>
      </c>
      <c r="B32" s="8" t="s">
        <v>31</v>
      </c>
      <c r="C32" s="10">
        <v>0</v>
      </c>
      <c r="D32" s="10">
        <v>0</v>
      </c>
      <c r="E32" s="10">
        <f t="shared" si="2"/>
        <v>0</v>
      </c>
      <c r="F32" s="10" t="s">
        <v>14</v>
      </c>
      <c r="G32" s="10">
        <f>0+0+0+0+0+0+0+0+8.1945+5.4135+14.796+0+12.3255+0+9.1665+5.94+16.2675+0+0+0+14.337+3.5235+14.148+0+0+0+6.8985+0+7.0605+0</f>
        <v>118.071</v>
      </c>
      <c r="H32" s="10"/>
      <c r="J32" s="11"/>
      <c r="K32" s="22"/>
      <c r="L32" s="22"/>
      <c r="M32" s="22"/>
    </row>
    <row r="33" s="1" customFormat="1" ht="25" customHeight="1" spans="1:13">
      <c r="A33" s="7">
        <v>5</v>
      </c>
      <c r="B33" s="8" t="s">
        <v>33</v>
      </c>
      <c r="C33" s="10">
        <v>0</v>
      </c>
      <c r="D33" s="10">
        <v>0</v>
      </c>
      <c r="E33" s="10">
        <f t="shared" si="2"/>
        <v>0</v>
      </c>
      <c r="F33" s="10" t="s">
        <v>14</v>
      </c>
      <c r="G33" s="10">
        <f>0+0+0+0+0+0+0+0+0+0+0+0+0+0+0+0+0+0+0+0+0+0+0+0+0+0+0+0+0+0</f>
        <v>0</v>
      </c>
      <c r="H33" s="10"/>
      <c r="I33" s="10"/>
      <c r="J33" s="14"/>
      <c r="K33" s="22"/>
      <c r="L33" s="22"/>
      <c r="M33" s="22"/>
    </row>
    <row r="34" s="1" customFormat="1" ht="25" customHeight="1" spans="1:13">
      <c r="A34" s="7">
        <v>6</v>
      </c>
      <c r="B34" s="8" t="s">
        <v>63</v>
      </c>
      <c r="C34" s="10">
        <v>0</v>
      </c>
      <c r="D34" s="10">
        <v>0</v>
      </c>
      <c r="E34" s="10">
        <f t="shared" si="2"/>
        <v>0</v>
      </c>
      <c r="F34" s="10" t="s">
        <v>35</v>
      </c>
      <c r="G34" s="10">
        <f>580+604+307+408+430+215+238+250+321+330+333+338+268+307+272+0+145+595+589+591+590+260+0+210+552+507+588+592+133+0</f>
        <v>10553</v>
      </c>
      <c r="H34" s="10"/>
      <c r="I34" s="10"/>
      <c r="J34" s="35"/>
      <c r="K34" s="22"/>
      <c r="L34" s="10"/>
      <c r="M34" s="22"/>
    </row>
    <row r="35" s="1" customFormat="1" ht="25" customHeight="1" spans="1:13">
      <c r="A35" s="7">
        <v>7</v>
      </c>
      <c r="B35" s="8" t="s">
        <v>64</v>
      </c>
      <c r="C35" s="10">
        <v>499</v>
      </c>
      <c r="D35" s="10">
        <v>497</v>
      </c>
      <c r="E35" s="10">
        <f t="shared" si="2"/>
        <v>996</v>
      </c>
      <c r="F35" s="10" t="s">
        <v>35</v>
      </c>
      <c r="G35" s="10">
        <f>1010+819+776+499+966+1008+1007+1010+1005+1008+1008+980+786+1014+1016+1015+1015+972+986+1010+1007+1007+1006+1000+999+879+859+875+992+996</f>
        <v>28530</v>
      </c>
      <c r="H35" s="10"/>
      <c r="I35" s="10"/>
      <c r="J35" s="36"/>
      <c r="K35" s="22"/>
      <c r="L35" s="10"/>
      <c r="M35" s="22"/>
    </row>
    <row r="36" s="1" customFormat="1" ht="25" customHeight="1" spans="1:13">
      <c r="A36" s="7">
        <v>8</v>
      </c>
      <c r="B36" s="8" t="s">
        <v>65</v>
      </c>
      <c r="C36" s="10">
        <v>0</v>
      </c>
      <c r="D36" s="10">
        <v>0</v>
      </c>
      <c r="E36" s="10">
        <f>C36+D36</f>
        <v>0</v>
      </c>
      <c r="F36" s="10" t="s">
        <v>35</v>
      </c>
      <c r="G36" s="10">
        <f>0+0+0+0+0+0+0+0+0+0+0+0+0+0+0+0+0+0+0+0+0+0+0+0+0+0+0+0+0+0</f>
        <v>0</v>
      </c>
      <c r="H36" s="22"/>
      <c r="I36" s="7">
        <v>405</v>
      </c>
      <c r="J36" s="14"/>
      <c r="K36" s="37"/>
      <c r="L36" s="27"/>
      <c r="M36" s="38"/>
    </row>
    <row r="37" s="1" customFormat="1" ht="25" customHeight="1" spans="1:13">
      <c r="A37" s="7">
        <v>9</v>
      </c>
      <c r="B37" s="8" t="s">
        <v>66</v>
      </c>
      <c r="C37" s="10">
        <v>0</v>
      </c>
      <c r="D37" s="10">
        <v>0</v>
      </c>
      <c r="E37" s="10">
        <f>C37+D37</f>
        <v>0</v>
      </c>
      <c r="F37" s="10" t="s">
        <v>35</v>
      </c>
      <c r="G37" s="10">
        <f>0+0+0+0+0+0+0+0+0+0+0+0+0+0+0+0+0+0+0+0+0+0+0+0+0+0+0+0+0+0</f>
        <v>0</v>
      </c>
      <c r="H37" s="22"/>
      <c r="I37" s="7">
        <v>66.8822</v>
      </c>
      <c r="J37" s="35"/>
      <c r="K37" s="37"/>
      <c r="L37" s="27"/>
      <c r="M37" s="38"/>
    </row>
    <row r="38" s="1" customFormat="1" ht="25" customHeight="1" spans="1:13">
      <c r="A38" s="7">
        <v>10</v>
      </c>
      <c r="B38" s="8" t="s">
        <v>67</v>
      </c>
      <c r="C38" s="7">
        <v>3</v>
      </c>
      <c r="D38" s="7">
        <v>0</v>
      </c>
      <c r="E38" s="10">
        <f>D38+C38</f>
        <v>3</v>
      </c>
      <c r="F38" s="10" t="s">
        <v>45</v>
      </c>
      <c r="G38" s="10">
        <f>0+0+2+0+0+0+2+0+3+4+2+2+4+6+3+4+4+0+1+5+4+3+3+0+0+3+2+2+0+3</f>
        <v>62</v>
      </c>
      <c r="H38" s="22"/>
      <c r="I38" s="10">
        <v>0</v>
      </c>
      <c r="J38" s="35"/>
      <c r="K38" s="27"/>
      <c r="L38" s="19" t="s">
        <v>68</v>
      </c>
      <c r="M38" s="7">
        <v>8</v>
      </c>
    </row>
    <row r="39" s="1" customFormat="1" ht="80" customHeight="1" spans="1:13">
      <c r="A39" s="7">
        <v>11</v>
      </c>
      <c r="B39" s="32" t="s">
        <v>55</v>
      </c>
      <c r="C39" s="27" t="s">
        <v>69</v>
      </c>
      <c r="D39" s="28"/>
      <c r="E39" s="28"/>
      <c r="F39" s="28"/>
      <c r="G39" s="28"/>
      <c r="H39" s="28"/>
      <c r="I39" s="28"/>
      <c r="J39" s="28"/>
      <c r="K39" s="28"/>
      <c r="L39" s="28"/>
      <c r="M39" s="29"/>
    </row>
    <row r="47" s="1" customFormat="1" spans="1:13">
      <c r="C47" s="33"/>
      <c r="D47" s="33"/>
      <c r="J47" s="34"/>
    </row>
    <row r="48" spans="1:13">
      <c r="L48" s="1"/>
    </row>
  </sheetData>
  <mergeCells count="12">
    <mergeCell ref="A1:M1"/>
    <mergeCell ref="C23:H23"/>
    <mergeCell ref="K23:M23"/>
    <mergeCell ref="C24:H24"/>
    <mergeCell ref="K24:M24"/>
    <mergeCell ref="C25:I25"/>
    <mergeCell ref="K25:M25"/>
    <mergeCell ref="A27:M27"/>
    <mergeCell ref="C39:M39"/>
    <mergeCell ref="A5:A8"/>
    <mergeCell ref="H5:H8"/>
    <mergeCell ref="I5:I8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30</vt:i4>
      </vt:variant>
    </vt:vector>
  </HeadingPairs>
  <TitlesOfParts>
    <vt:vector size="30" baseType="lpstr">
      <vt:lpstr>5.31</vt:lpstr>
      <vt:lpstr>6.1</vt:lpstr>
      <vt:lpstr>6.2</vt:lpstr>
      <vt:lpstr>6.3</vt:lpstr>
      <vt:lpstr>6.4</vt:lpstr>
      <vt:lpstr>6.5</vt:lpstr>
      <vt:lpstr>6.6</vt:lpstr>
      <vt:lpstr>6.7</vt:lpstr>
      <vt:lpstr>6.8</vt:lpstr>
      <vt:lpstr>6.9</vt:lpstr>
      <vt:lpstr>6.10</vt:lpstr>
      <vt:lpstr>6.11</vt:lpstr>
      <vt:lpstr>6.12</vt:lpstr>
      <vt:lpstr>6.13</vt:lpstr>
      <vt:lpstr>6.14</vt:lpstr>
      <vt:lpstr>6.15</vt:lpstr>
      <vt:lpstr>6.16</vt:lpstr>
      <vt:lpstr>6.17</vt:lpstr>
      <vt:lpstr>6.18</vt:lpstr>
      <vt:lpstr>6.19</vt:lpstr>
      <vt:lpstr>6.20</vt:lpstr>
      <vt:lpstr>6.21</vt:lpstr>
      <vt:lpstr>6.22</vt:lpstr>
      <vt:lpstr>6.23</vt:lpstr>
      <vt:lpstr>6.24</vt:lpstr>
      <vt:lpstr>6.25</vt:lpstr>
      <vt:lpstr>6.26</vt:lpstr>
      <vt:lpstr>6.27</vt:lpstr>
      <vt:lpstr>6.28</vt:lpstr>
      <vt:lpstr>6.29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103统计员陆春晓</cp:lastModifiedBy>
  <dcterms:created xsi:type="dcterms:W3CDTF">2025-12-26T07:02:00Z</dcterms:created>
  <dcterms:modified xsi:type="dcterms:W3CDTF">2026-06-30T03:47:20Z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6232A2274CB54920BC2CDF5A93C2DEC2_13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