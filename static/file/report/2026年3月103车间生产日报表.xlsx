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3" activeTab="30"/>
  </bookViews>
  <sheets>
    <sheet name="2.28" sheetId="1" r:id="rId1"/>
    <sheet name="3.01" sheetId="2" r:id="rId2"/>
    <sheet name="3.02" sheetId="3" r:id="rId3"/>
    <sheet name="3.03" sheetId="4" r:id="rId4"/>
    <sheet name="3.04" sheetId="5" r:id="rId5"/>
    <sheet name="3.05" sheetId="6" r:id="rId6"/>
    <sheet name="3.06" sheetId="7" r:id="rId7"/>
    <sheet name="3.07" sheetId="8" r:id="rId8"/>
    <sheet name="3.08" sheetId="9" r:id="rId9"/>
    <sheet name="3.09" sheetId="10" r:id="rId10"/>
    <sheet name="3.10" sheetId="11" r:id="rId11"/>
    <sheet name="3.11" sheetId="12" r:id="rId12"/>
    <sheet name="3.12" sheetId="13" r:id="rId13"/>
    <sheet name="3.13" sheetId="14" r:id="rId14"/>
    <sheet name="3.14" sheetId="15" r:id="rId15"/>
    <sheet name="3.15" sheetId="16" r:id="rId16"/>
    <sheet name="3.16" sheetId="17" r:id="rId17"/>
    <sheet name="3.17" sheetId="18" r:id="rId18"/>
    <sheet name="3.18" sheetId="19" r:id="rId19"/>
    <sheet name="3.19" sheetId="20" r:id="rId20"/>
    <sheet name="3.20" sheetId="21" r:id="rId21"/>
    <sheet name="3.21" sheetId="22" r:id="rId22"/>
    <sheet name="3.22" sheetId="23" r:id="rId23"/>
    <sheet name="3.23" sheetId="24" r:id="rId24"/>
    <sheet name="3.24" sheetId="25" r:id="rId25"/>
    <sheet name="3.25" sheetId="26" r:id="rId26"/>
    <sheet name="3.26" sheetId="27" r:id="rId27"/>
    <sheet name="3.27" sheetId="28" r:id="rId28"/>
    <sheet name="3.28" sheetId="29" r:id="rId29"/>
    <sheet name="3.29" sheetId="30" r:id="rId30"/>
    <sheet name="3.30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J14" authorId="0">
      <text>
        <r>
          <rPr>
            <sz val="10"/>
            <rFont val="宋体"/>
            <charset val="134"/>
          </rPr>
          <t>admin:
接锂金属量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H22" authorId="0">
      <text>
        <r>
          <rPr>
            <sz val="10"/>
            <rFont val="宋体"/>
            <charset val="134"/>
          </rPr>
          <t>admin:
运行时间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J14" authorId="0">
      <text>
        <r>
          <rPr>
            <sz val="10"/>
            <rFont val="宋体"/>
            <charset val="134"/>
          </rPr>
          <t>admin:
接锂金属量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H22" authorId="0">
      <text>
        <r>
          <rPr>
            <sz val="10"/>
            <rFont val="宋体"/>
            <charset val="134"/>
          </rPr>
          <t>admin:
运行时间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  <comment ref="I43" authorId="1">
      <text>
        <r>
          <rPr>
            <sz val="10"/>
            <rFont val="宋体"/>
            <charset val="134"/>
          </rPr>
          <t xml:space="preserve">拉1包
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G9" authorId="1">
      <text>
        <r>
          <rPr>
            <sz val="10"/>
            <rFont val="宋体"/>
            <charset val="134"/>
          </rPr>
          <t>外卖硫酸锂锂金属累计</t>
        </r>
      </text>
    </comment>
    <comment ref="K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J15" authorId="0">
      <text>
        <r>
          <rPr>
            <sz val="10"/>
            <rFont val="宋体"/>
            <charset val="134"/>
          </rPr>
          <t>admin:
接锂金属量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G22" authorId="1">
      <text>
        <r>
          <rPr>
            <sz val="10"/>
            <rFont val="宋体"/>
            <charset val="134"/>
          </rPr>
          <t>锂渣回投</t>
        </r>
      </text>
    </comment>
    <comment ref="H23" authorId="0">
      <text>
        <r>
          <rPr>
            <sz val="10"/>
            <rFont val="宋体"/>
            <charset val="134"/>
          </rPr>
          <t>admin:
运行时间</t>
        </r>
      </text>
    </comment>
    <comment ref="I23" authorId="0">
      <text>
        <r>
          <rPr>
            <sz val="10"/>
            <rFont val="宋体"/>
            <charset val="134"/>
          </rPr>
          <t>admin:
小时蒸发量</t>
        </r>
      </text>
    </comment>
    <comment ref="K23" authorId="1">
      <text>
        <r>
          <rPr>
            <sz val="10"/>
            <rFont val="宋体"/>
            <charset val="134"/>
          </rPr>
          <t>蒸发累计时长</t>
        </r>
      </text>
    </comment>
    <comment ref="L23" authorId="1">
      <text>
        <r>
          <rPr>
            <sz val="10"/>
            <rFont val="宋体"/>
            <charset val="134"/>
          </rPr>
          <t>平均蒸发量</t>
        </r>
      </text>
    </comment>
    <comment ref="I24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10"/>
            <rFont val="宋体"/>
            <charset val="134"/>
          </rPr>
          <t>外卖吨数累计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sharedStrings.xml><?xml version="1.0" encoding="utf-8"?>
<sst xmlns="http://schemas.openxmlformats.org/spreadsheetml/2006/main" count="3350" uniqueCount="175">
  <si>
    <t>103车间2月28日生产情况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</si>
  <si>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</si>
  <si>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</si>
  <si>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</si>
  <si>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</si>
  <si>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</si>
  <si>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</si>
  <si>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</si>
  <si>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</si>
  <si>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</si>
  <si>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</si>
  <si>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</si>
  <si>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</si>
  <si>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</si>
  <si>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</si>
  <si>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</si>
  <si>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</si>
  <si>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</si>
  <si>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</si>
  <si>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</si>
  <si>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外售硫酸锂</t>
  </si>
  <si>
    <t>车间剩余硫酸锂量（车）</t>
  </si>
  <si>
    <t>液碱</t>
  </si>
  <si>
    <t>硫酸</t>
  </si>
  <si>
    <t>合成前液</t>
  </si>
  <si>
    <t>m³</t>
  </si>
  <si>
    <t>接102气浮除油后液</t>
  </si>
  <si>
    <t>硫化钠</t>
  </si>
  <si>
    <t>累计接料锂金属量</t>
  </si>
  <si>
    <t>碳酸钠</t>
  </si>
  <si>
    <t>偏铝酸钠</t>
  </si>
  <si>
    <t>除氟剂</t>
  </si>
  <si>
    <t>活性炭</t>
  </si>
  <si>
    <t>活性炭渣</t>
  </si>
  <si>
    <t>包</t>
  </si>
  <si>
    <t>锂渣</t>
  </si>
  <si>
    <t>/</t>
  </si>
  <si>
    <t>锂渣全部回投</t>
  </si>
  <si>
    <t>冷凝水</t>
  </si>
  <si>
    <t>蒸发累计时长\平均蒸发量</t>
  </si>
  <si>
    <t>蒸发前液进料累计量</t>
  </si>
  <si>
    <t>二效氯离子量</t>
  </si>
  <si>
    <t>g/L</t>
  </si>
  <si>
    <t>需协调事项</t>
  </si>
  <si>
    <t>1、元明粉出料中间绞龙传动方式由链条改为联轴器，绞龙整体需抬高；
2、沉锂泵机封损坏频次高，且不耐用；
3、除氟新安装的压滤泵异响大。</t>
  </si>
  <si>
    <t>维修事宜</t>
  </si>
  <si>
    <t>1、合成B釜搅拌轴晃动大，待维修；
2、碳酸钠配制槽B搅拌异响，择机维修；
3、雨水池阀门坏需维修；
4、大板式换热器清洗完后需回装；
5、MVR离心机漏料、锁门松动需加固。</t>
  </si>
  <si>
    <t>计划情况</t>
  </si>
  <si>
    <t>1、蒸发正常开机，关注蒸发量；
2、清理卫生；
3、外协施工时注意安全监护；
4、关注外排水PH、镍指标。</t>
  </si>
  <si>
    <t>104车间2月28日生产情况</t>
  </si>
  <si>
    <t>序号</t>
  </si>
  <si>
    <t>内容</t>
  </si>
  <si>
    <t>接102废液</t>
  </si>
  <si>
    <t>接102返镁液</t>
  </si>
  <si>
    <t>接生活废水</t>
  </si>
  <si>
    <t>接磷酸锂母液</t>
  </si>
  <si>
    <t>使用氧化钙</t>
  </si>
  <si>
    <t>使用自来水</t>
  </si>
  <si>
    <t>外排水</t>
  </si>
  <si>
    <t>废钴水处理量</t>
  </si>
  <si>
    <t>雨水池处理量</t>
  </si>
  <si>
    <t>除COD池处理量</t>
  </si>
  <si>
    <t>钴渣产出</t>
  </si>
  <si>
    <t>1、下雨应急水池关闭，外排打开；
2、104正常处理废水；
3、钴渣需尽快送101回投；</t>
  </si>
  <si>
    <t>补充</t>
  </si>
  <si>
    <t xml:space="preserve"> </t>
  </si>
  <si>
    <t>103车间3月1日生产情况</t>
  </si>
  <si>
    <t>1、合成B釜搅拌轴晃动大，待维修；
2、碳酸钠配制槽B搅拌异响，择机维修；
3、雨水池阀门坏需维修；
4、大板式换热器清洗完后需回装。</t>
  </si>
  <si>
    <t>104车间3月1日生产情况</t>
  </si>
  <si>
    <t>103车间3月2日生产情况</t>
  </si>
  <si>
    <t>除杂退料</t>
  </si>
  <si>
    <t>1、合成B釜搅拌轴晃动大，待维修；
2、碳酸钠配制槽B搅拌异响，择机维修；
3、雨水池阀门坏需维修；
4、大板式换热器安装；
5、203绞龙更换底座；
6、碳酸钠配置槽A泵不能远程启动，需恢复。</t>
  </si>
  <si>
    <t>1、蒸发停机；
2、清理卫生；
3、外协施工时注意安全监护；
4、关注外排水PH、镍指标。</t>
  </si>
  <si>
    <t>104车间3月2日生产情况</t>
  </si>
  <si>
    <t>103车间3月3日生产情况</t>
  </si>
  <si>
    <t>1、合成B釜搅拌轴晃动大，待维修；
2、碳酸钠配制槽B搅拌异响，择机维修；
3、大板式换热器安装；</t>
  </si>
  <si>
    <t>1、调试沸腾床，做最大产量实验；
2、蒸发正常开机，关注蒸发量；
3、清理卫生；
4、外协施工时注意安全监护；
5、关注外排水PH、镍指标。</t>
  </si>
  <si>
    <t>104车间3月3日生产情况</t>
  </si>
  <si>
    <t>103车间3月4日生产情况</t>
  </si>
  <si>
    <t>1、合成B釜搅拌轴晃动大，待维修；
2、碳酸钠配制槽B搅拌异响，择机维修；
3、大板式换热器安装，旁路关闭；
4、离心机灯恢复；
5、二级除油B渣浆化槽减速机维修。</t>
  </si>
  <si>
    <t>104车间3月4日生产情况</t>
  </si>
  <si>
    <t>103车间3月5日生产情况</t>
  </si>
  <si>
    <t>1、合成B釜搅拌轴晃动大需维修；
2、碳酸钠配制槽B搅拌异响，择机维修。</t>
  </si>
  <si>
    <t>1、调试沸腾床，做最大产量实验；
2、蒸发正常开车；
3、清理卫生；
4、外协施工时注意安全监护；
5、关注外排水PH、镍指标。</t>
  </si>
  <si>
    <t>104车间3月5日生产情况</t>
  </si>
  <si>
    <t>103车间3月6日生产情况</t>
  </si>
  <si>
    <t>1、碳酸钠配制槽B搅拌异响，择机维修；
2、103氟剂A管路加2个直接，需要通管路。</t>
  </si>
  <si>
    <t>1、因没有蒸发前液、改后的除重管漏，蒸发停机；
2、清理卫生；
3、外协施工时注意安全监护；
4、关注外排水PH、镍指标。</t>
  </si>
  <si>
    <t>104车间3月6日生产情况</t>
  </si>
  <si>
    <t>雨水池已处理完</t>
  </si>
  <si>
    <t>1、下雨应急水池关闭，外排打开；
2、104正常处理废水；
3、雨水池已处理完；</t>
  </si>
  <si>
    <t>103车间3月7日生产情况</t>
  </si>
  <si>
    <t>1、碳酸钠配制槽B搅拌异响维修；</t>
  </si>
  <si>
    <t>1、蒸发正常开机；
2、清理卫生；
3、外协施工时注意安全监护；
4、关注外排水PH、镍指标。</t>
  </si>
  <si>
    <t>104车间3月7日生产情况</t>
  </si>
  <si>
    <t>103车间3月8日生产情况</t>
  </si>
  <si>
    <t>104车间3月8日生产情况</t>
  </si>
  <si>
    <t>103车间3月9日生产情况</t>
  </si>
  <si>
    <t>1、MVR蒸发预热器上部漏需处理；
2、车间吊装区域补加护栏。</t>
  </si>
  <si>
    <t>104车间3月9日生产情况</t>
  </si>
  <si>
    <t>103车间3月10日生产情况</t>
  </si>
  <si>
    <t>1、蒸发停机；
2、清理卫生；
3、外协施工时注意安全监护；
4、关注外排水PH、镍指标；
5、清理雨水池。</t>
  </si>
  <si>
    <t>104车间3月10日生产情况</t>
  </si>
  <si>
    <t>雨水池处理完，今天清理</t>
  </si>
  <si>
    <t xml:space="preserve">1、下雨应急水池关闭，外排打开；
2、104正常处理废水；
</t>
  </si>
  <si>
    <t>103车间3月11日生产情况</t>
  </si>
  <si>
    <t>1、合成前液泵异响震动大。</t>
  </si>
  <si>
    <t>1、蒸发正常开机，关注蒸发量；
2、清理卫生；
3、外协施工时注意安全监护；
4、关注外排水PH、镍指标；
5、继续清理雨水池。</t>
  </si>
  <si>
    <t>104车间3月11日生产情况</t>
  </si>
  <si>
    <t>开始用硫酸</t>
  </si>
  <si>
    <t>1、下雨应急水池关闭，外排打开；
2、104正常处理废水；
3、104保证打进车间污泥处理，正常外排。</t>
  </si>
  <si>
    <t>103车间3月12日生产情况</t>
  </si>
  <si>
    <t>104车间3月12日生产情况</t>
  </si>
  <si>
    <t>103车间3月13日生产情况</t>
  </si>
  <si>
    <t>1、MVR冷凝水泵、排污泵维修；
2、三楼冷却塔进水口漏需维修；</t>
  </si>
  <si>
    <t>1、蒸发停机；
2、清理卫生；
3、外协施工时注意安全监护；
4、关注外排水PH、镍指标；
5、继续清理雨水池。</t>
  </si>
  <si>
    <t>104车间3月13日生产情况</t>
  </si>
  <si>
    <t>103车间3月14日生产情况</t>
  </si>
  <si>
    <t>104车间3月14日生产情况</t>
  </si>
  <si>
    <t>1、下雨应急水池关闭，外排打开；
2、104正常处理废水；</t>
  </si>
  <si>
    <t>103车间3月15日生产情况</t>
  </si>
  <si>
    <t xml:space="preserve">
1、元明粉、活性炭渣库房没地方放；</t>
  </si>
  <si>
    <t>104车间3月15日生产情况</t>
  </si>
  <si>
    <t>103车间3月16日生产情况</t>
  </si>
  <si>
    <t>1、元明粉出料中间绞龙传动方式由链条改为联轴器，绞龙整体需抬高；
2、沉锂泵机封损坏频次高，且不耐用；
3、除氟新安装的压滤泵异响大；
4、合层D釜拆除折流板。</t>
  </si>
  <si>
    <t>104车间3月16日生产情况</t>
  </si>
  <si>
    <t>103车间3月17日生产情况</t>
  </si>
  <si>
    <t>1、元明粉出料中间绞龙传动方式由链条改为联轴器，绞龙整体需抬高；
2、沉锂泵机封损坏频次高，且不耐用；
3、除氟新安装的压滤泵异响大；</t>
  </si>
  <si>
    <t>1、蒸发停机；
2、清理卫生；
3、外协施工时注意安全监护；
4、关注外排水PH、镍指标；
5、新离心机管道对接；
6、清理老二次洗液储槽、新一次浆洗槽、新二次浆洗槽。</t>
  </si>
  <si>
    <t>104车间3月17日生产情况</t>
  </si>
  <si>
    <t>103车间3月18日生产情况</t>
  </si>
  <si>
    <t>1、元明粉出料中间绞龙传动方式由链条改为联轴器，绞龙整体需抬高；
2、沉锂泵机封损坏频次高，且不耐用；
3、除氟新安装的压滤泵异响大；
4、0m层去4.5m平台东西两侧楼梯螺丝切割；
5、合成E釜合成前液进料阀漏需处理。</t>
  </si>
  <si>
    <t>1、蒸发正常开机，关注蒸发量；
2、清理卫生；
3、外协施工时注意安全监护；
4、关注外排水PH、镍指标；
5、清理二次浆洗C、D。</t>
  </si>
  <si>
    <t>104车间3月18日生产情况</t>
  </si>
  <si>
    <t>103车间3月19日生产情况</t>
  </si>
  <si>
    <t>1、蒸发停机；
2、清理卫生；
3、外协施工时注意安全监护；
4、关注外排水PH、镍指标；</t>
  </si>
  <si>
    <t>104车间3月19日生产情况</t>
  </si>
  <si>
    <t>103车间3月20日生产情况</t>
  </si>
  <si>
    <t>1、元明粉出料中间绞龙传动方式由链条改为联轴器，绞龙整体需抬高；
2、沉锂泵机封损坏频次高，且不耐用；
3、除氟新安装的压滤泵异响大；
4、一效循环一泵维修，除氟D泵维修，除氟B泵异响检查。</t>
  </si>
  <si>
    <t>1、蒸发停机；
2、清理卫生，9m层整理地面刷漆；
3、外协施工时注意安全监护；
4、关注外排水PH、镍指标。</t>
  </si>
  <si>
    <t>104车间3月20日生产情况</t>
  </si>
  <si>
    <t>103车间3月21日生产情况</t>
  </si>
  <si>
    <t>1、蒸发正常开机，关注蒸发量；
2、清理卫生，9m层整理地面刷漆；
3、外协施工时注意安全监护；
4、关注外排水PH、镍指标。</t>
  </si>
  <si>
    <t>104车间3月21日生产情况</t>
  </si>
  <si>
    <t>103车间3月22日生产情况</t>
  </si>
  <si>
    <t>剩余硫酸锂量（车）：</t>
  </si>
  <si>
    <t>累计外卖硫酸锂金属量：</t>
  </si>
  <si>
    <t>气浮除油锂金属量：</t>
  </si>
  <si>
    <t>累计接料锂金属量：</t>
  </si>
  <si>
    <t>1、蒸发正常开机，关注元明粉有无杂质；
2、清理卫生；
3、外协施工时注意安全监护；
4、关注外排水PH、镍指标。</t>
  </si>
  <si>
    <t>104车间3月22日生产情况</t>
  </si>
  <si>
    <t>103车间3月23日生产情况</t>
  </si>
  <si>
    <t>104车间3月23日生产情况</t>
  </si>
  <si>
    <t>103车间3月24日生产情况</t>
  </si>
  <si>
    <t>1、蒸发正常开机中；
2、清理卫生；
3、外协施工时注意安全监护；
4、关注外排水PH、镍指标。</t>
  </si>
  <si>
    <t>104车间3月24日生产情况</t>
  </si>
  <si>
    <t>103车间3月25日生产情况</t>
  </si>
  <si>
    <t>1、蒸发正常开机，关注元明粉有无杂质
2、清理卫生；
3、外协施工时注意安全监护；
4、关注外排水PH、镍指标。</t>
  </si>
  <si>
    <t>104车间3月25日生产情况</t>
  </si>
  <si>
    <t>103车间3月26日生产情况</t>
  </si>
  <si>
    <t>104车间3月26日生产情况</t>
  </si>
  <si>
    <t>103车间3月27日生产情况</t>
  </si>
  <si>
    <t>1、元明粉出料中间绞龙传动方式由链条改为联轴器，绞龙整体需抬高；
2、沉锂泵机封损坏频次高，且不耐用；
3、除氟新安装的压滤泵异响大；
4、硫酸钠1号离心机软连接漏；
5、除杂B泵出口管道增加蒸汽吹扫管道。</t>
  </si>
  <si>
    <t>1、蒸发停机，处理二效杂质；
2、清理卫生；
3、外协施工时注意安全监护；
4、关注外排水PH、镍指标。</t>
  </si>
  <si>
    <t>104车间3月27日生产情况</t>
  </si>
  <si>
    <t>103车间3月28日生产情况</t>
  </si>
  <si>
    <t>104车间3月28日生产情况</t>
  </si>
  <si>
    <t>103车间3月29日生产情况</t>
  </si>
  <si>
    <t>1、预调PH计，气动调节阀需要尽快提到货；</t>
  </si>
  <si>
    <t>1、元明粉出料中间绞龙传动方式由链条改为联轴器，绞龙整体需抬高；
2、沉锂泵机封损坏频次高，且不耐用；
3、除氟新安装的压滤泵异响大；
4、碳酸锂盘干机更换上部俩层72个耙叶，补焊第三层漏点，第四层耙子变形复位。</t>
  </si>
  <si>
    <t>1、蒸发退料；
2、清理卫生；
3、外协施工时注意安全监护；
4、关注外排水PH、镍指标。</t>
  </si>
  <si>
    <t>104车间3月29日生产情况</t>
  </si>
  <si>
    <t>103车间3月30日生产情况</t>
  </si>
  <si>
    <t>1、蒸发正在开机，关注元明粉有无杂质；
2、清理卫生；
3、外协施工时注意安全监护；
4、关注外排水PH、镍指标。</t>
  </si>
  <si>
    <t>104车间3月30日生产情况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</si>
</sst>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3" borderId="18">
      <alignment vertical="center"/>
    </xf>
    <xf numFmtId="0" fontId="17" fillId="4" borderId="19">
      <alignment vertical="center"/>
    </xf>
    <xf numFmtId="0" fontId="18" fillId="4" borderId="18">
      <alignment vertical="center"/>
    </xf>
    <xf numFmtId="0" fontId="19" fillId="5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4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8" xfId="0" applyBorder="1" applyAlignment="1"/>
    <xf numFmtId="0" fontId="0" fillId="0" borderId="9" xfId="0" applyBorder="1" applyAlignme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C1" activePane="topRight" state="frozen"/>
      <selection/>
      <selection pane="topRight" activeCell="G12" sqref="G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0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0.5</v>
      </c>
      <c r="D3" s="8">
        <v>7</v>
      </c>
      <c r="E3" s="9">
        <f t="shared" ref="E3:E8" si="0">C3+D3</f>
        <v>7.5</v>
      </c>
      <c r="F3" s="9" t="s">
        <v>14</v>
      </c>
      <c r="G3" s="9">
        <f>7.5</f>
        <v>7.5</v>
      </c>
      <c r="H3" s="9">
        <v>284</v>
      </c>
      <c r="I3" s="9">
        <f>H3-G3</f>
        <v>276.5</v>
      </c>
      <c r="J3" s="9"/>
      <c r="K3" s="9"/>
      <c r="L3" s="9"/>
      <c r="M3" s="9">
        <f>I3/30</f>
        <v>9.21666666666667</v>
      </c>
    </row>
    <row r="4" s="1" customFormat="1" ht="56" customHeight="1" spans="1:13">
      <c r="A4" s="10">
        <v>2</v>
      </c>
      <c r="B4" s="7" t="s">
        <v>15</v>
      </c>
      <c r="C4" s="8">
        <v>8</v>
      </c>
      <c r="D4" s="8"/>
      <c r="E4" s="9">
        <f t="shared" si="0"/>
        <v>8</v>
      </c>
      <c r="F4" s="9" t="s">
        <v>14</v>
      </c>
      <c r="G4" s="9">
        <f>8</f>
        <v>8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113</v>
      </c>
      <c r="D5" s="9">
        <v>83</v>
      </c>
      <c r="E5" s="9">
        <f t="shared" si="0"/>
        <v>196</v>
      </c>
      <c r="F5" s="9" t="s">
        <v>14</v>
      </c>
      <c r="G5" s="9">
        <f>196</f>
        <v>196</v>
      </c>
      <c r="H5" s="9">
        <v>4250</v>
      </c>
      <c r="I5" s="9">
        <f>H5-G5-G7-G6</f>
        <v>4053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1</v>
      </c>
      <c r="D7" s="9">
        <v>0</v>
      </c>
      <c r="E7" s="9">
        <f t="shared" si="0"/>
        <v>1</v>
      </c>
      <c r="F7" s="9" t="s">
        <v>14</v>
      </c>
      <c r="G7" s="9">
        <f>1</f>
        <v>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v>0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61.26</v>
      </c>
      <c r="D9" s="9"/>
      <c r="E9" s="9">
        <f>61.26</f>
        <v>61.26</v>
      </c>
      <c r="F9" s="9" t="s">
        <v>14</v>
      </c>
      <c r="G9" s="9">
        <f>0.545214</f>
        <v>0.545214</v>
      </c>
      <c r="H9" s="9">
        <v>4.6</v>
      </c>
      <c r="I9" s="9">
        <f>H9-G9</f>
        <v>4.054786</v>
      </c>
      <c r="J9" s="21" t="s">
        <v>21</v>
      </c>
      <c r="K9" s="12">
        <v>0.89</v>
      </c>
      <c r="L9" s="9">
        <f>C9*K9/100</f>
        <v>0.545214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2.916</v>
      </c>
      <c r="D11" s="9">
        <v>0</v>
      </c>
      <c r="E11" s="9">
        <f>C11+D11</f>
        <v>2.916</v>
      </c>
      <c r="F11" s="9" t="s">
        <v>14</v>
      </c>
      <c r="G11" s="9">
        <f>2.916</f>
        <v>2.916</v>
      </c>
      <c r="H11" s="9"/>
      <c r="I11" s="9">
        <f>G11/(G3*0.1865)</f>
        <v>2.08471849865952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16.5048</v>
      </c>
      <c r="D12" s="9">
        <v>0</v>
      </c>
      <c r="E12" s="9">
        <f t="shared" ref="E12:E20" si="1">D12+C12</f>
        <v>16.5048</v>
      </c>
      <c r="F12" s="9" t="s">
        <v>14</v>
      </c>
      <c r="G12" s="9">
        <f>16.5048</f>
        <v>16.5048</v>
      </c>
      <c r="H12" s="9"/>
      <c r="I12" s="9">
        <f>G12/(G3*0.1865)</f>
        <v>11.7996782841823</v>
      </c>
      <c r="J12" s="9"/>
      <c r="K12" s="9"/>
      <c r="L12" s="9"/>
      <c r="M12" s="18"/>
    </row>
    <row r="13" s="1" customFormat="1" ht="30" customHeight="1" spans="1:13">
      <c r="A13" s="6">
        <v>7</v>
      </c>
      <c r="B13" s="7" t="s">
        <v>24</v>
      </c>
      <c r="C13" s="9">
        <v>92</v>
      </c>
      <c r="D13" s="9">
        <v>235</v>
      </c>
      <c r="E13" s="9">
        <f t="shared" si="1"/>
        <v>327</v>
      </c>
      <c r="F13" s="9" t="s">
        <v>25</v>
      </c>
      <c r="G13" s="9">
        <f>327</f>
        <v>327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8</v>
      </c>
      <c r="B14" s="7" t="s">
        <v>26</v>
      </c>
      <c r="C14" s="9">
        <v>480.41</v>
      </c>
      <c r="D14" s="9">
        <v>444.47</v>
      </c>
      <c r="E14" s="9">
        <f t="shared" si="1"/>
        <v>924.88</v>
      </c>
      <c r="F14" s="9" t="s">
        <v>25</v>
      </c>
      <c r="G14" s="9">
        <f>924.88</f>
        <v>924.88</v>
      </c>
      <c r="H14" s="9"/>
      <c r="I14" s="9"/>
      <c r="J14" s="9">
        <f>(C14*K14+L14*D14)/1000</f>
        <v>2.5044003</v>
      </c>
      <c r="K14" s="9">
        <v>2.53</v>
      </c>
      <c r="L14" s="9">
        <v>2.9</v>
      </c>
      <c r="M14" s="9"/>
    </row>
    <row r="15" s="1" customFormat="1" ht="25" customHeight="1" spans="1:13">
      <c r="A15" s="6">
        <v>9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v>0</v>
      </c>
      <c r="H15" s="9"/>
      <c r="I15" s="9"/>
      <c r="J15" s="21" t="s">
        <v>28</v>
      </c>
      <c r="K15" s="12">
        <f>2.5044003</f>
        <v>2.5044003</v>
      </c>
      <c r="L15" s="9"/>
      <c r="M15" s="9"/>
    </row>
    <row r="16" s="1" customFormat="1" ht="25" customHeight="1" spans="1:13">
      <c r="A16" s="6">
        <v>10</v>
      </c>
      <c r="B16" s="7" t="s">
        <v>29</v>
      </c>
      <c r="C16" s="9">
        <v>6</v>
      </c>
      <c r="D16" s="9">
        <v>18</v>
      </c>
      <c r="E16" s="9">
        <f t="shared" si="1"/>
        <v>24</v>
      </c>
      <c r="F16" s="9" t="s">
        <v>14</v>
      </c>
      <c r="G16" s="9">
        <f>24</f>
        <v>24</v>
      </c>
      <c r="H16" s="9"/>
      <c r="I16" s="9">
        <f>G16/(G3*0.1865)</f>
        <v>17.1581769436997</v>
      </c>
      <c r="J16" s="9"/>
      <c r="K16" s="9"/>
      <c r="L16" s="9"/>
      <c r="M16" s="19"/>
    </row>
    <row r="17" s="1" customFormat="1" ht="29" customHeight="1" spans="1:13">
      <c r="A17" s="6">
        <v>11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v>0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12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</f>
        <v>2</v>
      </c>
      <c r="H18" s="19"/>
      <c r="I18" s="19">
        <f>G18/(G3*0.1865)</f>
        <v>1.42984807864164</v>
      </c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</f>
        <v>1.5</v>
      </c>
      <c r="H19" s="19"/>
      <c r="I19" s="19">
        <f>G19/(G3*0.1865)</f>
        <v>1.07238605898123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33</v>
      </c>
      <c r="C20" s="9">
        <v>4</v>
      </c>
      <c r="D20" s="6">
        <v>0</v>
      </c>
      <c r="E20" s="9">
        <f t="shared" si="1"/>
        <v>4</v>
      </c>
      <c r="F20" s="9" t="s">
        <v>34</v>
      </c>
      <c r="G20" s="9">
        <f>4</f>
        <v>4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35</v>
      </c>
      <c r="C21" s="6">
        <v>2</v>
      </c>
      <c r="D21" s="6">
        <v>2</v>
      </c>
      <c r="E21" s="9" t="s">
        <v>36</v>
      </c>
      <c r="F21" s="9" t="s">
        <v>34</v>
      </c>
      <c r="G21" s="9">
        <v>0</v>
      </c>
      <c r="H21" s="19"/>
      <c r="I21" s="19"/>
      <c r="J21" s="12" t="s">
        <v>37</v>
      </c>
      <c r="K21" s="19"/>
      <c r="L21" s="19"/>
      <c r="M21" s="9"/>
    </row>
    <row r="22" s="1" customFormat="1" ht="29" customHeight="1" spans="1:13">
      <c r="A22" s="6">
        <v>16</v>
      </c>
      <c r="B22" s="7" t="s">
        <v>38</v>
      </c>
      <c r="C22" s="6">
        <v>639</v>
      </c>
      <c r="D22" s="6">
        <v>637</v>
      </c>
      <c r="E22" s="9">
        <f>D22+C22</f>
        <v>1276</v>
      </c>
      <c r="F22" s="9" t="s">
        <v>25</v>
      </c>
      <c r="G22" s="9">
        <f>1276</f>
        <v>1276</v>
      </c>
      <c r="H22" s="20">
        <v>24</v>
      </c>
      <c r="I22" s="19">
        <f>E22/H22</f>
        <v>53.1666666666667</v>
      </c>
      <c r="J22" s="21" t="s">
        <v>39</v>
      </c>
      <c r="K22" s="9">
        <f>24</f>
        <v>24</v>
      </c>
      <c r="L22" s="9">
        <f>G22/K22</f>
        <v>53.1666666666667</v>
      </c>
      <c r="M22" s="9"/>
    </row>
    <row r="23" s="1" customFormat="1" ht="29" customHeight="1" spans="1:13">
      <c r="A23" s="6">
        <v>17</v>
      </c>
      <c r="B23" s="7" t="s">
        <v>40</v>
      </c>
      <c r="C23" s="6">
        <v>761</v>
      </c>
      <c r="D23" s="6">
        <v>838</v>
      </c>
      <c r="E23" s="9">
        <f>D23+C23</f>
        <v>1599</v>
      </c>
      <c r="F23" s="9" t="s">
        <v>25</v>
      </c>
      <c r="G23" s="9">
        <f>1599</f>
        <v>1599</v>
      </c>
      <c r="H23" s="19"/>
      <c r="I23" s="19">
        <f>E23/H22</f>
        <v>66.625</v>
      </c>
      <c r="J23" s="19"/>
      <c r="K23" s="19"/>
      <c r="L23" s="19"/>
      <c r="M23" s="9"/>
    </row>
    <row r="24" s="1" customFormat="1" ht="29" customHeight="1" spans="1:13">
      <c r="A24" s="6">
        <v>18</v>
      </c>
      <c r="B24" s="7" t="s">
        <v>41</v>
      </c>
      <c r="C24" s="6">
        <v>27.42</v>
      </c>
      <c r="D24" s="6">
        <v>26.32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19</v>
      </c>
      <c r="B25" s="22" t="s">
        <v>43</v>
      </c>
      <c r="C25" s="23" t="s">
        <v>44</v>
      </c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20</v>
      </c>
      <c r="B26" s="26" t="s">
        <v>45</v>
      </c>
      <c r="C26" s="23" t="s">
        <v>46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21</v>
      </c>
      <c r="B27" s="26" t="s">
        <v>47</v>
      </c>
      <c r="C27" s="27" t="s">
        <v>48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49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0</f>
        <v>0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0</v>
      </c>
      <c r="D32" s="9">
        <v>0</v>
      </c>
      <c r="E32" s="9">
        <f t="shared" si="2"/>
        <v>0</v>
      </c>
      <c r="F32" s="9" t="s">
        <v>25</v>
      </c>
      <c r="G32" s="9">
        <f>0</f>
        <v>0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8</v>
      </c>
      <c r="D33" s="9">
        <v>4</v>
      </c>
      <c r="E33" s="9">
        <f t="shared" si="2"/>
        <v>12</v>
      </c>
      <c r="F33" s="9" t="s">
        <v>25</v>
      </c>
      <c r="G33" s="9">
        <f>12</f>
        <v>12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</f>
        <v>0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56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</f>
        <v>0</v>
      </c>
      <c r="H36" s="9"/>
      <c r="I36" s="9"/>
      <c r="J36" s="19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</f>
        <v>0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187</v>
      </c>
      <c r="D38" s="9">
        <v>196</v>
      </c>
      <c r="E38" s="9">
        <f t="shared" si="2"/>
        <v>383</v>
      </c>
      <c r="F38" s="9" t="s">
        <v>25</v>
      </c>
      <c r="G38" s="9">
        <f>383</f>
        <v>383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</f>
        <v>0</v>
      </c>
      <c r="H40" s="19"/>
      <c r="I40" s="6">
        <f>750*0.99</f>
        <v>742.5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86.86*0.8</f>
        <v>69.488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0</v>
      </c>
      <c r="D42" s="6">
        <v>0</v>
      </c>
      <c r="E42" s="9">
        <f>D42+C42</f>
        <v>0</v>
      </c>
      <c r="F42" s="9" t="s">
        <v>34</v>
      </c>
      <c r="G42" s="9">
        <f>0</f>
        <v>0</v>
      </c>
      <c r="H42" s="19"/>
      <c r="I42" s="9">
        <v>0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63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7" workbookViewId="0">
      <pane xSplit="2" topLeftCell="C1" activePane="topRight" state="frozen"/>
      <selection/>
      <selection pane="topRight" activeCell="K15" sqref="K1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66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7.5</v>
      </c>
      <c r="D3" s="8">
        <v>8</v>
      </c>
      <c r="E3" s="9">
        <f t="shared" ref="E3:E8" si="0">C3+D3</f>
        <v>15.5</v>
      </c>
      <c r="F3" s="9" t="s">
        <v>14</v>
      </c>
      <c r="G3" s="9">
        <f>7.5+15.5</f>
        <v>23</v>
      </c>
      <c r="H3" s="9">
        <v>284</v>
      </c>
      <c r="I3" s="9">
        <f>H3-G3</f>
        <v>261</v>
      </c>
      <c r="J3" s="9"/>
      <c r="K3" s="9"/>
      <c r="L3" s="9"/>
      <c r="M3" s="9">
        <f>I3/29</f>
        <v>9</v>
      </c>
    </row>
    <row r="4" s="1" customFormat="1" ht="56" customHeight="1" spans="1:13">
      <c r="A4" s="10">
        <v>2</v>
      </c>
      <c r="B4" s="7" t="s">
        <v>15</v>
      </c>
      <c r="C4" s="8">
        <v>8</v>
      </c>
      <c r="D4" s="8"/>
      <c r="E4" s="9">
        <f t="shared" si="0"/>
        <v>8</v>
      </c>
      <c r="F4" s="9" t="s">
        <v>14</v>
      </c>
      <c r="G4" s="9">
        <f>8+8</f>
        <v>16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90</v>
      </c>
      <c r="D5" s="9">
        <v>97</v>
      </c>
      <c r="E5" s="9">
        <f t="shared" si="0"/>
        <v>187</v>
      </c>
      <c r="F5" s="9" t="s">
        <v>14</v>
      </c>
      <c r="G5" s="9">
        <f>196+187</f>
        <v>383</v>
      </c>
      <c r="H5" s="9">
        <v>4250</v>
      </c>
      <c r="I5" s="9">
        <f>H5-G5-G7-G6</f>
        <v>3864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2</v>
      </c>
      <c r="D7" s="9">
        <v>0</v>
      </c>
      <c r="E7" s="9">
        <f t="shared" si="0"/>
        <v>2</v>
      </c>
      <c r="F7" s="9" t="s">
        <v>14</v>
      </c>
      <c r="G7" s="9">
        <f>1+2</f>
        <v>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1</v>
      </c>
      <c r="E8" s="9">
        <f t="shared" si="0"/>
        <v>1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</f>
        <v>61.26</v>
      </c>
      <c r="F9" s="9" t="s">
        <v>14</v>
      </c>
      <c r="G9" s="9">
        <f>0.545214</f>
        <v>0.545214</v>
      </c>
      <c r="H9" s="9">
        <v>4.6</v>
      </c>
      <c r="I9" s="9">
        <f>H9-G9</f>
        <v>4.054786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5.9805</v>
      </c>
      <c r="D11" s="9">
        <v>0</v>
      </c>
      <c r="E11" s="9">
        <f>C11+D11</f>
        <v>5.9805</v>
      </c>
      <c r="F11" s="9" t="s">
        <v>14</v>
      </c>
      <c r="G11" s="9">
        <f>2.916+5.9805</f>
        <v>8.8965</v>
      </c>
      <c r="H11" s="9"/>
      <c r="I11" s="9">
        <f>G11/(G3*0.1865)</f>
        <v>2.07401795081012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12.9536</v>
      </c>
      <c r="D12" s="9">
        <v>0</v>
      </c>
      <c r="E12" s="9">
        <f t="shared" ref="E12:E20" si="1">D12+C12</f>
        <v>12.9536</v>
      </c>
      <c r="F12" s="9" t="s">
        <v>14</v>
      </c>
      <c r="G12" s="9">
        <f>16.5048+12.9536</f>
        <v>29.4584</v>
      </c>
      <c r="H12" s="9"/>
      <c r="I12" s="9">
        <f>G12/(G3*0.1865)</f>
        <v>6.86756032171582</v>
      </c>
      <c r="J12" s="9"/>
      <c r="K12" s="9"/>
      <c r="L12" s="9"/>
      <c r="M12" s="18"/>
    </row>
    <row r="13" s="1" customFormat="1" ht="30" customHeight="1" spans="1:13">
      <c r="A13" s="6">
        <v>7</v>
      </c>
      <c r="B13" s="7" t="s">
        <v>24</v>
      </c>
      <c r="C13" s="9">
        <v>219</v>
      </c>
      <c r="D13" s="9">
        <v>229</v>
      </c>
      <c r="E13" s="9">
        <f t="shared" si="1"/>
        <v>448</v>
      </c>
      <c r="F13" s="9" t="s">
        <v>25</v>
      </c>
      <c r="G13" s="9">
        <f>327+448</f>
        <v>775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8</v>
      </c>
      <c r="B14" s="7" t="s">
        <v>26</v>
      </c>
      <c r="C14" s="9">
        <v>462.31</v>
      </c>
      <c r="D14" s="9">
        <v>425.06</v>
      </c>
      <c r="E14" s="9">
        <f t="shared" si="1"/>
        <v>887.37</v>
      </c>
      <c r="F14" s="9" t="s">
        <v>25</v>
      </c>
      <c r="G14" s="9">
        <f>924.88+887.37</f>
        <v>1812.25</v>
      </c>
      <c r="H14" s="9"/>
      <c r="I14" s="9"/>
      <c r="J14" s="9">
        <f>(C14*K14+L14*D14)/1000</f>
        <v>2.8297459</v>
      </c>
      <c r="K14" s="9">
        <v>3.05</v>
      </c>
      <c r="L14" s="9">
        <v>3.34</v>
      </c>
      <c r="M14" s="9"/>
    </row>
    <row r="15" s="1" customFormat="1" ht="25" customHeight="1" spans="1:13">
      <c r="A15" s="6">
        <v>9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v>0</v>
      </c>
      <c r="H15" s="9"/>
      <c r="I15" s="9"/>
      <c r="J15" s="21" t="s">
        <v>28</v>
      </c>
      <c r="K15" s="12">
        <f>2.5044003+2.8297459</f>
        <v>5.3341462</v>
      </c>
      <c r="L15" s="9"/>
      <c r="M15" s="9"/>
    </row>
    <row r="16" s="1" customFormat="1" ht="25" customHeight="1" spans="1:13">
      <c r="A16" s="6">
        <v>10</v>
      </c>
      <c r="B16" s="7" t="s">
        <v>29</v>
      </c>
      <c r="C16" s="9">
        <v>18</v>
      </c>
      <c r="D16" s="9">
        <v>18</v>
      </c>
      <c r="E16" s="9">
        <f t="shared" si="1"/>
        <v>36</v>
      </c>
      <c r="F16" s="9" t="s">
        <v>14</v>
      </c>
      <c r="G16" s="9">
        <f>24+36</f>
        <v>60</v>
      </c>
      <c r="H16" s="9"/>
      <c r="I16" s="9">
        <f>G16/(G3*0.1865)</f>
        <v>13.9876442475813</v>
      </c>
      <c r="J16" s="9"/>
      <c r="K16" s="9"/>
      <c r="L16" s="9"/>
      <c r="M16" s="19"/>
    </row>
    <row r="17" s="1" customFormat="1" ht="29" customHeight="1" spans="1:13">
      <c r="A17" s="6">
        <v>11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v>0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12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</f>
        <v>4</v>
      </c>
      <c r="H18" s="19"/>
      <c r="I18" s="19">
        <f>G18/(G3*0.1865)</f>
        <v>0.93250961650542</v>
      </c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</f>
        <v>3</v>
      </c>
      <c r="H19" s="19"/>
      <c r="I19" s="19">
        <f>G19/(G3*0.1865)</f>
        <v>0.699382212379065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33</v>
      </c>
      <c r="C20" s="9">
        <v>4</v>
      </c>
      <c r="D20" s="6">
        <v>7</v>
      </c>
      <c r="E20" s="9">
        <f t="shared" si="1"/>
        <v>11</v>
      </c>
      <c r="F20" s="9" t="s">
        <v>34</v>
      </c>
      <c r="G20" s="9">
        <f>4+11</f>
        <v>15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35</v>
      </c>
      <c r="C21" s="6">
        <v>0</v>
      </c>
      <c r="D21" s="6">
        <v>0</v>
      </c>
      <c r="E21" s="9" t="s">
        <v>36</v>
      </c>
      <c r="F21" s="9" t="s">
        <v>34</v>
      </c>
      <c r="G21" s="9">
        <v>0</v>
      </c>
      <c r="H21" s="19"/>
      <c r="I21" s="19"/>
      <c r="J21" s="12" t="s">
        <v>37</v>
      </c>
      <c r="K21" s="19"/>
      <c r="L21" s="19"/>
      <c r="M21" s="9"/>
    </row>
    <row r="22" s="1" customFormat="1" ht="29" customHeight="1" spans="1:13">
      <c r="A22" s="6">
        <v>16</v>
      </c>
      <c r="B22" s="7" t="s">
        <v>38</v>
      </c>
      <c r="C22" s="6">
        <v>655</v>
      </c>
      <c r="D22" s="6">
        <v>645</v>
      </c>
      <c r="E22" s="9">
        <f>D22+C22</f>
        <v>1300</v>
      </c>
      <c r="F22" s="9" t="s">
        <v>25</v>
      </c>
      <c r="G22" s="9">
        <f>1276+1300</f>
        <v>2576</v>
      </c>
      <c r="H22" s="20">
        <v>24</v>
      </c>
      <c r="I22" s="19">
        <f>E22/H22</f>
        <v>54.1666666666667</v>
      </c>
      <c r="J22" s="21" t="s">
        <v>39</v>
      </c>
      <c r="K22" s="9">
        <f>24+24</f>
        <v>48</v>
      </c>
      <c r="L22" s="9">
        <f>G22/K22</f>
        <v>53.6666666666667</v>
      </c>
      <c r="M22" s="9"/>
    </row>
    <row r="23" s="1" customFormat="1" ht="29" customHeight="1" spans="1:13">
      <c r="A23" s="6">
        <v>17</v>
      </c>
      <c r="B23" s="7" t="s">
        <v>40</v>
      </c>
      <c r="C23" s="6">
        <v>866</v>
      </c>
      <c r="D23" s="6">
        <v>861</v>
      </c>
      <c r="E23" s="9">
        <f>D23+C23</f>
        <v>1727</v>
      </c>
      <c r="F23" s="9" t="s">
        <v>25</v>
      </c>
      <c r="G23" s="9">
        <f>1599+1727</f>
        <v>3326</v>
      </c>
      <c r="H23" s="19"/>
      <c r="I23" s="19">
        <f>E23/H22</f>
        <v>71.9583333333333</v>
      </c>
      <c r="J23" s="19"/>
      <c r="K23" s="19"/>
      <c r="L23" s="19"/>
      <c r="M23" s="9"/>
    </row>
    <row r="24" s="1" customFormat="1" ht="29" customHeight="1" spans="1:13">
      <c r="A24" s="6">
        <v>18</v>
      </c>
      <c r="B24" s="7" t="s">
        <v>41</v>
      </c>
      <c r="C24" s="6">
        <v>21.3</v>
      </c>
      <c r="D24" s="6">
        <v>22.5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19</v>
      </c>
      <c r="B25" s="22" t="s">
        <v>43</v>
      </c>
      <c r="C25" s="23" t="s">
        <v>44</v>
      </c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20</v>
      </c>
      <c r="B26" s="26" t="s">
        <v>45</v>
      </c>
      <c r="C26" s="23" t="s">
        <v>67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21</v>
      </c>
      <c r="B27" s="26" t="s">
        <v>47</v>
      </c>
      <c r="C27" s="27" t="s">
        <v>48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68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0</f>
        <v>0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6.26</v>
      </c>
      <c r="D32" s="9">
        <v>6.28</v>
      </c>
      <c r="E32" s="9">
        <f t="shared" si="2"/>
        <v>12.54</v>
      </c>
      <c r="F32" s="9" t="s">
        <v>25</v>
      </c>
      <c r="G32" s="9">
        <f>0+12.54</f>
        <v>12.54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3</v>
      </c>
      <c r="D33" s="9">
        <v>3</v>
      </c>
      <c r="E33" s="9">
        <f t="shared" si="2"/>
        <v>6</v>
      </c>
      <c r="F33" s="9" t="s">
        <v>25</v>
      </c>
      <c r="G33" s="9">
        <f>12+6</f>
        <v>18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</f>
        <v>0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56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</f>
        <v>0</v>
      </c>
      <c r="H36" s="9"/>
      <c r="I36" s="9"/>
      <c r="J36" s="19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</f>
        <v>0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205</v>
      </c>
      <c r="D38" s="9">
        <v>263</v>
      </c>
      <c r="E38" s="9">
        <f t="shared" si="2"/>
        <v>468</v>
      </c>
      <c r="F38" s="9" t="s">
        <v>25</v>
      </c>
      <c r="G38" s="9">
        <f>383+468</f>
        <v>851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</f>
        <v>0</v>
      </c>
      <c r="H40" s="19"/>
      <c r="I40" s="6">
        <f>750*1.1</f>
        <v>825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86.86*0.93</f>
        <v>80.7798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1</v>
      </c>
      <c r="D42" s="6">
        <v>0</v>
      </c>
      <c r="E42" s="9">
        <f>D42+C42</f>
        <v>1</v>
      </c>
      <c r="F42" s="9" t="s">
        <v>34</v>
      </c>
      <c r="G42" s="9">
        <f>0+1</f>
        <v>1</v>
      </c>
      <c r="H42" s="19"/>
      <c r="I42" s="9">
        <v>0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63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6" workbookViewId="0">
      <pane xSplit="2" topLeftCell="C1" activePane="topRight" state="frozen"/>
      <selection/>
      <selection pane="topRight" activeCell="O7" sqref="O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69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7</v>
      </c>
      <c r="D3" s="8">
        <v>6.5</v>
      </c>
      <c r="E3" s="9">
        <f t="shared" ref="E3:E8" si="0">C3+D3</f>
        <v>13.5</v>
      </c>
      <c r="F3" s="9" t="s">
        <v>14</v>
      </c>
      <c r="G3" s="9">
        <f>7.5+15.5+13.5</f>
        <v>36.5</v>
      </c>
      <c r="H3" s="9">
        <v>284</v>
      </c>
      <c r="I3" s="9">
        <f>H3-G3</f>
        <v>247.5</v>
      </c>
      <c r="J3" s="9"/>
      <c r="K3" s="9"/>
      <c r="L3" s="9"/>
      <c r="M3" s="9">
        <f>I3/28</f>
        <v>8.83928571428571</v>
      </c>
    </row>
    <row r="4" s="1" customFormat="1" ht="56" customHeight="1" spans="1:13">
      <c r="A4" s="10">
        <v>2</v>
      </c>
      <c r="B4" s="7" t="s">
        <v>15</v>
      </c>
      <c r="C4" s="8">
        <v>20</v>
      </c>
      <c r="D4" s="8"/>
      <c r="E4" s="9">
        <f t="shared" si="0"/>
        <v>20</v>
      </c>
      <c r="F4" s="9" t="s">
        <v>14</v>
      </c>
      <c r="G4" s="9">
        <f>8+8+20</f>
        <v>36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96</v>
      </c>
      <c r="D5" s="9">
        <v>109</v>
      </c>
      <c r="E5" s="9">
        <f t="shared" si="0"/>
        <v>205</v>
      </c>
      <c r="F5" s="9" t="s">
        <v>14</v>
      </c>
      <c r="G5" s="9">
        <f>196+187+205</f>
        <v>588</v>
      </c>
      <c r="H5" s="9">
        <v>4250</v>
      </c>
      <c r="I5" s="9">
        <f>H5-G5-G7-G6</f>
        <v>3658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1</v>
      </c>
      <c r="E7" s="9">
        <f t="shared" si="0"/>
        <v>1</v>
      </c>
      <c r="F7" s="9" t="s">
        <v>14</v>
      </c>
      <c r="G7" s="9">
        <f>3+1</f>
        <v>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>
        <v>0</v>
      </c>
      <c r="E9" s="9">
        <f>61.26</f>
        <v>61.26</v>
      </c>
      <c r="F9" s="9" t="s">
        <v>14</v>
      </c>
      <c r="G9" s="9">
        <f>0.545214</f>
        <v>0.545214</v>
      </c>
      <c r="H9" s="9">
        <v>4.6</v>
      </c>
      <c r="I9" s="9">
        <f>H9-G9</f>
        <v>4.054786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f>3.78*1.35</f>
        <v>5.103</v>
      </c>
      <c r="D11" s="9">
        <f>3.12*1.35</f>
        <v>4.212</v>
      </c>
      <c r="E11" s="9">
        <f>C11+D11</f>
        <v>9.315</v>
      </c>
      <c r="F11" s="9" t="s">
        <v>14</v>
      </c>
      <c r="G11" s="9">
        <f>2.916+5.9805+9.315</f>
        <v>18.2115</v>
      </c>
      <c r="H11" s="9"/>
      <c r="I11" s="9">
        <f>G11/(G3*0.1865)</f>
        <v>2.67530941275846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f>8.57*1.84</f>
        <v>15.7688</v>
      </c>
      <c r="D12" s="9">
        <v>0</v>
      </c>
      <c r="E12" s="9">
        <f>C12+D12</f>
        <v>15.7688</v>
      </c>
      <c r="F12" s="9" t="s">
        <v>14</v>
      </c>
      <c r="G12" s="9">
        <f>16.5048+12.9536+15.7688</f>
        <v>45.2272</v>
      </c>
      <c r="H12" s="9"/>
      <c r="I12" s="9">
        <f>G12/(G3*0.1865)</f>
        <v>6.64397517352822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270</v>
      </c>
      <c r="D13" s="9">
        <v>269</v>
      </c>
      <c r="E13" s="9">
        <f>C13+D13</f>
        <v>539</v>
      </c>
      <c r="F13" s="9"/>
      <c r="G13" s="9">
        <f>539+277+276+257+154</f>
        <v>1503</v>
      </c>
      <c r="H13" s="9">
        <f>G13*1.05</f>
        <v>1578.15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226</v>
      </c>
      <c r="D14" s="9">
        <v>213</v>
      </c>
      <c r="E14" s="9">
        <f t="shared" ref="E14:E21" si="1">D14+C14</f>
        <v>439</v>
      </c>
      <c r="F14" s="9" t="s">
        <v>25</v>
      </c>
      <c r="G14" s="9">
        <f>327+448+439</f>
        <v>1214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423.09</v>
      </c>
      <c r="D15" s="9">
        <v>416.31</v>
      </c>
      <c r="E15" s="9">
        <f t="shared" si="1"/>
        <v>839.4</v>
      </c>
      <c r="F15" s="9" t="s">
        <v>25</v>
      </c>
      <c r="G15" s="9">
        <f>924.88+887.37+839.4</f>
        <v>2651.65</v>
      </c>
      <c r="H15" s="9"/>
      <c r="I15" s="9"/>
      <c r="J15" s="9">
        <f>(C15*K15+L15*D15)/1000</f>
        <v>2.6826627</v>
      </c>
      <c r="K15" s="9">
        <v>3.31</v>
      </c>
      <c r="L15" s="9">
        <v>3.08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</f>
        <v>8.0168089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18</v>
      </c>
      <c r="D17" s="9">
        <v>15</v>
      </c>
      <c r="E17" s="9">
        <f t="shared" si="1"/>
        <v>33</v>
      </c>
      <c r="F17" s="9" t="s">
        <v>14</v>
      </c>
      <c r="G17" s="9">
        <f>24+36+33</f>
        <v>93</v>
      </c>
      <c r="H17" s="9"/>
      <c r="I17" s="9">
        <f>G17/(G3*0.1865)</f>
        <v>13.6619045870212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v>0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</f>
        <v>4</v>
      </c>
      <c r="H19" s="19"/>
      <c r="I19" s="19">
        <f>G19/(G3*0.1865)</f>
        <v>0.587608799441772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</f>
        <v>3</v>
      </c>
      <c r="H20" s="19"/>
      <c r="I20" s="19">
        <f>G20/(G3*0.1865)</f>
        <v>0.440706599581329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5</v>
      </c>
      <c r="E21" s="9">
        <f t="shared" si="1"/>
        <v>5</v>
      </c>
      <c r="F21" s="9" t="s">
        <v>34</v>
      </c>
      <c r="G21" s="9">
        <f>4+11+5</f>
        <v>20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3</v>
      </c>
      <c r="D22" s="6">
        <v>5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662</v>
      </c>
      <c r="D23" s="6">
        <v>635</v>
      </c>
      <c r="E23" s="9">
        <f>D23+C23</f>
        <v>1297</v>
      </c>
      <c r="F23" s="9" t="s">
        <v>25</v>
      </c>
      <c r="G23" s="9">
        <f>1276+1300+1297</f>
        <v>3873</v>
      </c>
      <c r="H23" s="20">
        <v>24</v>
      </c>
      <c r="I23" s="19">
        <f>E23/H23</f>
        <v>54.0416666666667</v>
      </c>
      <c r="J23" s="21" t="s">
        <v>39</v>
      </c>
      <c r="K23" s="9">
        <f>24+24+24</f>
        <v>72</v>
      </c>
      <c r="L23" s="9">
        <f>G23/K23</f>
        <v>53.7916666666667</v>
      </c>
      <c r="M23" s="9"/>
    </row>
    <row r="24" s="1" customFormat="1" ht="29" customHeight="1" spans="1:13">
      <c r="A24" s="6">
        <v>18</v>
      </c>
      <c r="B24" s="7" t="s">
        <v>40</v>
      </c>
      <c r="C24" s="6">
        <v>812</v>
      </c>
      <c r="D24" s="6">
        <v>821</v>
      </c>
      <c r="E24" s="9">
        <f>D24+C24</f>
        <v>1633</v>
      </c>
      <c r="F24" s="9" t="s">
        <v>25</v>
      </c>
      <c r="G24" s="9">
        <f>1599+1727+1633</f>
        <v>4959</v>
      </c>
      <c r="H24" s="19"/>
      <c r="I24" s="19">
        <f>E24/H23</f>
        <v>68.0416666666667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23.41</v>
      </c>
      <c r="D25" s="6">
        <v>25.11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71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72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73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5.22</v>
      </c>
      <c r="D32" s="9">
        <v>0</v>
      </c>
      <c r="E32" s="9">
        <f t="shared" ref="E32:E40" si="2">D32+C32</f>
        <v>5.22</v>
      </c>
      <c r="F32" s="9" t="s">
        <v>25</v>
      </c>
      <c r="G32" s="9">
        <f>5.22</f>
        <v>5.22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6.28</v>
      </c>
      <c r="D33" s="9">
        <v>8.33</v>
      </c>
      <c r="E33" s="9">
        <f t="shared" si="2"/>
        <v>14.61</v>
      </c>
      <c r="F33" s="9" t="s">
        <v>25</v>
      </c>
      <c r="G33" s="9">
        <f>0+12.54+14.61</f>
        <v>27.15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4</v>
      </c>
      <c r="D34" s="9">
        <v>3</v>
      </c>
      <c r="E34" s="9">
        <f t="shared" si="2"/>
        <v>7</v>
      </c>
      <c r="F34" s="9" t="s">
        <v>25</v>
      </c>
      <c r="G34" s="9">
        <f>12+6+7</f>
        <v>25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</f>
        <v>0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199</v>
      </c>
      <c r="D39" s="9">
        <v>217</v>
      </c>
      <c r="E39" s="9">
        <f t="shared" si="2"/>
        <v>416</v>
      </c>
      <c r="F39" s="9" t="s">
        <v>25</v>
      </c>
      <c r="G39" s="9">
        <f>383+468+416</f>
        <v>1267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750*1.1</f>
        <v>825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86.86*0.93</f>
        <v>80.7798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</f>
        <v>2</v>
      </c>
      <c r="H43" s="19"/>
      <c r="I43" s="9">
        <v>2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63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9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74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6.5</v>
      </c>
      <c r="D3" s="8">
        <v>6.5</v>
      </c>
      <c r="E3" s="9">
        <f t="shared" ref="E3:E8" si="0">C3+D3</f>
        <v>13</v>
      </c>
      <c r="F3" s="9" t="s">
        <v>14</v>
      </c>
      <c r="G3" s="9">
        <f>7.5+15.5+13.5+13</f>
        <v>49.5</v>
      </c>
      <c r="H3" s="9">
        <v>284</v>
      </c>
      <c r="I3" s="9">
        <f>H3-G3</f>
        <v>234.5</v>
      </c>
      <c r="J3" s="9"/>
      <c r="K3" s="9"/>
      <c r="L3" s="9"/>
      <c r="M3" s="9">
        <f>I3/27</f>
        <v>8.68518518518519</v>
      </c>
    </row>
    <row r="4" s="1" customFormat="1" ht="56" customHeight="1" spans="1:13">
      <c r="A4" s="10">
        <v>2</v>
      </c>
      <c r="B4" s="7" t="s">
        <v>15</v>
      </c>
      <c r="C4" s="8">
        <v>10</v>
      </c>
      <c r="D4" s="8"/>
      <c r="E4" s="9">
        <f t="shared" si="0"/>
        <v>10</v>
      </c>
      <c r="F4" s="9" t="s">
        <v>14</v>
      </c>
      <c r="G4" s="9">
        <f>8+8+20+10</f>
        <v>46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16</v>
      </c>
      <c r="D5" s="9">
        <v>127</v>
      </c>
      <c r="E5" s="9">
        <f t="shared" si="0"/>
        <v>143</v>
      </c>
      <c r="F5" s="9" t="s">
        <v>14</v>
      </c>
      <c r="G5" s="9">
        <f>196+187+205+143</f>
        <v>731</v>
      </c>
      <c r="H5" s="9">
        <v>4250</v>
      </c>
      <c r="I5" s="9">
        <f>H5-G5-G7-G6</f>
        <v>3515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</f>
        <v>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</f>
        <v>61.26</v>
      </c>
      <c r="F9" s="9" t="s">
        <v>14</v>
      </c>
      <c r="G9" s="9">
        <f>0.545214</f>
        <v>0.545214</v>
      </c>
      <c r="H9" s="9">
        <v>4.6</v>
      </c>
      <c r="I9" s="9">
        <f>H9-G9</f>
        <v>4.054786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5.1705</v>
      </c>
      <c r="D11" s="9">
        <v>0</v>
      </c>
      <c r="E11" s="9">
        <f>C11+D11</f>
        <v>5.1705</v>
      </c>
      <c r="F11" s="9" t="s">
        <v>14</v>
      </c>
      <c r="G11" s="9">
        <f>2.916+5.9805+9.315+5.1705</f>
        <v>23.382</v>
      </c>
      <c r="H11" s="9"/>
      <c r="I11" s="9">
        <f>G11/(G3*0.1865)</f>
        <v>2.53278089203022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13.2296</v>
      </c>
      <c r="D12" s="9">
        <v>0</v>
      </c>
      <c r="E12" s="9">
        <f>C12+D12</f>
        <v>13.2296</v>
      </c>
      <c r="F12" s="9" t="s">
        <v>14</v>
      </c>
      <c r="G12" s="9">
        <f>16.5048+12.9536+15.7688+13.2296</f>
        <v>58.4568</v>
      </c>
      <c r="H12" s="9"/>
      <c r="I12" s="9">
        <f>G12/(G3*0.1865)</f>
        <v>6.332147209359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237</v>
      </c>
      <c r="D13" s="9">
        <v>239</v>
      </c>
      <c r="E13" s="9">
        <f>C13+D13</f>
        <v>476</v>
      </c>
      <c r="F13" s="9"/>
      <c r="G13" s="9">
        <f>539+277+276+257+154+476</f>
        <v>1979</v>
      </c>
      <c r="H13" s="9">
        <f>G13*1.05</f>
        <v>2077.95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200</v>
      </c>
      <c r="D14" s="9">
        <v>211</v>
      </c>
      <c r="E14" s="9">
        <f t="shared" ref="E14:E21" si="1">D14+C14</f>
        <v>411</v>
      </c>
      <c r="F14" s="9" t="s">
        <v>25</v>
      </c>
      <c r="G14" s="9">
        <f>327+448+439+411</f>
        <v>1625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387.19</v>
      </c>
      <c r="D15" s="9">
        <v>339.47</v>
      </c>
      <c r="E15" s="9">
        <f t="shared" si="1"/>
        <v>726.66</v>
      </c>
      <c r="F15" s="9" t="s">
        <v>25</v>
      </c>
      <c r="G15" s="9">
        <f>924.88+887.37+839.4+726.66</f>
        <v>3378.31</v>
      </c>
      <c r="H15" s="9"/>
      <c r="I15" s="9"/>
      <c r="J15" s="9">
        <f>(C15*K15+L15*D15)/1000</f>
        <v>2.2986316</v>
      </c>
      <c r="K15" s="9">
        <v>3.21</v>
      </c>
      <c r="L15" s="9">
        <v>3.11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</f>
        <v>10.3154405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15</v>
      </c>
      <c r="D17" s="9">
        <v>17</v>
      </c>
      <c r="E17" s="9">
        <f t="shared" si="1"/>
        <v>32</v>
      </c>
      <c r="F17" s="9" t="s">
        <v>14</v>
      </c>
      <c r="G17" s="9">
        <f>24+36+33+32</f>
        <v>125</v>
      </c>
      <c r="H17" s="9"/>
      <c r="I17" s="9">
        <f>G17/(G3*0.1865)</f>
        <v>13.5402280174398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v>0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</f>
        <v>6</v>
      </c>
      <c r="H19" s="19"/>
      <c r="I19" s="19">
        <f>G19/(G3*0.1865)</f>
        <v>0.649930944837111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</f>
        <v>4.5</v>
      </c>
      <c r="H20" s="19"/>
      <c r="I20" s="19">
        <f>G20/(G3*0.1865)</f>
        <v>0.487448208627833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7</v>
      </c>
      <c r="D21" s="6">
        <v>4</v>
      </c>
      <c r="E21" s="9">
        <f t="shared" si="1"/>
        <v>11</v>
      </c>
      <c r="F21" s="9" t="s">
        <v>34</v>
      </c>
      <c r="G21" s="9">
        <f>4+11+5+11</f>
        <v>31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2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237</v>
      </c>
      <c r="D23" s="6">
        <v>635</v>
      </c>
      <c r="E23" s="9">
        <f>D23+C23</f>
        <v>872</v>
      </c>
      <c r="F23" s="9" t="s">
        <v>25</v>
      </c>
      <c r="G23" s="9">
        <f>1276+1300+1297+872</f>
        <v>4745</v>
      </c>
      <c r="H23" s="20">
        <v>16</v>
      </c>
      <c r="I23" s="19">
        <f>E23/H23</f>
        <v>54.5</v>
      </c>
      <c r="J23" s="21" t="s">
        <v>39</v>
      </c>
      <c r="K23" s="9">
        <f>24+24+24+16</f>
        <v>88</v>
      </c>
      <c r="L23" s="9">
        <f>G23/K23</f>
        <v>53.9204545454545</v>
      </c>
      <c r="M23" s="9"/>
    </row>
    <row r="24" s="1" customFormat="1" ht="29" customHeight="1" spans="1:13">
      <c r="A24" s="6">
        <v>18</v>
      </c>
      <c r="B24" s="7" t="s">
        <v>40</v>
      </c>
      <c r="C24" s="6">
        <v>318</v>
      </c>
      <c r="D24" s="6">
        <v>790</v>
      </c>
      <c r="E24" s="9">
        <f>D24+C24</f>
        <v>1108</v>
      </c>
      <c r="F24" s="9" t="s">
        <v>25</v>
      </c>
      <c r="G24" s="9">
        <f>1599+1727+1633+1108</f>
        <v>6067</v>
      </c>
      <c r="H24" s="19"/>
      <c r="I24" s="19">
        <f>E24/H23</f>
        <v>69.25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24.61</v>
      </c>
      <c r="D25" s="6">
        <v>22.93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75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76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77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</f>
        <v>5.22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8.83</v>
      </c>
      <c r="D33" s="9">
        <v>0</v>
      </c>
      <c r="E33" s="9">
        <f t="shared" si="2"/>
        <v>8.83</v>
      </c>
      <c r="F33" s="9" t="s">
        <v>25</v>
      </c>
      <c r="G33" s="9">
        <f>0+12.54+14.61+8.83</f>
        <v>35.98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0</v>
      </c>
      <c r="D34" s="9">
        <v>7</v>
      </c>
      <c r="E34" s="9">
        <f t="shared" si="2"/>
        <v>7</v>
      </c>
      <c r="F34" s="9" t="s">
        <v>25</v>
      </c>
      <c r="G34" s="9">
        <f>12+6+7+7</f>
        <v>32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15.1875</v>
      </c>
      <c r="D36" s="9">
        <v>0</v>
      </c>
      <c r="E36" s="9">
        <f t="shared" si="2"/>
        <v>15.1875</v>
      </c>
      <c r="F36" s="9" t="s">
        <v>14</v>
      </c>
      <c r="G36" s="9">
        <f>0+15.1875</f>
        <v>15.1875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206</v>
      </c>
      <c r="D39" s="9">
        <v>219</v>
      </c>
      <c r="E39" s="9">
        <f t="shared" si="2"/>
        <v>425</v>
      </c>
      <c r="F39" s="9" t="s">
        <v>25</v>
      </c>
      <c r="G39" s="9">
        <f>383+468+416+425</f>
        <v>1692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750*0.92</f>
        <v>690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86.86*0.97</f>
        <v>84.2542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0+1+1+1</f>
        <v>3</v>
      </c>
      <c r="H43" s="19"/>
      <c r="I43" s="9">
        <v>3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63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6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78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4.5</v>
      </c>
      <c r="D3" s="8">
        <v>1.5</v>
      </c>
      <c r="E3" s="9">
        <f t="shared" ref="E3:E8" si="0">C3+D3</f>
        <v>6</v>
      </c>
      <c r="F3" s="9" t="s">
        <v>14</v>
      </c>
      <c r="G3" s="9">
        <f>7.5+15.5+13.5+13+6</f>
        <v>55.5</v>
      </c>
      <c r="H3" s="9">
        <v>284</v>
      </c>
      <c r="I3" s="9">
        <f>H3-G3</f>
        <v>228.5</v>
      </c>
      <c r="J3" s="9"/>
      <c r="K3" s="9"/>
      <c r="L3" s="9"/>
      <c r="M3" s="9">
        <f>I3/26</f>
        <v>8.78846153846154</v>
      </c>
    </row>
    <row r="4" s="1" customFormat="1" ht="56" customHeight="1" spans="1:13">
      <c r="A4" s="10">
        <v>2</v>
      </c>
      <c r="B4" s="7" t="s">
        <v>15</v>
      </c>
      <c r="C4" s="8">
        <v>16</v>
      </c>
      <c r="D4" s="8"/>
      <c r="E4" s="9">
        <f t="shared" si="0"/>
        <v>16</v>
      </c>
      <c r="F4" s="9" t="s">
        <v>14</v>
      </c>
      <c r="G4" s="9">
        <f>8+8+20+10+16</f>
        <v>62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90</v>
      </c>
      <c r="D5" s="9">
        <v>0</v>
      </c>
      <c r="E5" s="9">
        <f t="shared" si="0"/>
        <v>90</v>
      </c>
      <c r="F5" s="9" t="s">
        <v>14</v>
      </c>
      <c r="G5" s="9">
        <f>196+187+205+143+90</f>
        <v>821</v>
      </c>
      <c r="H5" s="9">
        <v>4250</v>
      </c>
      <c r="I5" s="9">
        <f>H5-G5-G7-G6</f>
        <v>3425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</f>
        <v>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</f>
        <v>61.26</v>
      </c>
      <c r="F9" s="9" t="s">
        <v>14</v>
      </c>
      <c r="G9" s="9">
        <f>0.545214</f>
        <v>0.545214</v>
      </c>
      <c r="H9" s="9">
        <v>4.6</v>
      </c>
      <c r="I9" s="9">
        <f>H9-G9</f>
        <v>4.054786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1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5.103</v>
      </c>
      <c r="D11" s="9">
        <v>0</v>
      </c>
      <c r="E11" s="9">
        <f>C11+D11</f>
        <v>5.103</v>
      </c>
      <c r="F11" s="9" t="s">
        <v>14</v>
      </c>
      <c r="G11" s="9">
        <f>2.916+5.9805+9.315+5.1705+5.103</f>
        <v>28.485</v>
      </c>
      <c r="H11" s="9"/>
      <c r="I11" s="9">
        <f>G11/(G3*0.1865)</f>
        <v>2.75197449460184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12.0336</v>
      </c>
      <c r="D12" s="9">
        <v>0</v>
      </c>
      <c r="E12" s="9">
        <f>C12+D12</f>
        <v>12.0336</v>
      </c>
      <c r="F12" s="9" t="s">
        <v>14</v>
      </c>
      <c r="G12" s="9">
        <f>16.5048+12.9536+15.7688+13.2296+12.0336</f>
        <v>70.4904</v>
      </c>
      <c r="H12" s="9"/>
      <c r="I12" s="9">
        <f>G12/(G3*0.1865)</f>
        <v>6.81017317585682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257</v>
      </c>
      <c r="D13" s="9">
        <v>191</v>
      </c>
      <c r="E13" s="9">
        <f>C13+D13</f>
        <v>448</v>
      </c>
      <c r="F13" s="9"/>
      <c r="G13" s="9">
        <f>539+277+276+257+154+476+448</f>
        <v>2427</v>
      </c>
      <c r="H13" s="9">
        <f>G13*1.05</f>
        <v>2548.35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191</v>
      </c>
      <c r="D14" s="9">
        <v>0</v>
      </c>
      <c r="E14" s="9">
        <f t="shared" ref="E14:E21" si="1">D14+C14</f>
        <v>191</v>
      </c>
      <c r="F14" s="9" t="s">
        <v>25</v>
      </c>
      <c r="G14" s="9">
        <f>327+448+439+411+191</f>
        <v>1816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157.66</v>
      </c>
      <c r="D15" s="9">
        <v>0</v>
      </c>
      <c r="E15" s="9">
        <f t="shared" si="1"/>
        <v>157.66</v>
      </c>
      <c r="F15" s="9" t="s">
        <v>25</v>
      </c>
      <c r="G15" s="9">
        <f>924.88+887.37+839.4+726.66+157.66</f>
        <v>3535.97</v>
      </c>
      <c r="H15" s="9"/>
      <c r="I15" s="9"/>
      <c r="J15" s="9">
        <f>(C15*K15+L15*D15)/1000</f>
        <v>0.5076652</v>
      </c>
      <c r="K15" s="9">
        <v>3.22</v>
      </c>
      <c r="L15" s="9">
        <v>0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</f>
        <v>10.8231057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12</v>
      </c>
      <c r="D17" s="9">
        <v>0</v>
      </c>
      <c r="E17" s="9">
        <f t="shared" si="1"/>
        <v>12</v>
      </c>
      <c r="F17" s="9" t="s">
        <v>14</v>
      </c>
      <c r="G17" s="9">
        <f>24+36+33+32+12</f>
        <v>137</v>
      </c>
      <c r="H17" s="9"/>
      <c r="I17" s="9">
        <f>G17/(G3*0.1865)</f>
        <v>13.2357558631017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0.15</v>
      </c>
      <c r="D18" s="6">
        <v>0</v>
      </c>
      <c r="E18" s="9">
        <f t="shared" si="1"/>
        <v>0.15</v>
      </c>
      <c r="F18" s="9" t="s">
        <v>14</v>
      </c>
      <c r="G18" s="9">
        <f>0+0.15</f>
        <v>0.15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</f>
        <v>6</v>
      </c>
      <c r="H19" s="19"/>
      <c r="I19" s="19">
        <f>G19/(G3*0.1865)</f>
        <v>0.579668139989856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</f>
        <v>4.5</v>
      </c>
      <c r="H20" s="19"/>
      <c r="I20" s="19">
        <f>G20/(G3*0.1865)</f>
        <v>0.434751104992392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4</v>
      </c>
      <c r="D21" s="6">
        <v>0</v>
      </c>
      <c r="E21" s="9">
        <f t="shared" si="1"/>
        <v>4</v>
      </c>
      <c r="F21" s="9" t="s">
        <v>34</v>
      </c>
      <c r="G21" s="9">
        <f>4+11+5+11+4</f>
        <v>35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563</v>
      </c>
      <c r="D23" s="6">
        <v>64</v>
      </c>
      <c r="E23" s="9">
        <f>D23+C23</f>
        <v>627</v>
      </c>
      <c r="F23" s="9" t="s">
        <v>25</v>
      </c>
      <c r="G23" s="9">
        <f>1276+1300+1297+872+627</f>
        <v>5372</v>
      </c>
      <c r="H23" s="20">
        <v>10.5</v>
      </c>
      <c r="I23" s="19">
        <f>E23/H23</f>
        <v>59.7142857142857</v>
      </c>
      <c r="J23" s="21" t="s">
        <v>39</v>
      </c>
      <c r="K23" s="9">
        <f>24+24+24+16+10.5</f>
        <v>98.5</v>
      </c>
      <c r="L23" s="9">
        <f>G23/K23</f>
        <v>54.5380710659898</v>
      </c>
      <c r="M23" s="9"/>
    </row>
    <row r="24" s="1" customFormat="1" ht="29" customHeight="1" spans="1:13">
      <c r="A24" s="6">
        <v>18</v>
      </c>
      <c r="B24" s="7" t="s">
        <v>40</v>
      </c>
      <c r="C24" s="6">
        <v>754</v>
      </c>
      <c r="D24" s="6">
        <v>0</v>
      </c>
      <c r="E24" s="9">
        <f>D24+C24</f>
        <v>754</v>
      </c>
      <c r="F24" s="9" t="s">
        <v>25</v>
      </c>
      <c r="G24" s="9">
        <f>1599+1727+1633+1108+754</f>
        <v>6821</v>
      </c>
      <c r="H24" s="19"/>
      <c r="I24" s="19">
        <f>E24/H23</f>
        <v>71.8095238095238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28.63</v>
      </c>
      <c r="D25" s="6">
        <v>24.51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79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76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80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</f>
        <v>5.22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0</v>
      </c>
      <c r="E33" s="9">
        <f t="shared" si="2"/>
        <v>0</v>
      </c>
      <c r="F33" s="9" t="s">
        <v>25</v>
      </c>
      <c r="G33" s="9">
        <f>0+12.54+14.61+8.83</f>
        <v>35.98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4</v>
      </c>
      <c r="D34" s="9">
        <v>3</v>
      </c>
      <c r="E34" s="9">
        <f t="shared" si="2"/>
        <v>7</v>
      </c>
      <c r="F34" s="9" t="s">
        <v>25</v>
      </c>
      <c r="G34" s="9">
        <f>12+6+7+7+7</f>
        <v>39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</f>
        <v>15.1875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197</v>
      </c>
      <c r="D39" s="9">
        <v>192</v>
      </c>
      <c r="E39" s="9">
        <f t="shared" si="2"/>
        <v>389</v>
      </c>
      <c r="F39" s="9" t="s">
        <v>25</v>
      </c>
      <c r="G39" s="9">
        <f>383+468+416+425+389</f>
        <v>2081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750*0.85</f>
        <v>637.5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86.86*0.84</f>
        <v>72.9624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</f>
        <v>3</v>
      </c>
      <c r="H43" s="19"/>
      <c r="I43" s="9">
        <v>3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63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8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81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1.5</v>
      </c>
      <c r="D3" s="8">
        <v>1.5</v>
      </c>
      <c r="E3" s="9">
        <f t="shared" ref="E3:E8" si="0">C3+D3</f>
        <v>3</v>
      </c>
      <c r="F3" s="9" t="s">
        <v>14</v>
      </c>
      <c r="G3" s="9">
        <f>7.5+15.5+13.5+13+6+3</f>
        <v>58.5</v>
      </c>
      <c r="H3" s="9">
        <v>284</v>
      </c>
      <c r="I3" s="9">
        <f>H3-G3</f>
        <v>225.5</v>
      </c>
      <c r="J3" s="9"/>
      <c r="K3" s="9"/>
      <c r="L3" s="9"/>
      <c r="M3" s="9">
        <f>I3/25</f>
        <v>9.02</v>
      </c>
    </row>
    <row r="4" s="1" customFormat="1" ht="56" customHeight="1" spans="1:13">
      <c r="A4" s="10">
        <v>2</v>
      </c>
      <c r="B4" s="7" t="s">
        <v>15</v>
      </c>
      <c r="C4" s="8">
        <v>2</v>
      </c>
      <c r="D4" s="8"/>
      <c r="E4" s="9">
        <f t="shared" si="0"/>
        <v>2</v>
      </c>
      <c r="F4" s="9" t="s">
        <v>14</v>
      </c>
      <c r="G4" s="9">
        <f>8+8+20+10+16+2</f>
        <v>64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</f>
        <v>821</v>
      </c>
      <c r="H5" s="9">
        <v>4250</v>
      </c>
      <c r="I5" s="9">
        <f>H5-G5-G7-G6</f>
        <v>3425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</f>
        <v>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31.08</v>
      </c>
      <c r="D9" s="9"/>
      <c r="E9" s="9">
        <f>61.26+31.08</f>
        <v>92.34</v>
      </c>
      <c r="F9" s="9" t="s">
        <v>14</v>
      </c>
      <c r="G9" s="9">
        <f>0.545214+0.267288</f>
        <v>0.812502</v>
      </c>
      <c r="H9" s="9">
        <v>4.6</v>
      </c>
      <c r="I9" s="9">
        <f>H9-G9</f>
        <v>3.787498</v>
      </c>
      <c r="J9" s="21" t="s">
        <v>21</v>
      </c>
      <c r="K9" s="12">
        <v>0.86</v>
      </c>
      <c r="L9" s="9">
        <f>C9*K9/100</f>
        <v>0.267288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0</v>
      </c>
      <c r="D11" s="9">
        <v>0</v>
      </c>
      <c r="E11" s="9">
        <f>C11+D11</f>
        <v>0</v>
      </c>
      <c r="F11" s="9" t="s">
        <v>14</v>
      </c>
      <c r="G11" s="9">
        <f>2.916+5.9805+9.315+5.1705+5.103</f>
        <v>28.485</v>
      </c>
      <c r="H11" s="9"/>
      <c r="I11" s="9">
        <f>G11/(G3*0.1865)</f>
        <v>2.61084759744277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0</v>
      </c>
      <c r="D12" s="9">
        <v>0</v>
      </c>
      <c r="E12" s="9">
        <f>C12+D12</f>
        <v>0</v>
      </c>
      <c r="F12" s="9" t="s">
        <v>14</v>
      </c>
      <c r="G12" s="9">
        <f>16.5048+12.9536+15.7688+13.2296+12.0336</f>
        <v>70.4904</v>
      </c>
      <c r="H12" s="9"/>
      <c r="I12" s="9">
        <f>G12/(G3*0.1865)</f>
        <v>6.46093352581288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0</v>
      </c>
      <c r="D13" s="9">
        <v>0</v>
      </c>
      <c r="E13" s="9">
        <f>C13+D13</f>
        <v>0</v>
      </c>
      <c r="F13" s="9"/>
      <c r="G13" s="9">
        <f>539+277+276+257+154+476+448</f>
        <v>2427</v>
      </c>
      <c r="H13" s="9">
        <f>G13*1.05</f>
        <v>2548.35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12</v>
      </c>
      <c r="D14" s="9">
        <v>51</v>
      </c>
      <c r="E14" s="9">
        <f t="shared" ref="E14:E21" si="1">D14+C14</f>
        <v>63</v>
      </c>
      <c r="F14" s="9" t="s">
        <v>25</v>
      </c>
      <c r="G14" s="9">
        <f>327+448+439+411+191+63</f>
        <v>1879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232.6</v>
      </c>
      <c r="D15" s="9">
        <v>233.75</v>
      </c>
      <c r="E15" s="9">
        <f t="shared" si="1"/>
        <v>466.35</v>
      </c>
      <c r="F15" s="9" t="s">
        <v>25</v>
      </c>
      <c r="G15" s="9">
        <f>924.88+887.37+839.4+726.66+157.66+466.35</f>
        <v>4002.32</v>
      </c>
      <c r="H15" s="9"/>
      <c r="I15" s="9"/>
      <c r="J15" s="9">
        <f>(C15*K15+L15*D15)/1000</f>
        <v>1.4199265</v>
      </c>
      <c r="K15" s="9">
        <v>3.14</v>
      </c>
      <c r="L15" s="9">
        <v>2.95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</f>
        <v>12.2430322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3</v>
      </c>
      <c r="D17" s="9">
        <v>4</v>
      </c>
      <c r="E17" s="9">
        <f t="shared" si="1"/>
        <v>7</v>
      </c>
      <c r="F17" s="9" t="s">
        <v>14</v>
      </c>
      <c r="G17" s="9">
        <f>24+36+33+32+12+7</f>
        <v>144</v>
      </c>
      <c r="H17" s="9"/>
      <c r="I17" s="9">
        <f>G17/(G3*0.1865)</f>
        <v>13.1985976489998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</f>
        <v>0.15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</f>
        <v>6</v>
      </c>
      <c r="H19" s="19"/>
      <c r="I19" s="19">
        <f>G19/(G3*0.1865)</f>
        <v>0.549941568708325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</f>
        <v>4.5</v>
      </c>
      <c r="H20" s="19"/>
      <c r="I20" s="19">
        <f>G20/(G3*0.1865)</f>
        <v>0.412456176531244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2</v>
      </c>
      <c r="E21" s="9">
        <f t="shared" si="1"/>
        <v>2</v>
      </c>
      <c r="F21" s="9" t="s">
        <v>34</v>
      </c>
      <c r="G21" s="9">
        <f>4+11+5+11+4+2</f>
        <v>37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3</v>
      </c>
      <c r="D23" s="6">
        <v>106</v>
      </c>
      <c r="E23" s="9">
        <f>D23+C23</f>
        <v>109</v>
      </c>
      <c r="F23" s="9" t="s">
        <v>25</v>
      </c>
      <c r="G23" s="9">
        <f>1276+1300+1297+872+627+109</f>
        <v>5481</v>
      </c>
      <c r="H23" s="20">
        <v>0</v>
      </c>
      <c r="I23" s="19" t="e">
        <f>E23/H23</f>
        <v>#DIV/0!</v>
      </c>
      <c r="J23" s="21" t="s">
        <v>39</v>
      </c>
      <c r="K23" s="9">
        <f>24+24+24+16+10.5</f>
        <v>98.5</v>
      </c>
      <c r="L23" s="9">
        <f>G23/K23</f>
        <v>55.6446700507614</v>
      </c>
      <c r="M23" s="9"/>
    </row>
    <row r="24" s="1" customFormat="1" ht="29" customHeight="1" spans="1:13">
      <c r="A24" s="6">
        <v>18</v>
      </c>
      <c r="B24" s="7" t="s">
        <v>40</v>
      </c>
      <c r="C24" s="6">
        <v>3</v>
      </c>
      <c r="D24" s="6">
        <v>200</v>
      </c>
      <c r="E24" s="9">
        <f>D24+C24</f>
        <v>203</v>
      </c>
      <c r="F24" s="9" t="s">
        <v>25</v>
      </c>
      <c r="G24" s="9">
        <f>1599+1727+1633+1108+754+203</f>
        <v>7024</v>
      </c>
      <c r="H24" s="19"/>
      <c r="I24" s="19" t="e">
        <f>E24/H23</f>
        <v>#DIV/0!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0</v>
      </c>
      <c r="D25" s="6">
        <v>0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82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83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84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</f>
        <v>5.22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0</v>
      </c>
      <c r="E33" s="9">
        <f t="shared" si="2"/>
        <v>0</v>
      </c>
      <c r="F33" s="9" t="s">
        <v>25</v>
      </c>
      <c r="G33" s="9">
        <f>0+12.54+14.61+8.83</f>
        <v>35.98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4</v>
      </c>
      <c r="D34" s="9">
        <v>3</v>
      </c>
      <c r="E34" s="9">
        <f t="shared" si="2"/>
        <v>7</v>
      </c>
      <c r="F34" s="9" t="s">
        <v>25</v>
      </c>
      <c r="G34" s="9">
        <f>12+6+7+7+7+7</f>
        <v>46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</f>
        <v>15.1875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306</v>
      </c>
      <c r="D39" s="9">
        <v>229</v>
      </c>
      <c r="E39" s="9">
        <f t="shared" si="2"/>
        <v>535</v>
      </c>
      <c r="F39" s="9" t="s">
        <v>25</v>
      </c>
      <c r="G39" s="9">
        <f>383+468+416+425+389+535</f>
        <v>2616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750*0.26</f>
        <v>195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86.86*0.72</f>
        <v>62.5392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</f>
        <v>3</v>
      </c>
      <c r="H43" s="19"/>
      <c r="I43" s="9">
        <v>3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63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7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85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5</v>
      </c>
      <c r="D3" s="8">
        <v>0</v>
      </c>
      <c r="E3" s="9">
        <f t="shared" ref="E3:E8" si="0">C3+D3</f>
        <v>5</v>
      </c>
      <c r="F3" s="9" t="s">
        <v>14</v>
      </c>
      <c r="G3" s="9">
        <f>7.5+15.5+13.5+13+6+3+5</f>
        <v>63.5</v>
      </c>
      <c r="H3" s="9">
        <v>284</v>
      </c>
      <c r="I3" s="9">
        <f>H3-G3</f>
        <v>220.5</v>
      </c>
      <c r="J3" s="9"/>
      <c r="K3" s="9"/>
      <c r="L3" s="9"/>
      <c r="M3" s="9">
        <f>I3/24</f>
        <v>9.1875</v>
      </c>
    </row>
    <row r="4" s="1" customFormat="1" ht="56" customHeight="1" spans="1:13">
      <c r="A4" s="10">
        <v>2</v>
      </c>
      <c r="B4" s="7" t="s">
        <v>15</v>
      </c>
      <c r="C4" s="8">
        <v>4</v>
      </c>
      <c r="D4" s="8"/>
      <c r="E4" s="9">
        <f t="shared" si="0"/>
        <v>4</v>
      </c>
      <c r="F4" s="9" t="s">
        <v>14</v>
      </c>
      <c r="G4" s="9">
        <f>8+8+20+10+16+2+4</f>
        <v>68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34</v>
      </c>
      <c r="D5" s="9">
        <v>123</v>
      </c>
      <c r="E5" s="9">
        <f t="shared" si="0"/>
        <v>157</v>
      </c>
      <c r="F5" s="9" t="s">
        <v>14</v>
      </c>
      <c r="G5" s="9">
        <f>196+187+205+143+90+157</f>
        <v>978</v>
      </c>
      <c r="H5" s="9">
        <v>4250</v>
      </c>
      <c r="I5" s="9">
        <f>H5-G5-G7-G6</f>
        <v>3247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20</v>
      </c>
      <c r="D7" s="9">
        <v>1</v>
      </c>
      <c r="E7" s="9">
        <f t="shared" si="0"/>
        <v>21</v>
      </c>
      <c r="F7" s="9" t="s">
        <v>14</v>
      </c>
      <c r="G7" s="9">
        <f>3+1+21</f>
        <v>25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30.92</v>
      </c>
      <c r="D9" s="9"/>
      <c r="E9" s="9">
        <f>61.26+31.08+30.92</f>
        <v>123.26</v>
      </c>
      <c r="F9" s="9" t="s">
        <v>14</v>
      </c>
      <c r="G9" s="9">
        <f>0.545214+0.267288+0.265912</f>
        <v>1.078414</v>
      </c>
      <c r="H9" s="9">
        <v>4.6</v>
      </c>
      <c r="I9" s="9">
        <f>H9-G9</f>
        <v>3.521586</v>
      </c>
      <c r="J9" s="21" t="s">
        <v>21</v>
      </c>
      <c r="K9" s="12">
        <v>0.86</v>
      </c>
      <c r="L9" s="9">
        <f>C9*K9/100</f>
        <v>0.265912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3.1455</v>
      </c>
      <c r="D11" s="9">
        <v>0</v>
      </c>
      <c r="E11" s="9">
        <f>C11+D11</f>
        <v>3.1455</v>
      </c>
      <c r="F11" s="9" t="s">
        <v>14</v>
      </c>
      <c r="G11" s="9">
        <f>2.916+5.9805+9.315+5.1705+5.103+3.1455</f>
        <v>31.6305</v>
      </c>
      <c r="H11" s="9"/>
      <c r="I11" s="9">
        <f>G11/(G3*0.1865)</f>
        <v>2.670874585717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14.9592</v>
      </c>
      <c r="D12" s="9">
        <v>0</v>
      </c>
      <c r="E12" s="9">
        <f>C12+D12</f>
        <v>14.9592</v>
      </c>
      <c r="F12" s="9" t="s">
        <v>14</v>
      </c>
      <c r="G12" s="9">
        <f>16.5048+12.9536+15.7688+13.2296+12.0336+14.9592</f>
        <v>85.4496</v>
      </c>
      <c r="H12" s="9"/>
      <c r="I12" s="9">
        <f>G12/(G3*0.1865)</f>
        <v>7.21535116421439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0</v>
      </c>
      <c r="D13" s="9">
        <v>237</v>
      </c>
      <c r="E13" s="9">
        <f>C13+D13</f>
        <v>237</v>
      </c>
      <c r="F13" s="9"/>
      <c r="G13" s="9">
        <f>539+277+276+257+154+476+448+237</f>
        <v>2664</v>
      </c>
      <c r="H13" s="9">
        <f>G13*1.05</f>
        <v>2797.2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129</v>
      </c>
      <c r="D14" s="9">
        <v>46</v>
      </c>
      <c r="E14" s="9">
        <f t="shared" ref="E14:E21" si="1">D14+C14</f>
        <v>175</v>
      </c>
      <c r="F14" s="9" t="s">
        <v>25</v>
      </c>
      <c r="G14" s="9">
        <f>327+448+439+411+191+63+175</f>
        <v>2054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163.72</v>
      </c>
      <c r="D15" s="9">
        <v>283.78</v>
      </c>
      <c r="E15" s="9">
        <f t="shared" si="1"/>
        <v>447.5</v>
      </c>
      <c r="F15" s="9" t="s">
        <v>25</v>
      </c>
      <c r="G15" s="9">
        <f>924.88+887.37+839.4+726.66+157.66+466.35+447.5</f>
        <v>4449.82</v>
      </c>
      <c r="H15" s="9"/>
      <c r="I15" s="9"/>
      <c r="J15" s="9">
        <f>(C15*K15+L15*D15)/1000</f>
        <v>1.285962</v>
      </c>
      <c r="K15" s="9">
        <v>2.62</v>
      </c>
      <c r="L15" s="9">
        <v>3.02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</f>
        <v>13.5289942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9</v>
      </c>
      <c r="D17" s="9">
        <v>3</v>
      </c>
      <c r="E17" s="9">
        <f t="shared" si="1"/>
        <v>12</v>
      </c>
      <c r="F17" s="9" t="s">
        <v>14</v>
      </c>
      <c r="G17" s="9">
        <f>24+36+33+32+12+7+12</f>
        <v>156</v>
      </c>
      <c r="H17" s="9"/>
      <c r="I17" s="9">
        <f>G17/(G3*0.1865)</f>
        <v>13.1726161575648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0.15</v>
      </c>
      <c r="E18" s="9">
        <f t="shared" si="1"/>
        <v>0.15</v>
      </c>
      <c r="F18" s="9" t="s">
        <v>14</v>
      </c>
      <c r="G18" s="9">
        <f>0+0.15+0.15</f>
        <v>0.3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</f>
        <v>8</v>
      </c>
      <c r="H19" s="19"/>
      <c r="I19" s="19">
        <f>G19/(G3*0.1865)</f>
        <v>0.675518777311013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</f>
        <v>6</v>
      </c>
      <c r="H20" s="19"/>
      <c r="I20" s="19">
        <f>G20/(G3*0.1865)</f>
        <v>0.50663908298326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5</v>
      </c>
      <c r="E21" s="9">
        <f t="shared" si="1"/>
        <v>5</v>
      </c>
      <c r="F21" s="9" t="s">
        <v>34</v>
      </c>
      <c r="G21" s="9">
        <f>4+11+5+11+4+2+5</f>
        <v>42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652</v>
      </c>
      <c r="D23" s="6">
        <v>642</v>
      </c>
      <c r="E23" s="9">
        <f>D23+C23</f>
        <v>1294</v>
      </c>
      <c r="F23" s="9" t="s">
        <v>25</v>
      </c>
      <c r="G23" s="9">
        <f>1276+1300+1297+872+627+109+1294</f>
        <v>6775</v>
      </c>
      <c r="H23" s="20">
        <v>24</v>
      </c>
      <c r="I23" s="19">
        <f>E23/H23</f>
        <v>53.9166666666667</v>
      </c>
      <c r="J23" s="21" t="s">
        <v>39</v>
      </c>
      <c r="K23" s="9">
        <f>24+24+24+16+10.5+24</f>
        <v>122.5</v>
      </c>
      <c r="L23" s="9">
        <f>G23/K23</f>
        <v>55.3061224489796</v>
      </c>
      <c r="M23" s="9"/>
    </row>
    <row r="24" s="1" customFormat="1" ht="29" customHeight="1" spans="1:13">
      <c r="A24" s="6">
        <v>18</v>
      </c>
      <c r="B24" s="7" t="s">
        <v>40</v>
      </c>
      <c r="C24" s="6">
        <v>640</v>
      </c>
      <c r="D24" s="6">
        <v>840</v>
      </c>
      <c r="E24" s="9">
        <f>D24+C24</f>
        <v>1480</v>
      </c>
      <c r="F24" s="9" t="s">
        <v>25</v>
      </c>
      <c r="G24" s="9">
        <f>1599+1727+1633+1108+754+203+1480</f>
        <v>8504</v>
      </c>
      <c r="H24" s="19"/>
      <c r="I24" s="19">
        <f>E24/H23</f>
        <v>61.6666666666667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27.72</v>
      </c>
      <c r="D25" s="6">
        <v>36.57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86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87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88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7.46</v>
      </c>
      <c r="D32" s="9">
        <v>0</v>
      </c>
      <c r="E32" s="9">
        <f t="shared" ref="E32:E40" si="2">D32+C32</f>
        <v>7.46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8.25</v>
      </c>
      <c r="D33" s="9">
        <v>0</v>
      </c>
      <c r="E33" s="9">
        <f t="shared" si="2"/>
        <v>8.25</v>
      </c>
      <c r="F33" s="9" t="s">
        <v>25</v>
      </c>
      <c r="G33" s="9">
        <f>0+12.54+14.61+8.83+8.25</f>
        <v>44.23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4</v>
      </c>
      <c r="D34" s="9">
        <v>3</v>
      </c>
      <c r="E34" s="9">
        <f t="shared" si="2"/>
        <v>7</v>
      </c>
      <c r="F34" s="9" t="s">
        <v>25</v>
      </c>
      <c r="G34" s="9">
        <f>12+6+7+7+7+7+7</f>
        <v>53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</f>
        <v>15.1875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340</v>
      </c>
      <c r="D39" s="9">
        <v>205</v>
      </c>
      <c r="E39" s="9">
        <f t="shared" si="2"/>
        <v>545</v>
      </c>
      <c r="F39" s="9" t="s">
        <v>25</v>
      </c>
      <c r="G39" s="9">
        <f>383+468+416+425+389+535+545</f>
        <v>3161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 t="s">
        <v>89</v>
      </c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86.86*0.83</f>
        <v>72.0938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0+1+1+1+1</f>
        <v>4</v>
      </c>
      <c r="H43" s="19"/>
      <c r="I43" s="9">
        <v>4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90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workbookViewId="0">
      <selection activeCell="E5" sqref="E$1:E$104857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91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</v>
      </c>
      <c r="D3" s="8">
        <v>6.5</v>
      </c>
      <c r="E3" s="9">
        <f t="shared" ref="E3:E8" si="0">C3+D3</f>
        <v>10.5</v>
      </c>
      <c r="F3" s="9" t="s">
        <v>14</v>
      </c>
      <c r="G3" s="9">
        <f>7.5+15.5+13.5+13+6+3+5+10.5</f>
        <v>74</v>
      </c>
      <c r="H3" s="9">
        <v>284</v>
      </c>
      <c r="I3" s="9">
        <f>H3-G3</f>
        <v>210</v>
      </c>
      <c r="J3" s="9"/>
      <c r="K3" s="9"/>
      <c r="L3" s="9"/>
      <c r="M3" s="9">
        <f>I3/23</f>
        <v>9.1304347826087</v>
      </c>
    </row>
    <row r="4" s="1" customFormat="1" ht="56" customHeight="1" spans="1:13">
      <c r="A4" s="10">
        <v>2</v>
      </c>
      <c r="B4" s="7" t="s">
        <v>15</v>
      </c>
      <c r="C4" s="8">
        <v>4</v>
      </c>
      <c r="D4" s="8"/>
      <c r="E4" s="9">
        <f t="shared" si="0"/>
        <v>4</v>
      </c>
      <c r="F4" s="9" t="s">
        <v>14</v>
      </c>
      <c r="G4" s="9">
        <f>8+8+20+10+16+2+4+4</f>
        <v>72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12</v>
      </c>
      <c r="D5" s="9">
        <v>27</v>
      </c>
      <c r="E5" s="9">
        <f t="shared" si="0"/>
        <v>39</v>
      </c>
      <c r="F5" s="9" t="s">
        <v>14</v>
      </c>
      <c r="G5" s="9">
        <f>196+187+205+143+90+157+39</f>
        <v>1017</v>
      </c>
      <c r="H5" s="9">
        <v>4250</v>
      </c>
      <c r="I5" s="9">
        <f>H5-G5-G7-G6</f>
        <v>3172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36</v>
      </c>
      <c r="E7" s="9">
        <f t="shared" si="0"/>
        <v>36</v>
      </c>
      <c r="F7" s="9" t="s">
        <v>14</v>
      </c>
      <c r="G7" s="9">
        <f>3+1+21+36</f>
        <v>61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30.89</v>
      </c>
      <c r="D9" s="9"/>
      <c r="E9" s="9">
        <f>61.26+31.08+30.92+30.89</f>
        <v>154.15</v>
      </c>
      <c r="F9" s="9" t="s">
        <v>14</v>
      </c>
      <c r="G9" s="9">
        <f>0.545214+0.267288+0.265912+0.262565</f>
        <v>1.340979</v>
      </c>
      <c r="H9" s="9">
        <v>4.6</v>
      </c>
      <c r="I9" s="9">
        <f>H9-G9</f>
        <v>3.259021</v>
      </c>
      <c r="J9" s="21" t="s">
        <v>21</v>
      </c>
      <c r="K9" s="12">
        <v>0.85</v>
      </c>
      <c r="L9" s="9">
        <f>C9*K9/100</f>
        <v>0.262565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4.0095</v>
      </c>
      <c r="D11" s="9">
        <v>0</v>
      </c>
      <c r="E11" s="9">
        <f>C11+D11</f>
        <v>4.0095</v>
      </c>
      <c r="F11" s="9" t="s">
        <v>14</v>
      </c>
      <c r="G11" s="9">
        <f>2.916+5.9805+9.315+5.1705+5.103+3.1455+4.0095</f>
        <v>35.64</v>
      </c>
      <c r="H11" s="9"/>
      <c r="I11" s="9">
        <f>G11/(G3*0.1865)</f>
        <v>2.58242156365481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0</v>
      </c>
      <c r="D12" s="9">
        <v>0</v>
      </c>
      <c r="E12" s="9">
        <f>C12+D12</f>
        <v>0</v>
      </c>
      <c r="F12" s="9" t="s">
        <v>14</v>
      </c>
      <c r="G12" s="9">
        <f>16.5048+12.9536+15.7688+13.2296+12.0336+14.9592</f>
        <v>85.4496</v>
      </c>
      <c r="H12" s="9"/>
      <c r="I12" s="9">
        <f>G12/(G3*0.1865)</f>
        <v>6.19155133685965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48</v>
      </c>
      <c r="D13" s="9">
        <v>0</v>
      </c>
      <c r="E13" s="9">
        <f>C13+D13</f>
        <v>48</v>
      </c>
      <c r="F13" s="9"/>
      <c r="G13" s="9">
        <f>539+277+276+257+154+476+448+237+48</f>
        <v>2712</v>
      </c>
      <c r="H13" s="9">
        <f>G13*1.05</f>
        <v>2847.6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149</v>
      </c>
      <c r="D14" s="9">
        <v>78</v>
      </c>
      <c r="E14" s="9">
        <f t="shared" ref="E14:E21" si="1">D14+C14</f>
        <v>227</v>
      </c>
      <c r="F14" s="9" t="s">
        <v>25</v>
      </c>
      <c r="G14" s="9">
        <f>327+448+439+411+191+63+175+227</f>
        <v>2281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312.69</v>
      </c>
      <c r="D15" s="9">
        <v>260.47</v>
      </c>
      <c r="E15" s="9">
        <f t="shared" si="1"/>
        <v>573.16</v>
      </c>
      <c r="F15" s="9" t="s">
        <v>25</v>
      </c>
      <c r="G15" s="9">
        <f>924.88+887.37+839.4+726.66+157.66+466.35+447.5+573.16</f>
        <v>5022.98</v>
      </c>
      <c r="H15" s="9"/>
      <c r="I15" s="9"/>
      <c r="J15" s="9">
        <f>(C15*K15+L15*D15)/1000</f>
        <v>1.7736691</v>
      </c>
      <c r="K15" s="9">
        <v>3.09</v>
      </c>
      <c r="L15" s="9">
        <v>3.1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</f>
        <v>15.3026633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9</v>
      </c>
      <c r="D17" s="9">
        <v>9</v>
      </c>
      <c r="E17" s="9">
        <f t="shared" si="1"/>
        <v>18</v>
      </c>
      <c r="F17" s="9" t="s">
        <v>14</v>
      </c>
      <c r="G17" s="9">
        <f>24+36+33+32+12+7+12+18</f>
        <v>174</v>
      </c>
      <c r="H17" s="9"/>
      <c r="I17" s="9">
        <f>G17/(G3*0.1865)</f>
        <v>12.6077820447794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0.2</v>
      </c>
      <c r="D18" s="6">
        <v>0</v>
      </c>
      <c r="E18" s="9">
        <f t="shared" si="1"/>
        <v>0.2</v>
      </c>
      <c r="F18" s="9" t="s">
        <v>14</v>
      </c>
      <c r="G18" s="9">
        <f>0+0.15+0.15+0.2</f>
        <v>0.5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</f>
        <v>10</v>
      </c>
      <c r="H19" s="19"/>
      <c r="I19" s="19">
        <f>G19/(G3*0.1865)</f>
        <v>0.72458517498732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</f>
        <v>7.5</v>
      </c>
      <c r="H20" s="19"/>
      <c r="I20" s="19">
        <f>G20/(G3*0.1865)</f>
        <v>0.54343888124049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2</v>
      </c>
      <c r="D21" s="6">
        <v>5</v>
      </c>
      <c r="E21" s="9">
        <f t="shared" si="1"/>
        <v>7</v>
      </c>
      <c r="F21" s="9" t="s">
        <v>34</v>
      </c>
      <c r="G21" s="9">
        <f>4+11+5+11+4+2+5+7</f>
        <v>49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82</v>
      </c>
      <c r="D23" s="6">
        <v>528</v>
      </c>
      <c r="E23" s="9">
        <f>D23+C23</f>
        <v>610</v>
      </c>
      <c r="F23" s="9" t="s">
        <v>25</v>
      </c>
      <c r="G23" s="9">
        <f>1276+1300+1297+872+627+109+1294+610</f>
        <v>7385</v>
      </c>
      <c r="H23" s="20">
        <v>11</v>
      </c>
      <c r="I23" s="19">
        <f>E23/H23</f>
        <v>55.4545454545455</v>
      </c>
      <c r="J23" s="21" t="s">
        <v>39</v>
      </c>
      <c r="K23" s="9">
        <f>24+24+24+16+10.5+24+11</f>
        <v>133.5</v>
      </c>
      <c r="L23" s="9">
        <f>G23/K23</f>
        <v>55.3183520599251</v>
      </c>
      <c r="M23" s="9"/>
    </row>
    <row r="24" s="1" customFormat="1" ht="29" customHeight="1" spans="1:13">
      <c r="A24" s="6">
        <v>18</v>
      </c>
      <c r="B24" s="7" t="s">
        <v>40</v>
      </c>
      <c r="C24" s="6">
        <v>181</v>
      </c>
      <c r="D24" s="6">
        <v>544</v>
      </c>
      <c r="E24" s="9">
        <f>D24+C24</f>
        <v>725</v>
      </c>
      <c r="F24" s="9" t="s">
        <v>25</v>
      </c>
      <c r="G24" s="9">
        <f>1599+1727+1693+1108+754+203+1480+725</f>
        <v>9289</v>
      </c>
      <c r="H24" s="19"/>
      <c r="I24" s="19">
        <f>E24/H23</f>
        <v>65.9090909090909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31.19</v>
      </c>
      <c r="D25" s="6">
        <v>29.72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92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93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94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6.31</v>
      </c>
      <c r="E33" s="9">
        <f t="shared" si="2"/>
        <v>6.31</v>
      </c>
      <c r="F33" s="9" t="s">
        <v>25</v>
      </c>
      <c r="G33" s="9">
        <f>0+12.54+14.61+8.83+8.25+6.31</f>
        <v>50.54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9</v>
      </c>
      <c r="D34" s="9">
        <v>3</v>
      </c>
      <c r="E34" s="9">
        <f t="shared" si="2"/>
        <v>12</v>
      </c>
      <c r="F34" s="9" t="s">
        <v>25</v>
      </c>
      <c r="G34" s="9">
        <f>12+6+7+7+7+7+7+12</f>
        <v>65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</f>
        <v>15.1875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</f>
        <v>0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213</v>
      </c>
      <c r="D39" s="9">
        <v>215</v>
      </c>
      <c r="E39" s="9">
        <f t="shared" si="2"/>
        <v>428</v>
      </c>
      <c r="F39" s="9" t="s">
        <v>25</v>
      </c>
      <c r="G39" s="9">
        <f>383+468+416+425+389+535+545+428</f>
        <v>3589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 t="s">
        <v>89</v>
      </c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86.86*0.83</f>
        <v>72.0938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0+1+1+1+1</f>
        <v>4</v>
      </c>
      <c r="H43" s="19"/>
      <c r="I43" s="9">
        <v>4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90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8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95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3.5</v>
      </c>
      <c r="D3" s="8">
        <v>5.5</v>
      </c>
      <c r="E3" s="9">
        <f t="shared" ref="E3:E8" si="0">C3+D3</f>
        <v>9</v>
      </c>
      <c r="F3" s="9" t="s">
        <v>14</v>
      </c>
      <c r="G3" s="9">
        <f>7.5+15.5+13.5+13+6+3+5+10.5+9</f>
        <v>83</v>
      </c>
      <c r="H3" s="9">
        <v>284</v>
      </c>
      <c r="I3" s="9">
        <f>H3-G3</f>
        <v>201</v>
      </c>
      <c r="J3" s="9"/>
      <c r="K3" s="9"/>
      <c r="L3" s="9"/>
      <c r="M3" s="9">
        <f>I3/22</f>
        <v>9.13636363636364</v>
      </c>
    </row>
    <row r="4" s="1" customFormat="1" ht="56" customHeight="1" spans="1:13">
      <c r="A4" s="10">
        <v>2</v>
      </c>
      <c r="B4" s="7" t="s">
        <v>15</v>
      </c>
      <c r="C4" s="8">
        <v>10</v>
      </c>
      <c r="D4" s="8"/>
      <c r="E4" s="9">
        <f t="shared" si="0"/>
        <v>10</v>
      </c>
      <c r="F4" s="9" t="s">
        <v>14</v>
      </c>
      <c r="G4" s="9">
        <f>8+8+20+10+16+2+4+4+10</f>
        <v>82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76</v>
      </c>
      <c r="D5" s="9">
        <v>71</v>
      </c>
      <c r="E5" s="9">
        <f t="shared" si="0"/>
        <v>147</v>
      </c>
      <c r="F5" s="9" t="s">
        <v>14</v>
      </c>
      <c r="G5" s="9">
        <f>196+187+205+143+90+157+39+147</f>
        <v>1164</v>
      </c>
      <c r="H5" s="9">
        <v>4250</v>
      </c>
      <c r="I5" s="9">
        <f>H5-G5-G7-G6</f>
        <v>3022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3</v>
      </c>
      <c r="E7" s="9">
        <f t="shared" si="0"/>
        <v>3</v>
      </c>
      <c r="F7" s="9" t="s">
        <v>14</v>
      </c>
      <c r="G7" s="9">
        <f>3+1+21+36+3</f>
        <v>64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30.92</v>
      </c>
      <c r="D9" s="9"/>
      <c r="E9" s="9">
        <f>61.26+31.08+30.92+30.89+30.92</f>
        <v>185.07</v>
      </c>
      <c r="F9" s="9" t="s">
        <v>14</v>
      </c>
      <c r="G9" s="9">
        <f>0.545214+0.267288+0.265912+0.262565+0.253544</f>
        <v>1.594523</v>
      </c>
      <c r="H9" s="9">
        <v>4.6</v>
      </c>
      <c r="I9" s="9">
        <f>H9-G9</f>
        <v>3.005477</v>
      </c>
      <c r="J9" s="21" t="s">
        <v>21</v>
      </c>
      <c r="K9" s="12">
        <v>0.82</v>
      </c>
      <c r="L9" s="9">
        <f>C9*K9/100</f>
        <v>0.253544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4.833</v>
      </c>
      <c r="D11" s="9">
        <v>3.0915</v>
      </c>
      <c r="E11" s="9">
        <f>C11+D11</f>
        <v>7.9245</v>
      </c>
      <c r="F11" s="9" t="s">
        <v>14</v>
      </c>
      <c r="G11" s="9">
        <f>2.916+5.9805+9.315+5.1705+5.103+3.1455+4.0095+7.9245</f>
        <v>43.5645</v>
      </c>
      <c r="H11" s="9"/>
      <c r="I11" s="9">
        <f>G11/(G3*0.1865)</f>
        <v>2.81433508834265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15.7136</v>
      </c>
      <c r="D12" s="9">
        <v>0</v>
      </c>
      <c r="E12" s="9">
        <f>C12+D12</f>
        <v>15.7136</v>
      </c>
      <c r="F12" s="9" t="s">
        <v>14</v>
      </c>
      <c r="G12" s="9">
        <f>16.5048+12.9536+15.7688+13.2296+12.0336+14.9592+15.7136</f>
        <v>101.1632</v>
      </c>
      <c r="H12" s="9"/>
      <c r="I12" s="9">
        <f>G12/(G3*0.1865)</f>
        <v>6.53530152782713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218</v>
      </c>
      <c r="D13" s="9">
        <v>180</v>
      </c>
      <c r="E13" s="9">
        <f>C13+D13</f>
        <v>398</v>
      </c>
      <c r="F13" s="9"/>
      <c r="G13" s="9">
        <f>539+277+276+257+154+476+448+237+48+398</f>
        <v>3110</v>
      </c>
      <c r="H13" s="9">
        <f>G13*1.05</f>
        <v>3265.5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177</v>
      </c>
      <c r="D14" s="9">
        <v>189</v>
      </c>
      <c r="E14" s="9">
        <f t="shared" ref="E14:E21" si="1">D14+C14</f>
        <v>366</v>
      </c>
      <c r="F14" s="9" t="s">
        <v>25</v>
      </c>
      <c r="G14" s="9">
        <f>327+448+439+411+191+63+175+227+366</f>
        <v>2647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360.41</v>
      </c>
      <c r="D15" s="9">
        <v>492.93</v>
      </c>
      <c r="E15" s="9">
        <f t="shared" si="1"/>
        <v>853.34</v>
      </c>
      <c r="F15" s="9" t="s">
        <v>25</v>
      </c>
      <c r="G15" s="9">
        <f>924.88+887.37+839.4+726.66+157.66+466.35+447.5+573.16+853.34</f>
        <v>5876.32</v>
      </c>
      <c r="H15" s="9"/>
      <c r="I15" s="9"/>
      <c r="J15" s="9">
        <f>(C15*K15+L15*D15)/1000</f>
        <v>2.3821937</v>
      </c>
      <c r="K15" s="9">
        <v>3.04</v>
      </c>
      <c r="L15" s="9">
        <v>2.61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</f>
        <v>17.684857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9</v>
      </c>
      <c r="D17" s="9">
        <v>18</v>
      </c>
      <c r="E17" s="9">
        <f t="shared" si="1"/>
        <v>27</v>
      </c>
      <c r="F17" s="9" t="s">
        <v>14</v>
      </c>
      <c r="G17" s="9">
        <f>24+36+33+32+12+7+12+18+27</f>
        <v>201</v>
      </c>
      <c r="H17" s="9"/>
      <c r="I17" s="9">
        <f>G17/(G3*0.1865)</f>
        <v>12.9849155334475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</f>
        <v>0.5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2+2+2+2+2</f>
        <v>10</v>
      </c>
      <c r="H19" s="19"/>
      <c r="I19" s="19">
        <f>G19/(G3*0.1865)</f>
        <v>0.646015698181466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</f>
        <v>7.5</v>
      </c>
      <c r="H20" s="19"/>
      <c r="I20" s="19">
        <f>G20/(G3*0.1865)</f>
        <v>0.484511773636099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2</v>
      </c>
      <c r="D21" s="6">
        <v>3</v>
      </c>
      <c r="E21" s="9">
        <f t="shared" si="1"/>
        <v>5</v>
      </c>
      <c r="F21" s="9" t="s">
        <v>34</v>
      </c>
      <c r="G21" s="9">
        <f>4+11+5+11+4+2+5+7+5</f>
        <v>54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 t="s">
        <v>37</v>
      </c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528</v>
      </c>
      <c r="D23" s="6">
        <v>574</v>
      </c>
      <c r="E23" s="9">
        <f>D23+C23</f>
        <v>1102</v>
      </c>
      <c r="F23" s="9" t="s">
        <v>25</v>
      </c>
      <c r="G23" s="9">
        <f>1276+1300+1297+872+627+109+1294+610+1102</f>
        <v>8487</v>
      </c>
      <c r="H23" s="20">
        <v>24</v>
      </c>
      <c r="I23" s="19">
        <f>E23/H23</f>
        <v>45.9166666666667</v>
      </c>
      <c r="J23" s="21" t="s">
        <v>39</v>
      </c>
      <c r="K23" s="9">
        <f>24+24+24+16+10.5+24+11+24</f>
        <v>157.5</v>
      </c>
      <c r="L23" s="9">
        <f>G23/K23</f>
        <v>53.8857142857143</v>
      </c>
      <c r="M23" s="9"/>
    </row>
    <row r="24" s="1" customFormat="1" ht="29" customHeight="1" spans="1:13">
      <c r="A24" s="6">
        <v>18</v>
      </c>
      <c r="B24" s="7" t="s">
        <v>40</v>
      </c>
      <c r="C24" s="6">
        <v>653</v>
      </c>
      <c r="D24" s="6">
        <v>640</v>
      </c>
      <c r="E24" s="9">
        <f>D24+C24</f>
        <v>1293</v>
      </c>
      <c r="F24" s="9" t="s">
        <v>25</v>
      </c>
      <c r="G24" s="9">
        <f>1599+1727+1633+1108+754+203+1480+725+1293</f>
        <v>10522</v>
      </c>
      <c r="H24" s="19"/>
      <c r="I24" s="19">
        <f>E24/H23</f>
        <v>53.875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27.43</v>
      </c>
      <c r="D25" s="6">
        <v>28.13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92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93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96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6.36</v>
      </c>
      <c r="D33" s="9">
        <v>6.39</v>
      </c>
      <c r="E33" s="9">
        <f t="shared" si="2"/>
        <v>12.75</v>
      </c>
      <c r="F33" s="9" t="s">
        <v>25</v>
      </c>
      <c r="G33" s="9">
        <f>0+12.54+14.61+8.83+8.25+6.31+12.75</f>
        <v>63.29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3</v>
      </c>
      <c r="D34" s="9">
        <v>3</v>
      </c>
      <c r="E34" s="9">
        <f t="shared" si="2"/>
        <v>6</v>
      </c>
      <c r="F34" s="9" t="s">
        <v>25</v>
      </c>
      <c r="G34" s="9">
        <f>12+6+7+7+7+7+7+12+6</f>
        <v>71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10.8675</v>
      </c>
      <c r="D36" s="9">
        <v>0</v>
      </c>
      <c r="E36" s="9">
        <f t="shared" si="2"/>
        <v>10.8675</v>
      </c>
      <c r="F36" s="9" t="s">
        <v>14</v>
      </c>
      <c r="G36" s="9">
        <f>0+15.1875+10.8675</f>
        <v>26.055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4</v>
      </c>
      <c r="D38" s="9">
        <v>0</v>
      </c>
      <c r="E38" s="9">
        <f t="shared" si="2"/>
        <v>4</v>
      </c>
      <c r="F38" s="9" t="s">
        <v>25</v>
      </c>
      <c r="G38" s="9">
        <f>0+4</f>
        <v>4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247</v>
      </c>
      <c r="D39" s="9">
        <v>218</v>
      </c>
      <c r="E39" s="9">
        <f t="shared" si="2"/>
        <v>465</v>
      </c>
      <c r="F39" s="9" t="s">
        <v>25</v>
      </c>
      <c r="G39" s="9">
        <f>383+468+416+425+389+535+545+428+465</f>
        <v>4054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 t="s">
        <v>89</v>
      </c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86.86*0.88</f>
        <v>76.4368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2</v>
      </c>
      <c r="D43" s="6">
        <v>0</v>
      </c>
      <c r="E43" s="9">
        <f>D43+C43</f>
        <v>2</v>
      </c>
      <c r="F43" s="9" t="s">
        <v>34</v>
      </c>
      <c r="G43" s="9">
        <f>0+1+1+1+1+2</f>
        <v>6</v>
      </c>
      <c r="H43" s="19"/>
      <c r="I43" s="9">
        <v>6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90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5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97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2.5</v>
      </c>
      <c r="D3" s="8">
        <v>5.5</v>
      </c>
      <c r="E3" s="9">
        <f t="shared" ref="E3:E8" si="0">C3+D3</f>
        <v>8</v>
      </c>
      <c r="F3" s="9" t="s">
        <v>14</v>
      </c>
      <c r="G3" s="9">
        <f>7.5+15.5+13.5+13+6+3+5+10.5+9+8</f>
        <v>91</v>
      </c>
      <c r="H3" s="9">
        <v>284</v>
      </c>
      <c r="I3" s="9">
        <f>H3-G3</f>
        <v>193</v>
      </c>
      <c r="J3" s="9"/>
      <c r="K3" s="9"/>
      <c r="L3" s="9"/>
      <c r="M3" s="9">
        <f>I3/21</f>
        <v>9.19047619047619</v>
      </c>
    </row>
    <row r="4" s="1" customFormat="1" ht="56" customHeight="1" spans="1:13">
      <c r="A4" s="10">
        <v>2</v>
      </c>
      <c r="B4" s="7" t="s">
        <v>15</v>
      </c>
      <c r="C4" s="8">
        <v>10</v>
      </c>
      <c r="D4" s="8"/>
      <c r="E4" s="9">
        <f t="shared" si="0"/>
        <v>10</v>
      </c>
      <c r="F4" s="9" t="s">
        <v>14</v>
      </c>
      <c r="G4" s="9">
        <f>8+8+20+10+16+2+4+4+10+10</f>
        <v>92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68</v>
      </c>
      <c r="D5" s="9">
        <v>68</v>
      </c>
      <c r="E5" s="9">
        <f t="shared" si="0"/>
        <v>136</v>
      </c>
      <c r="F5" s="9" t="s">
        <v>14</v>
      </c>
      <c r="G5" s="9">
        <f>196+187+205+143+90+157+39+147+136</f>
        <v>1300</v>
      </c>
      <c r="H5" s="9">
        <v>4250</v>
      </c>
      <c r="I5" s="9">
        <f>H5-G5-G7-G6</f>
        <v>2886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</f>
        <v>64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30.94</v>
      </c>
      <c r="D9" s="9"/>
      <c r="E9" s="9">
        <f>61.26+31.08+30.92+30.89+30.92+30.94</f>
        <v>216.01</v>
      </c>
      <c r="F9" s="9" t="s">
        <v>14</v>
      </c>
      <c r="G9" s="9">
        <f>0.545214+0.267288+0.265912+0.262565+0.253544+0.26299</f>
        <v>1.857513</v>
      </c>
      <c r="H9" s="9">
        <v>4.6</v>
      </c>
      <c r="I9" s="9">
        <f>H9-G9</f>
        <v>2.742487</v>
      </c>
      <c r="J9" s="21" t="s">
        <v>21</v>
      </c>
      <c r="K9" s="12">
        <v>0.85</v>
      </c>
      <c r="L9" s="9">
        <f>C9*K9/100</f>
        <v>0.26299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5.697</v>
      </c>
      <c r="D11" s="9">
        <v>0</v>
      </c>
      <c r="E11" s="9">
        <f>C11+D11</f>
        <v>5.697</v>
      </c>
      <c r="F11" s="9" t="s">
        <v>14</v>
      </c>
      <c r="G11" s="9">
        <f>2.916+5.9805+9.315+5.1705+5.103+3.1455+4.0095+7.9245+5.697</f>
        <v>49.2615</v>
      </c>
      <c r="H11" s="9"/>
      <c r="I11" s="9">
        <f>G11/(G3*0.1865)</f>
        <v>2.90260142002769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9.844</v>
      </c>
      <c r="D12" s="9">
        <v>0</v>
      </c>
      <c r="E12" s="9">
        <f>C12+D12</f>
        <v>9.844</v>
      </c>
      <c r="F12" s="9" t="s">
        <v>14</v>
      </c>
      <c r="G12" s="9">
        <f>16.5048+12.9536+15.7688+13.2296+12.0336+14.9592+15.7136+9.844</f>
        <v>111.0072</v>
      </c>
      <c r="H12" s="9"/>
      <c r="I12" s="9">
        <f>G12/(G3*0.1865)</f>
        <v>6.54080075420558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184</v>
      </c>
      <c r="D13" s="9">
        <v>231</v>
      </c>
      <c r="E13" s="9">
        <f>C13+D13</f>
        <v>415</v>
      </c>
      <c r="F13" s="9"/>
      <c r="G13" s="9">
        <f>539+277+276+257+154+476+448+237+48+398+415</f>
        <v>3525</v>
      </c>
      <c r="H13" s="9">
        <f>G13*1.05</f>
        <v>3701.25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97</v>
      </c>
      <c r="D14" s="9">
        <v>202</v>
      </c>
      <c r="E14" s="9">
        <f t="shared" ref="E14:E21" si="1">D14+C14</f>
        <v>299</v>
      </c>
      <c r="F14" s="9" t="s">
        <v>25</v>
      </c>
      <c r="G14" s="9">
        <f>327+448+439+411+191+63+175+227+366+299</f>
        <v>2946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428.34</v>
      </c>
      <c r="D15" s="9">
        <v>547.59</v>
      </c>
      <c r="E15" s="9">
        <f t="shared" si="1"/>
        <v>975.93</v>
      </c>
      <c r="F15" s="9" t="s">
        <v>25</v>
      </c>
      <c r="G15" s="9">
        <f>924.88+887.37+839.4+726.66+157.66+466.35+447.5+573.16+853.34+975.93</f>
        <v>6852.25</v>
      </c>
      <c r="H15" s="9"/>
      <c r="I15" s="9"/>
      <c r="J15" s="9">
        <f>(C15*K15+L15*D15)/1000</f>
        <v>2.6333799</v>
      </c>
      <c r="K15" s="9">
        <v>2.53</v>
      </c>
      <c r="L15" s="9">
        <v>2.83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</f>
        <v>20.3182369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6</v>
      </c>
      <c r="D17" s="9">
        <v>15</v>
      </c>
      <c r="E17" s="9">
        <f t="shared" si="1"/>
        <v>21</v>
      </c>
      <c r="F17" s="9" t="s">
        <v>14</v>
      </c>
      <c r="G17" s="9">
        <f>24+36+33+32+12+7+12+18+27+21</f>
        <v>222</v>
      </c>
      <c r="H17" s="9"/>
      <c r="I17" s="9">
        <f>G17/(G3*0.1865)</f>
        <v>13.0807530271337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0.15</v>
      </c>
      <c r="D18" s="6">
        <v>0</v>
      </c>
      <c r="E18" s="9">
        <f t="shared" si="1"/>
        <v>0.15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</f>
        <v>12</v>
      </c>
      <c r="H19" s="19"/>
      <c r="I19" s="19">
        <f>G19/(G3*0.1865)</f>
        <v>0.707067731196418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</f>
        <v>9</v>
      </c>
      <c r="H20" s="19"/>
      <c r="I20" s="19">
        <f>G20/(G3*0.1865)</f>
        <v>0.530300798397313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10</v>
      </c>
      <c r="E21" s="9">
        <f t="shared" si="1"/>
        <v>10</v>
      </c>
      <c r="F21" s="9" t="s">
        <v>34</v>
      </c>
      <c r="G21" s="9">
        <f>4+11+5+11+4+2+5+7+5+10</f>
        <v>64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514</v>
      </c>
      <c r="D23" s="6">
        <v>634</v>
      </c>
      <c r="E23" s="9">
        <f>D23+C23</f>
        <v>1148</v>
      </c>
      <c r="F23" s="9" t="s">
        <v>25</v>
      </c>
      <c r="G23" s="9">
        <f>1276+1300+1297+872+627+109+1294+610+1102+1148</f>
        <v>9635</v>
      </c>
      <c r="H23" s="20">
        <v>24</v>
      </c>
      <c r="I23" s="19">
        <f>E23/H23</f>
        <v>47.8333333333333</v>
      </c>
      <c r="J23" s="21" t="s">
        <v>39</v>
      </c>
      <c r="K23" s="9">
        <f>24+24+24+16+10.5+24+11+24+24</f>
        <v>181.5</v>
      </c>
      <c r="L23" s="9">
        <f>G23/K23</f>
        <v>53.0853994490358</v>
      </c>
      <c r="M23" s="9"/>
    </row>
    <row r="24" s="1" customFormat="1" ht="29" customHeight="1" spans="1:13">
      <c r="A24" s="6">
        <v>18</v>
      </c>
      <c r="B24" s="7" t="s">
        <v>40</v>
      </c>
      <c r="C24" s="6">
        <v>582</v>
      </c>
      <c r="D24" s="6">
        <v>733</v>
      </c>
      <c r="E24" s="9">
        <f>D24+C24</f>
        <v>1315</v>
      </c>
      <c r="F24" s="9" t="s">
        <v>25</v>
      </c>
      <c r="G24" s="9">
        <f>1599+1727+1633+1108+754+203+1480+725+1293+1315</f>
        <v>11837</v>
      </c>
      <c r="H24" s="19"/>
      <c r="I24" s="19">
        <f>E24/H23</f>
        <v>54.7916666666667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31.35</v>
      </c>
      <c r="D25" s="6">
        <v>29.64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98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93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99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6.34</v>
      </c>
      <c r="D33" s="9">
        <v>6.3</v>
      </c>
      <c r="E33" s="9">
        <f t="shared" si="2"/>
        <v>12.64</v>
      </c>
      <c r="F33" s="9" t="s">
        <v>25</v>
      </c>
      <c r="G33" s="9">
        <f>0+12.54+14.61+8.83+8.25+6.31+12.75+12.64</f>
        <v>75.93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3</v>
      </c>
      <c r="D34" s="9">
        <v>4</v>
      </c>
      <c r="E34" s="9">
        <f t="shared" si="2"/>
        <v>7</v>
      </c>
      <c r="F34" s="9" t="s">
        <v>25</v>
      </c>
      <c r="G34" s="9">
        <f>12+6+7+7+7+7+7+12+6+7</f>
        <v>78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</f>
        <v>26.055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</f>
        <v>4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272</v>
      </c>
      <c r="D39" s="9">
        <v>232</v>
      </c>
      <c r="E39" s="9">
        <f t="shared" si="2"/>
        <v>504</v>
      </c>
      <c r="F39" s="9" t="s">
        <v>25</v>
      </c>
      <c r="G39" s="9">
        <f>383+468+416+425+389+535+545+428+465+504</f>
        <v>4558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 t="s">
        <v>89</v>
      </c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86.86*0.97</f>
        <v>84.2542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0+1+1+1+1+2+1</f>
        <v>7</v>
      </c>
      <c r="H43" s="19"/>
      <c r="I43" s="9">
        <v>7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90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7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100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8</v>
      </c>
      <c r="D3" s="8">
        <v>4.5</v>
      </c>
      <c r="E3" s="9">
        <f t="shared" ref="E3:E8" si="0">C3+D3</f>
        <v>12.5</v>
      </c>
      <c r="F3" s="9" t="s">
        <v>14</v>
      </c>
      <c r="G3" s="9">
        <f>7.5+15.5+13.5+13+6+3+5+10.5+9+8+12.5</f>
        <v>103.5</v>
      </c>
      <c r="H3" s="9">
        <v>284</v>
      </c>
      <c r="I3" s="9">
        <f>H3-G3</f>
        <v>180.5</v>
      </c>
      <c r="J3" s="9"/>
      <c r="K3" s="9"/>
      <c r="L3" s="9"/>
      <c r="M3" s="9">
        <f>I3/20</f>
        <v>9.025</v>
      </c>
    </row>
    <row r="4" s="1" customFormat="1" ht="56" customHeight="1" spans="1:13">
      <c r="A4" s="10">
        <v>2</v>
      </c>
      <c r="B4" s="7" t="s">
        <v>15</v>
      </c>
      <c r="C4" s="8">
        <v>8</v>
      </c>
      <c r="D4" s="8"/>
      <c r="E4" s="9">
        <f t="shared" si="0"/>
        <v>8</v>
      </c>
      <c r="F4" s="9" t="s">
        <v>14</v>
      </c>
      <c r="G4" s="9">
        <f>8+8+20+10+16+2+4+4+10+10+8</f>
        <v>100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51</v>
      </c>
      <c r="D5" s="9">
        <v>87</v>
      </c>
      <c r="E5" s="9">
        <f t="shared" si="0"/>
        <v>138</v>
      </c>
      <c r="F5" s="9" t="s">
        <v>14</v>
      </c>
      <c r="G5" s="9">
        <f>196+187+205+143+90+157+39+147+136+138</f>
        <v>1438</v>
      </c>
      <c r="H5" s="9">
        <v>4250</v>
      </c>
      <c r="I5" s="9">
        <f>H5-G5-G7-G6</f>
        <v>2740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3</v>
      </c>
      <c r="D7" s="9">
        <v>5</v>
      </c>
      <c r="E7" s="9">
        <f t="shared" si="0"/>
        <v>8</v>
      </c>
      <c r="F7" s="9" t="s">
        <v>14</v>
      </c>
      <c r="G7" s="9">
        <f>3+1+21+36+3+8</f>
        <v>72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31.43</v>
      </c>
      <c r="D9" s="9"/>
      <c r="E9" s="9">
        <f>61.26+31.08+30.92+30.89+30.92+30.94+31.43</f>
        <v>247.44</v>
      </c>
      <c r="F9" s="9" t="s">
        <v>14</v>
      </c>
      <c r="G9" s="9">
        <f>0.545214+0.267288+0.265912+0.262565+0.253544+0.26299+0.273441</f>
        <v>2.130954</v>
      </c>
      <c r="H9" s="9">
        <v>4.6</v>
      </c>
      <c r="I9" s="9">
        <f>H9-G9</f>
        <v>2.469046</v>
      </c>
      <c r="J9" s="21" t="s">
        <v>21</v>
      </c>
      <c r="K9" s="12">
        <v>0.87</v>
      </c>
      <c r="L9" s="9">
        <f>C9*K9/100</f>
        <v>0.273441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2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5.5215</v>
      </c>
      <c r="D11" s="9">
        <v>0</v>
      </c>
      <c r="E11" s="9">
        <f>C11+D11</f>
        <v>5.5215</v>
      </c>
      <c r="F11" s="9" t="s">
        <v>14</v>
      </c>
      <c r="G11" s="9">
        <f>2.916+5.9805+9.315+5.1705+5.103+3.1455+4.0095+7.9245+5.697+5.5215</f>
        <v>54.783</v>
      </c>
      <c r="H11" s="9"/>
      <c r="I11" s="9">
        <f>G11/(G3*0.1865)</f>
        <v>2.83809301783425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8.8688</v>
      </c>
      <c r="D12" s="9">
        <v>0</v>
      </c>
      <c r="E12" s="9">
        <f>C12+D12</f>
        <v>8.8688</v>
      </c>
      <c r="F12" s="9" t="s">
        <v>14</v>
      </c>
      <c r="G12" s="9">
        <f>16.5048+12.9536+15.7688+13.2296+12.0336+14.9592+15.7136+9.844+8.8688</f>
        <v>119.876</v>
      </c>
      <c r="H12" s="9"/>
      <c r="I12" s="9">
        <f>G12/(G3*0.1865)</f>
        <v>6.21030682156687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142</v>
      </c>
      <c r="D13" s="9">
        <v>235</v>
      </c>
      <c r="E13" s="9">
        <f>C13+D13</f>
        <v>377</v>
      </c>
      <c r="F13" s="9"/>
      <c r="G13" s="9">
        <f>539+277+276+257+154+476+448+237+48+398+415+377</f>
        <v>3902</v>
      </c>
      <c r="H13" s="9">
        <f>G13*1.05</f>
        <v>4097.1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144</v>
      </c>
      <c r="D14" s="9">
        <v>186</v>
      </c>
      <c r="E14" s="9">
        <f t="shared" ref="E14:E21" si="1">D14+C14</f>
        <v>330</v>
      </c>
      <c r="F14" s="9" t="s">
        <v>25</v>
      </c>
      <c r="G14" s="9">
        <f>327+448+439+411+191+63+175+227+366+299+330</f>
        <v>3276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523.53</v>
      </c>
      <c r="D15" s="9">
        <v>580.68</v>
      </c>
      <c r="E15" s="9">
        <f t="shared" si="1"/>
        <v>1104.21</v>
      </c>
      <c r="F15" s="9" t="s">
        <v>25</v>
      </c>
      <c r="G15" s="9">
        <f>924.88+887.37+839.4+726.66+157.66+466.35+447.5+573.16+853.34+975.93+1104.21</f>
        <v>7956.46</v>
      </c>
      <c r="H15" s="9"/>
      <c r="I15" s="9"/>
      <c r="J15" s="9">
        <f>(C15*K15+L15*D15)/1000</f>
        <v>3.3155793</v>
      </c>
      <c r="K15" s="9">
        <v>3.05</v>
      </c>
      <c r="L15" s="9">
        <v>2.96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</f>
        <v>23.6338162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15</v>
      </c>
      <c r="D17" s="9">
        <v>12</v>
      </c>
      <c r="E17" s="9">
        <f t="shared" si="1"/>
        <v>27</v>
      </c>
      <c r="F17" s="9" t="s">
        <v>14</v>
      </c>
      <c r="G17" s="9">
        <f>24+36+33+32+12+7+12+18+27+21+27</f>
        <v>249</v>
      </c>
      <c r="H17" s="9"/>
      <c r="I17" s="9">
        <f>G17/(G3*0.1865)</f>
        <v>12.8997163616583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</f>
        <v>14</v>
      </c>
      <c r="H19" s="19"/>
      <c r="I19" s="19">
        <f>G19/(G3*0.1865)</f>
        <v>0.725285257281994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</f>
        <v>10.5</v>
      </c>
      <c r="H20" s="19"/>
      <c r="I20" s="19">
        <f>G20/(G3*0.1865)</f>
        <v>0.543963942961495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11</v>
      </c>
      <c r="D21" s="6">
        <v>5</v>
      </c>
      <c r="E21" s="9">
        <f t="shared" si="1"/>
        <v>16</v>
      </c>
      <c r="F21" s="9" t="s">
        <v>34</v>
      </c>
      <c r="G21" s="9">
        <f>4+11+5+11+4+2+5+7+5+10+16</f>
        <v>80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455</v>
      </c>
      <c r="D23" s="6">
        <v>578</v>
      </c>
      <c r="E23" s="9">
        <f>D23+C23</f>
        <v>1033</v>
      </c>
      <c r="F23" s="9" t="s">
        <v>25</v>
      </c>
      <c r="G23" s="9">
        <f>1276+1300+1297+872+627+109+1294+610+1102+1148+1033</f>
        <v>10668</v>
      </c>
      <c r="H23" s="20">
        <v>18.5</v>
      </c>
      <c r="I23" s="19">
        <f>E23/H23</f>
        <v>55.8378378378378</v>
      </c>
      <c r="J23" s="21" t="s">
        <v>39</v>
      </c>
      <c r="K23" s="9">
        <f>24+24+24+16+10.5+24+11+24+24+18.5</f>
        <v>200</v>
      </c>
      <c r="L23" s="9">
        <f>G23/K23</f>
        <v>53.34</v>
      </c>
      <c r="M23" s="9"/>
    </row>
    <row r="24" s="1" customFormat="1" ht="29" customHeight="1" spans="1:13">
      <c r="A24" s="6">
        <v>18</v>
      </c>
      <c r="B24" s="7" t="s">
        <v>40</v>
      </c>
      <c r="C24" s="6">
        <v>477</v>
      </c>
      <c r="D24" s="6">
        <v>700</v>
      </c>
      <c r="E24" s="9">
        <f>D24+C24</f>
        <v>1177</v>
      </c>
      <c r="F24" s="9" t="s">
        <v>25</v>
      </c>
      <c r="G24" s="9">
        <f>1599+1727+1633+1108+754+203+1480+725+1293+1315+1177</f>
        <v>13014</v>
      </c>
      <c r="H24" s="19"/>
      <c r="I24" s="19">
        <f>E24/H23</f>
        <v>63.6216216216216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26.82</v>
      </c>
      <c r="D25" s="6">
        <v>28.33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/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101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102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6.28</v>
      </c>
      <c r="D33" s="9">
        <v>8.36</v>
      </c>
      <c r="E33" s="9">
        <f t="shared" si="2"/>
        <v>14.64</v>
      </c>
      <c r="F33" s="9" t="s">
        <v>25</v>
      </c>
      <c r="G33" s="9">
        <f>0+12.54+14.61+8.83+8.25+6.31+12.75+12.64+14.64</f>
        <v>90.57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0</v>
      </c>
      <c r="D34" s="9">
        <v>3</v>
      </c>
      <c r="E34" s="9">
        <f t="shared" si="2"/>
        <v>3</v>
      </c>
      <c r="F34" s="9" t="s">
        <v>25</v>
      </c>
      <c r="G34" s="9">
        <f>12+6+7+7+7+7+7+12+6+7+3</f>
        <v>81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8.5455</v>
      </c>
      <c r="D36" s="9">
        <v>0</v>
      </c>
      <c r="E36" s="9">
        <f t="shared" si="2"/>
        <v>8.5455</v>
      </c>
      <c r="F36" s="9" t="s">
        <v>14</v>
      </c>
      <c r="G36" s="9">
        <f>0+15.1875+10.8675+8.5455</f>
        <v>34.6005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56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</f>
        <v>0</v>
      </c>
      <c r="H37" s="9"/>
      <c r="I37" s="9"/>
      <c r="J37" s="19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126</v>
      </c>
      <c r="D38" s="9">
        <v>179</v>
      </c>
      <c r="E38" s="9">
        <f t="shared" si="2"/>
        <v>305</v>
      </c>
      <c r="F38" s="9" t="s">
        <v>25</v>
      </c>
      <c r="G38" s="9">
        <f>0+4+305</f>
        <v>309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262</v>
      </c>
      <c r="D39" s="9">
        <v>221</v>
      </c>
      <c r="E39" s="9">
        <f t="shared" si="2"/>
        <v>483</v>
      </c>
      <c r="F39" s="9" t="s">
        <v>25</v>
      </c>
      <c r="G39" s="9">
        <f>383+468+416+425+389+535+545+428+465+504+483</f>
        <v>5041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 t="s">
        <v>103</v>
      </c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86.86*1.18</f>
        <v>102.4948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0+1+1+1+1+2+1+1</f>
        <v>8</v>
      </c>
      <c r="H43" s="19"/>
      <c r="I43" s="9">
        <v>8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104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5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105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4.5</v>
      </c>
      <c r="D3" s="8">
        <v>5</v>
      </c>
      <c r="E3" s="9">
        <f t="shared" ref="E3:E8" si="0">C3+D3</f>
        <v>9.5</v>
      </c>
      <c r="F3" s="9" t="s">
        <v>14</v>
      </c>
      <c r="G3" s="9">
        <f>7.5+15.5+13.5+13+6+3+5+10.5+9+8+12.5+9.5</f>
        <v>113</v>
      </c>
      <c r="H3" s="9">
        <v>284</v>
      </c>
      <c r="I3" s="9">
        <f>H3-G3</f>
        <v>171</v>
      </c>
      <c r="J3" s="9"/>
      <c r="K3" s="9"/>
      <c r="L3" s="9"/>
      <c r="M3" s="9">
        <f>I3/19</f>
        <v>9</v>
      </c>
    </row>
    <row r="4" s="1" customFormat="1" ht="56" customHeight="1" spans="1:13">
      <c r="A4" s="10">
        <v>2</v>
      </c>
      <c r="B4" s="7" t="s">
        <v>15</v>
      </c>
      <c r="C4" s="8">
        <v>12</v>
      </c>
      <c r="D4" s="8"/>
      <c r="E4" s="9">
        <f t="shared" si="0"/>
        <v>12</v>
      </c>
      <c r="F4" s="9" t="s">
        <v>14</v>
      </c>
      <c r="G4" s="9">
        <f>8+8+20+10+16+2+4+4+10+10+8+12</f>
        <v>112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70</v>
      </c>
      <c r="E5" s="9">
        <f t="shared" si="0"/>
        <v>70</v>
      </c>
      <c r="F5" s="9" t="s">
        <v>14</v>
      </c>
      <c r="G5" s="9">
        <f>196+187+205+143+90+157+39+147+136+138+70</f>
        <v>1508</v>
      </c>
      <c r="H5" s="9">
        <v>4250</v>
      </c>
      <c r="I5" s="9">
        <f>H5-G5-G7-G6</f>
        <v>2669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1</v>
      </c>
      <c r="E7" s="9">
        <f t="shared" si="0"/>
        <v>1</v>
      </c>
      <c r="F7" s="9" t="s">
        <v>14</v>
      </c>
      <c r="G7" s="9">
        <f>3+1+21+36+3+8+1</f>
        <v>73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30.47</v>
      </c>
      <c r="D9" s="9"/>
      <c r="E9" s="9">
        <f>61.26+31.08+30.92+30.89+30.92+30.94+31.43+30.47</f>
        <v>277.91</v>
      </c>
      <c r="F9" s="9" t="s">
        <v>14</v>
      </c>
      <c r="G9" s="9">
        <f>0.545214+0.267288+0.265912+0.262565+0.253544+0.26299+0.273441+0.258995</f>
        <v>2.389949</v>
      </c>
      <c r="H9" s="9">
        <v>4.6</v>
      </c>
      <c r="I9" s="9">
        <f>H9-G9</f>
        <v>2.210051</v>
      </c>
      <c r="J9" s="21" t="s">
        <v>21</v>
      </c>
      <c r="K9" s="12">
        <v>0.85</v>
      </c>
      <c r="L9" s="9">
        <f>C9*K9/100</f>
        <v>0.258995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1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0</v>
      </c>
      <c r="D11" s="9">
        <v>0</v>
      </c>
      <c r="E11" s="9">
        <f>C11+D11</f>
        <v>0</v>
      </c>
      <c r="F11" s="9" t="s">
        <v>14</v>
      </c>
      <c r="G11" s="9">
        <f>2.916+5.9805+9.315+5.1705+5.103+3.1455+4.0095+7.9245+5.697+5.5215</f>
        <v>54.783</v>
      </c>
      <c r="H11" s="9"/>
      <c r="I11" s="9">
        <f>G11/(G3*0.1865)</f>
        <v>2.59949227739685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13.0272</v>
      </c>
      <c r="D12" s="9">
        <v>0</v>
      </c>
      <c r="E12" s="9">
        <f>C12+D12</f>
        <v>13.0272</v>
      </c>
      <c r="F12" s="9" t="s">
        <v>14</v>
      </c>
      <c r="G12" s="9">
        <f>16.5048+12.9536+15.7688+13.2296+12.0336+14.9592+15.7136+9.844+8.8688+13.0272</f>
        <v>132.9032</v>
      </c>
      <c r="H12" s="9"/>
      <c r="I12" s="9">
        <f>G12/(G3*0.1865)</f>
        <v>6.30635127761038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164</v>
      </c>
      <c r="D13" s="9">
        <v>60</v>
      </c>
      <c r="E13" s="9">
        <f>C13+D13</f>
        <v>224</v>
      </c>
      <c r="F13" s="9"/>
      <c r="G13" s="9">
        <f>539+277+276+257+154+476+448+237+48+398+415+377+224</f>
        <v>4126</v>
      </c>
      <c r="H13" s="9">
        <f>G13*1.05</f>
        <v>4332.3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143</v>
      </c>
      <c r="D14" s="9">
        <v>51</v>
      </c>
      <c r="E14" s="9">
        <f t="shared" ref="E14:E21" si="1">D14+C14</f>
        <v>194</v>
      </c>
      <c r="F14" s="9" t="s">
        <v>25</v>
      </c>
      <c r="G14" s="9">
        <f>327+448+439+411+191+63+175+227+366+299+330+194</f>
        <v>3470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517.72</v>
      </c>
      <c r="D15" s="9">
        <v>567.41</v>
      </c>
      <c r="E15" s="9">
        <f t="shared" si="1"/>
        <v>1085.13</v>
      </c>
      <c r="F15" s="9" t="s">
        <v>25</v>
      </c>
      <c r="G15" s="9">
        <f>924.88+887.37+839.4+726.66+157.66+466.35+447.5+573.16+853.34+975.93+1104.21+1085.13</f>
        <v>9041.59</v>
      </c>
      <c r="H15" s="9"/>
      <c r="I15" s="9"/>
      <c r="J15" s="9">
        <f>(C15*K15+L15*D15)/1000</f>
        <v>3.115421</v>
      </c>
      <c r="K15" s="9">
        <v>2.905</v>
      </c>
      <c r="L15" s="9">
        <v>2.84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</f>
        <v>26.7492372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12</v>
      </c>
      <c r="D17" s="9">
        <v>6</v>
      </c>
      <c r="E17" s="9">
        <f t="shared" si="1"/>
        <v>18</v>
      </c>
      <c r="F17" s="9" t="s">
        <v>14</v>
      </c>
      <c r="G17" s="9">
        <f>24+36+33+32+12+7+12+18+27+21+27+18</f>
        <v>267</v>
      </c>
      <c r="H17" s="9"/>
      <c r="I17" s="9">
        <f>G17/(G3*0.1865)</f>
        <v>12.6693397233624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2+2+2+2+2+2+2</f>
        <v>14</v>
      </c>
      <c r="H19" s="19"/>
      <c r="I19" s="19">
        <f>G19/(G3*0.1865)</f>
        <v>0.664309948041472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1.5+1.5+1.5+1.5+1.5+1.5+1.5</f>
        <v>10.5</v>
      </c>
      <c r="H20" s="19"/>
      <c r="I20" s="19">
        <f>G20/(G3*0.1865)</f>
        <v>0.498232461031104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8</v>
      </c>
      <c r="D21" s="6">
        <v>0</v>
      </c>
      <c r="E21" s="9">
        <f t="shared" si="1"/>
        <v>8</v>
      </c>
      <c r="F21" s="9" t="s">
        <v>34</v>
      </c>
      <c r="G21" s="9">
        <f>4+11+5+11+4+2+5+7+5+10+16+8</f>
        <v>88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0</v>
      </c>
      <c r="D23" s="6">
        <v>670</v>
      </c>
      <c r="E23" s="9">
        <f>D23+C23</f>
        <v>670</v>
      </c>
      <c r="F23" s="9" t="s">
        <v>25</v>
      </c>
      <c r="G23" s="9">
        <f>1276+1300+1297+872+627+109+1294+610+1102+1148+1033+670</f>
        <v>11338</v>
      </c>
      <c r="H23" s="20">
        <v>12</v>
      </c>
      <c r="I23" s="19">
        <f>E23/H23</f>
        <v>55.8333333333333</v>
      </c>
      <c r="J23" s="21" t="s">
        <v>39</v>
      </c>
      <c r="K23" s="9">
        <f>24+24+24+16+10.5+24+11+24+24+18.5+12</f>
        <v>212</v>
      </c>
      <c r="L23" s="9">
        <f>G23/K23</f>
        <v>53.4811320754717</v>
      </c>
      <c r="M23" s="9"/>
    </row>
    <row r="24" s="1" customFormat="1" ht="29" customHeight="1" spans="1:13">
      <c r="A24" s="6">
        <v>18</v>
      </c>
      <c r="B24" s="7" t="s">
        <v>40</v>
      </c>
      <c r="C24" s="6">
        <v>178</v>
      </c>
      <c r="D24" s="6">
        <v>697</v>
      </c>
      <c r="E24" s="9">
        <f>D24+C24</f>
        <v>875</v>
      </c>
      <c r="F24" s="9" t="s">
        <v>25</v>
      </c>
      <c r="G24" s="9">
        <f>1599+1727+1633+1108+754+203+1480+725+1293+1315+1177+875</f>
        <v>13889</v>
      </c>
      <c r="H24" s="19"/>
      <c r="I24" s="19">
        <f>E24/H23</f>
        <v>72.9166666666667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0</v>
      </c>
      <c r="D25" s="6">
        <v>25.83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106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107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108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0</v>
      </c>
      <c r="E33" s="9">
        <f t="shared" si="2"/>
        <v>0</v>
      </c>
      <c r="F33" s="9" t="s">
        <v>25</v>
      </c>
      <c r="G33" s="9">
        <f>0+12.54+14.61+8.83+8.25+6.31+12.75+12.64+14.64</f>
        <v>90.57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4</v>
      </c>
      <c r="D34" s="9">
        <v>3</v>
      </c>
      <c r="E34" s="9">
        <f t="shared" si="2"/>
        <v>7</v>
      </c>
      <c r="F34" s="9" t="s">
        <v>25</v>
      </c>
      <c r="G34" s="9">
        <f>12+6+7+7+7+7+7+12+6+7+3+7</f>
        <v>88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5.7915</v>
      </c>
      <c r="D36" s="9">
        <v>0</v>
      </c>
      <c r="E36" s="9">
        <f t="shared" si="2"/>
        <v>5.7915</v>
      </c>
      <c r="F36" s="9" t="s">
        <v>14</v>
      </c>
      <c r="G36" s="9">
        <f>0+15.1875+10.8675+8.5455+5.7915</f>
        <v>40.392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7.0104</v>
      </c>
      <c r="D37" s="9">
        <v>0</v>
      </c>
      <c r="E37" s="9">
        <f t="shared" si="2"/>
        <v>7.0104</v>
      </c>
      <c r="F37" s="9" t="s">
        <v>14</v>
      </c>
      <c r="G37" s="9">
        <f>0+7.0104</f>
        <v>7.0104</v>
      </c>
      <c r="H37" s="9"/>
      <c r="I37" s="9"/>
      <c r="J37" s="12" t="s">
        <v>109</v>
      </c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164</v>
      </c>
      <c r="D38" s="9">
        <v>176</v>
      </c>
      <c r="E38" s="9">
        <f t="shared" si="2"/>
        <v>340</v>
      </c>
      <c r="F38" s="9" t="s">
        <v>25</v>
      </c>
      <c r="G38" s="9">
        <f>0+4+305+340</f>
        <v>649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202</v>
      </c>
      <c r="D39" s="9">
        <v>213</v>
      </c>
      <c r="E39" s="9">
        <f t="shared" si="2"/>
        <v>415</v>
      </c>
      <c r="F39" s="9" t="s">
        <v>25</v>
      </c>
      <c r="G39" s="9">
        <f>383+468+416+425+389+535+545+428+465+504+483+415</f>
        <v>5456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86.86*1.55</f>
        <v>134.633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0+1+1+1+1+2+1+1</f>
        <v>8</v>
      </c>
      <c r="H43" s="19"/>
      <c r="I43" s="9">
        <v>8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7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111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5</v>
      </c>
      <c r="D3" s="8">
        <v>8</v>
      </c>
      <c r="E3" s="9">
        <f t="shared" ref="E3:E8" si="0">C3+D3</f>
        <v>13</v>
      </c>
      <c r="F3" s="9" t="s">
        <v>14</v>
      </c>
      <c r="G3" s="9">
        <f>7.5+15.5+13.5+13+6+3+5+10.5+9+8+12.5+9.5+13</f>
        <v>126</v>
      </c>
      <c r="H3" s="9">
        <v>284</v>
      </c>
      <c r="I3" s="9">
        <f>H3-G3</f>
        <v>158</v>
      </c>
      <c r="J3" s="9"/>
      <c r="K3" s="9"/>
      <c r="L3" s="9"/>
      <c r="M3" s="9">
        <f>I3/18</f>
        <v>8.77777777777778</v>
      </c>
    </row>
    <row r="4" s="1" customFormat="1" ht="56" customHeight="1" spans="1:13">
      <c r="A4" s="10">
        <v>2</v>
      </c>
      <c r="B4" s="7" t="s">
        <v>15</v>
      </c>
      <c r="C4" s="8">
        <v>10</v>
      </c>
      <c r="D4" s="8"/>
      <c r="E4" s="9">
        <f t="shared" si="0"/>
        <v>10</v>
      </c>
      <c r="F4" s="9" t="s">
        <v>14</v>
      </c>
      <c r="G4" s="9">
        <f>8+8+20+10+16+2+4+4+10+10+8+12+10</f>
        <v>122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95</v>
      </c>
      <c r="D5" s="9">
        <v>84</v>
      </c>
      <c r="E5" s="9">
        <f t="shared" si="0"/>
        <v>179</v>
      </c>
      <c r="F5" s="9" t="s">
        <v>14</v>
      </c>
      <c r="G5" s="9">
        <f>196+187+205+143+90+157+39+147+136+138+70+179</f>
        <v>1687</v>
      </c>
      <c r="H5" s="9">
        <v>4250</v>
      </c>
      <c r="I5" s="9">
        <f>H5-G5-G7-G6</f>
        <v>2490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</f>
        <v>73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</f>
        <v>1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31.06</v>
      </c>
      <c r="D9" s="9"/>
      <c r="E9" s="9">
        <f>61.26+31.08+30.92+30.89+30.92+30.94+31.43+30.47+31.06</f>
        <v>308.97</v>
      </c>
      <c r="F9" s="9" t="s">
        <v>14</v>
      </c>
      <c r="G9" s="9">
        <f>0.545214+0.267288+0.265912+0.262565+0.253544+0.26299+0.273441+0.258995+0.26401</f>
        <v>2.653959</v>
      </c>
      <c r="H9" s="9">
        <v>4.6</v>
      </c>
      <c r="I9" s="9">
        <f>H9-G9</f>
        <v>1.946041</v>
      </c>
      <c r="J9" s="21" t="s">
        <v>21</v>
      </c>
      <c r="K9" s="12">
        <v>0.85</v>
      </c>
      <c r="L9" s="9">
        <f>C9*K9/100</f>
        <v>0.26401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6.8715</v>
      </c>
      <c r="D11" s="9">
        <v>0</v>
      </c>
      <c r="E11" s="9">
        <f>C11+D11</f>
        <v>6.8715</v>
      </c>
      <c r="F11" s="9" t="s">
        <v>14</v>
      </c>
      <c r="G11" s="9">
        <f>2.916+5.9805+9.315+5.1705+5.103+3.1455+4.0095+7.9245+5.697+5.5215+6.8715</f>
        <v>61.6545</v>
      </c>
      <c r="H11" s="9"/>
      <c r="I11" s="9">
        <f>G11/(G3*0.1865)</f>
        <v>2.62370739180391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11.7392</v>
      </c>
      <c r="D12" s="9">
        <v>0</v>
      </c>
      <c r="E12" s="9">
        <f>C12+D12</f>
        <v>11.7392</v>
      </c>
      <c r="F12" s="9" t="s">
        <v>14</v>
      </c>
      <c r="G12" s="9">
        <f>16.5048+12.9536+15.7688+13.2296+12.0336+14.9592+15.7136+9.844+8.8688+13.0272+11.7392</f>
        <v>144.6424</v>
      </c>
      <c r="H12" s="9"/>
      <c r="I12" s="9">
        <f>G12/(G3*0.1865)</f>
        <v>6.15525767053917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234</v>
      </c>
      <c r="D13" s="9">
        <v>260</v>
      </c>
      <c r="E13" s="9">
        <f>C13+D13</f>
        <v>494</v>
      </c>
      <c r="F13" s="9"/>
      <c r="G13" s="9">
        <f>539+277+276+257+154+476+448+237+48+398+415+377+224+494</f>
        <v>4620</v>
      </c>
      <c r="H13" s="9">
        <f>G13*1.05</f>
        <v>4851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231</v>
      </c>
      <c r="D14" s="9">
        <v>201</v>
      </c>
      <c r="E14" s="9">
        <f t="shared" ref="E14:E21" si="1">D14+C14</f>
        <v>432</v>
      </c>
      <c r="F14" s="9" t="s">
        <v>25</v>
      </c>
      <c r="G14" s="9">
        <f>327+448+439+411+191+63+175+227+366+299+330+194+432</f>
        <v>3902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521.94</v>
      </c>
      <c r="D15" s="9">
        <v>235.25</v>
      </c>
      <c r="E15" s="9">
        <f t="shared" si="1"/>
        <v>757.19</v>
      </c>
      <c r="F15" s="9" t="s">
        <v>25</v>
      </c>
      <c r="G15" s="9">
        <f>924.88+887.37+839.4+726.66+157.66+466.35+447.5+573.16+853.34+975.93+1104.21+1085.13+757.19</f>
        <v>9798.78</v>
      </c>
      <c r="H15" s="9"/>
      <c r="I15" s="9"/>
      <c r="J15" s="9">
        <f>(C15*K15+L15*D15)/1000</f>
        <v>2.2531203</v>
      </c>
      <c r="K15" s="9">
        <v>2.87</v>
      </c>
      <c r="L15" s="9">
        <v>3.21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</f>
        <v>29.0023575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18</v>
      </c>
      <c r="D17" s="9">
        <v>15</v>
      </c>
      <c r="E17" s="9">
        <f t="shared" si="1"/>
        <v>33</v>
      </c>
      <c r="F17" s="9" t="s">
        <v>14</v>
      </c>
      <c r="G17" s="9">
        <f>24+36+33+32+12+7+12+18+27+21+27+18+33</f>
        <v>300</v>
      </c>
      <c r="H17" s="9"/>
      <c r="I17" s="9">
        <f>G17/(G3*0.1865)</f>
        <v>12.7665007021575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</f>
        <v>16</v>
      </c>
      <c r="H19" s="19"/>
      <c r="I19" s="19">
        <f>G19/(G3*0.1865)</f>
        <v>0.680880037448402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</f>
        <v>12</v>
      </c>
      <c r="H20" s="19"/>
      <c r="I20" s="19">
        <f>G20/(G3*0.1865)</f>
        <v>0.510660028086302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2</v>
      </c>
      <c r="D21" s="6">
        <v>0</v>
      </c>
      <c r="E21" s="9">
        <f t="shared" si="1"/>
        <v>2</v>
      </c>
      <c r="F21" s="9" t="s">
        <v>34</v>
      </c>
      <c r="G21" s="9">
        <f>4+11+5+11+4+2+5+7+5+10+16+8+2</f>
        <v>90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696</v>
      </c>
      <c r="D23" s="6">
        <v>648</v>
      </c>
      <c r="E23" s="9">
        <f>D23+C23</f>
        <v>1344</v>
      </c>
      <c r="F23" s="9" t="s">
        <v>25</v>
      </c>
      <c r="G23" s="9">
        <f>1276+1300+1297+872+627+109+1294+610+1102+1148+1033+670+1344</f>
        <v>12682</v>
      </c>
      <c r="H23" s="20">
        <v>24</v>
      </c>
      <c r="I23" s="19">
        <f>E23/H23</f>
        <v>56</v>
      </c>
      <c r="J23" s="21" t="s">
        <v>39</v>
      </c>
      <c r="K23" s="9">
        <f>24+24+24+16+10.5+24+11+24+24+18.5+12+24</f>
        <v>236</v>
      </c>
      <c r="L23" s="9">
        <f>G23/K23</f>
        <v>53.7372881355932</v>
      </c>
      <c r="M23" s="9"/>
    </row>
    <row r="24" s="1" customFormat="1" ht="29" customHeight="1" spans="1:13">
      <c r="A24" s="6">
        <v>18</v>
      </c>
      <c r="B24" s="7" t="s">
        <v>40</v>
      </c>
      <c r="C24" s="6">
        <v>815</v>
      </c>
      <c r="D24" s="6">
        <v>816</v>
      </c>
      <c r="E24" s="9">
        <f>D24+C24</f>
        <v>1631</v>
      </c>
      <c r="F24" s="9" t="s">
        <v>25</v>
      </c>
      <c r="G24" s="9">
        <f>1599+1727+1633+1108+754+203+1480+725+1293+1315+1177+875+1631</f>
        <v>15520</v>
      </c>
      <c r="H24" s="19"/>
      <c r="I24" s="19">
        <f>E24/H23</f>
        <v>67.9583333333333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25.11</v>
      </c>
      <c r="D25" s="6">
        <v>24.92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/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107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112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0</v>
      </c>
      <c r="E33" s="9">
        <f t="shared" si="2"/>
        <v>0</v>
      </c>
      <c r="F33" s="9" t="s">
        <v>25</v>
      </c>
      <c r="G33" s="9">
        <f>0+12.54+14.61+8.83+8.25+6.31+12.75+12.64+14.64</f>
        <v>90.57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3</v>
      </c>
      <c r="D34" s="9">
        <v>3</v>
      </c>
      <c r="E34" s="9">
        <f t="shared" si="2"/>
        <v>6</v>
      </c>
      <c r="F34" s="9" t="s">
        <v>25</v>
      </c>
      <c r="G34" s="9">
        <f>12+6+7+7+7+7+7+12+6+7+3+7+6</f>
        <v>94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0+15.1875+10.8675+8.5455+5.7915</f>
        <v>40.392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</f>
        <v>7.0104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201</v>
      </c>
      <c r="D38" s="9">
        <v>202</v>
      </c>
      <c r="E38" s="9">
        <f t="shared" si="2"/>
        <v>403</v>
      </c>
      <c r="F38" s="9" t="s">
        <v>25</v>
      </c>
      <c r="G38" s="9">
        <f>0+4+305+340+403</f>
        <v>1052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242</v>
      </c>
      <c r="D39" s="9">
        <v>244</v>
      </c>
      <c r="E39" s="9">
        <f t="shared" si="2"/>
        <v>486</v>
      </c>
      <c r="F39" s="9" t="s">
        <v>25</v>
      </c>
      <c r="G39" s="9">
        <f>383+468+416+425+389+535+545+428+465+504+483+415+486</f>
        <v>5942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86.86*1.74</f>
        <v>151.1364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0+1+1+1+1+2+1+1</f>
        <v>8</v>
      </c>
      <c r="H43" s="19"/>
      <c r="I43" s="9">
        <v>8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B7" workbookViewId="0">
      <selection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113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8</v>
      </c>
      <c r="D3" s="8">
        <v>9</v>
      </c>
      <c r="E3" s="9">
        <f t="shared" ref="E3:E8" si="0">C3+D3</f>
        <v>17</v>
      </c>
      <c r="F3" s="9" t="s">
        <v>14</v>
      </c>
      <c r="G3" s="9">
        <f>7.5+15.5+13.5+13+6+3+5+10.5+9+8+12.5+9.5+13+17</f>
        <v>143</v>
      </c>
      <c r="H3" s="9">
        <v>284</v>
      </c>
      <c r="I3" s="9">
        <f>H3-G3</f>
        <v>141</v>
      </c>
      <c r="J3" s="9"/>
      <c r="K3" s="9"/>
      <c r="L3" s="9"/>
      <c r="M3" s="9">
        <f>I3/17</f>
        <v>8.29411764705882</v>
      </c>
    </row>
    <row r="4" s="1" customFormat="1" ht="56" customHeight="1" spans="1:13">
      <c r="A4" s="10">
        <v>2</v>
      </c>
      <c r="B4" s="7" t="s">
        <v>15</v>
      </c>
      <c r="C4" s="8">
        <v>12</v>
      </c>
      <c r="D4" s="8"/>
      <c r="E4" s="9">
        <f t="shared" si="0"/>
        <v>12</v>
      </c>
      <c r="F4" s="9" t="s">
        <v>14</v>
      </c>
      <c r="G4" s="9">
        <f>8+8+20+10+16+2+4+4+10+10+8+12+10+12</f>
        <v>134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95</v>
      </c>
      <c r="D5" s="9">
        <v>102</v>
      </c>
      <c r="E5" s="9">
        <f t="shared" si="0"/>
        <v>197</v>
      </c>
      <c r="F5" s="9" t="s">
        <v>14</v>
      </c>
      <c r="G5" s="9">
        <f>196+187+205+143+90+157+39+147+136+138+70+179+197</f>
        <v>1884</v>
      </c>
      <c r="H5" s="9">
        <v>4250</v>
      </c>
      <c r="I5" s="9">
        <f>H5-G5-G7-G6</f>
        <v>2285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8</v>
      </c>
      <c r="E7" s="9">
        <f t="shared" si="0"/>
        <v>8</v>
      </c>
      <c r="F7" s="9" t="s">
        <v>14</v>
      </c>
      <c r="G7" s="9">
        <f>3+1+21+36+3+8+1+8</f>
        <v>81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2</v>
      </c>
      <c r="E8" s="9">
        <f t="shared" si="0"/>
        <v>2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30.95</v>
      </c>
      <c r="D9" s="9"/>
      <c r="E9" s="9">
        <f>61.26+31.08+30.92+30.89+30.92+30.94+31.43+30.47+31.06+30.95</f>
        <v>339.92</v>
      </c>
      <c r="F9" s="9" t="s">
        <v>14</v>
      </c>
      <c r="G9" s="9">
        <f>0.545214+0.267288+0.265912+0.262565+0.253544+0.26299+0.273441+0.258995+0.26401+0.263075</f>
        <v>2.917034</v>
      </c>
      <c r="H9" s="9">
        <v>4.6</v>
      </c>
      <c r="I9" s="9">
        <f>H9-G9</f>
        <v>1.682966</v>
      </c>
      <c r="J9" s="21" t="s">
        <v>21</v>
      </c>
      <c r="K9" s="12">
        <v>0.85</v>
      </c>
      <c r="L9" s="9">
        <f>C9*K9/100</f>
        <v>0.263075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3.1185</v>
      </c>
      <c r="D11" s="9">
        <v>0</v>
      </c>
      <c r="E11" s="9">
        <f>C11+D11</f>
        <v>3.1185</v>
      </c>
      <c r="F11" s="9" t="s">
        <v>14</v>
      </c>
      <c r="G11" s="9">
        <f>2.916+5.9805+9.315+5.1705+5.103+3.1455+4.0095+7.9245+5.697+5.5215+6.8715+3.1185</f>
        <v>64.773</v>
      </c>
      <c r="H11" s="9"/>
      <c r="I11" s="9">
        <f>G11/(G3*0.1865)</f>
        <v>2.4287294474962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11.4264</v>
      </c>
      <c r="D12" s="9">
        <v>0</v>
      </c>
      <c r="E12" s="9">
        <f>C12+D12</f>
        <v>11.4264</v>
      </c>
      <c r="F12" s="9" t="s">
        <v>14</v>
      </c>
      <c r="G12" s="9">
        <f>16.5048+12.9536+15.7688+13.2296+12.0336+14.9592+15.7136+9.844+8.8688+13.0272+11.7392+11.4264</f>
        <v>156.0688</v>
      </c>
      <c r="H12" s="9"/>
      <c r="I12" s="9">
        <f>G12/(G3*0.1865)</f>
        <v>5.85195822943812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267</v>
      </c>
      <c r="D13" s="9">
        <v>301</v>
      </c>
      <c r="E13" s="9">
        <f>C13+D13</f>
        <v>568</v>
      </c>
      <c r="F13" s="9"/>
      <c r="G13" s="9">
        <f>539+277+276+257+154+476+448+237+48+398+415+377+224+494+568</f>
        <v>5188</v>
      </c>
      <c r="H13" s="9">
        <f>G13*1.05</f>
        <v>5447.4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260</v>
      </c>
      <c r="D14" s="9">
        <v>252</v>
      </c>
      <c r="E14" s="9">
        <f t="shared" ref="E14:E21" si="1">D14+C14</f>
        <v>512</v>
      </c>
      <c r="F14" s="9" t="s">
        <v>25</v>
      </c>
      <c r="G14" s="9">
        <f>327+448+439+411+191+63+175+227+366+299+330+194+432+512</f>
        <v>4414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522.54</v>
      </c>
      <c r="D15" s="9">
        <v>526</v>
      </c>
      <c r="E15" s="9">
        <f t="shared" si="1"/>
        <v>1048.54</v>
      </c>
      <c r="F15" s="9" t="s">
        <v>25</v>
      </c>
      <c r="G15" s="9">
        <f>924.88+887.37+839.4+726.66+157.66+466.35+447.5+573.16+853.34+975.93+1104.21+1085.13+757.19+1048.54</f>
        <v>10847.32</v>
      </c>
      <c r="H15" s="9"/>
      <c r="I15" s="9"/>
      <c r="J15" s="9">
        <f>(C15*K15+L15*D15)/1000</f>
        <v>3.3063268</v>
      </c>
      <c r="K15" s="9">
        <v>2.92</v>
      </c>
      <c r="L15" s="9">
        <v>3.385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</f>
        <v>32.3086843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18</v>
      </c>
      <c r="D17" s="9">
        <v>21</v>
      </c>
      <c r="E17" s="9">
        <f t="shared" si="1"/>
        <v>39</v>
      </c>
      <c r="F17" s="9" t="s">
        <v>14</v>
      </c>
      <c r="G17" s="9">
        <f>24+36+33+32+12+7+12+18+27+21+27+18+33+39</f>
        <v>339</v>
      </c>
      <c r="H17" s="9"/>
      <c r="I17" s="9">
        <f>G17/(G3*0.1865)</f>
        <v>12.711149440372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</f>
        <v>18</v>
      </c>
      <c r="H19" s="19"/>
      <c r="I19" s="19">
        <f>G19/(G3*0.1865)</f>
        <v>0.674928288869308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1.5+1.5+1.5+1.5+1.5+1.5+1.5+1.5+1.5</f>
        <v>13.5</v>
      </c>
      <c r="H20" s="19"/>
      <c r="I20" s="19">
        <f>G20/(G3*0.1865)</f>
        <v>0.506196216651981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8</v>
      </c>
      <c r="D21" s="6">
        <v>6</v>
      </c>
      <c r="E21" s="9">
        <f t="shared" si="1"/>
        <v>14</v>
      </c>
      <c r="F21" s="9" t="s">
        <v>34</v>
      </c>
      <c r="G21" s="9">
        <f>4+11+5+11+4+2+5+7+5+10+16+8+2+14</f>
        <v>104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656</v>
      </c>
      <c r="D23" s="6">
        <v>559</v>
      </c>
      <c r="E23" s="9">
        <f>D23+C23</f>
        <v>1215</v>
      </c>
      <c r="F23" s="9" t="s">
        <v>25</v>
      </c>
      <c r="G23" s="9">
        <f>1276+1300+1297+872+627+109+1294+610+1102+1148+1033+670+1344+1215</f>
        <v>13897</v>
      </c>
      <c r="H23" s="20">
        <v>22</v>
      </c>
      <c r="I23" s="19">
        <f>E23/H23</f>
        <v>55.2272727272727</v>
      </c>
      <c r="J23" s="21" t="s">
        <v>39</v>
      </c>
      <c r="K23" s="9">
        <f>24+24+24+16+10.5+24+11+24+24+18.5+12+24+22</f>
        <v>258</v>
      </c>
      <c r="L23" s="9">
        <f>G23/K23</f>
        <v>53.8643410852713</v>
      </c>
      <c r="M23" s="9"/>
    </row>
    <row r="24" s="1" customFormat="1" ht="29" customHeight="1" spans="1:13">
      <c r="A24" s="6">
        <v>18</v>
      </c>
      <c r="B24" s="7" t="s">
        <v>40</v>
      </c>
      <c r="C24" s="6">
        <v>826</v>
      </c>
      <c r="D24" s="6">
        <v>711</v>
      </c>
      <c r="E24" s="9">
        <f>D24+C24</f>
        <v>1537</v>
      </c>
      <c r="F24" s="9" t="s">
        <v>25</v>
      </c>
      <c r="G24" s="9">
        <f>1599+1727+1633+1108+754+203+1480+725+1293+1315+1177+875+1631+1537</f>
        <v>17057</v>
      </c>
      <c r="H24" s="19"/>
      <c r="I24" s="19">
        <f>E24/H23</f>
        <v>69.8636363636364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22.3</v>
      </c>
      <c r="D25" s="6">
        <v>26.12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114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115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116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0</v>
      </c>
      <c r="E33" s="9">
        <f t="shared" si="2"/>
        <v>0</v>
      </c>
      <c r="F33" s="9" t="s">
        <v>25</v>
      </c>
      <c r="G33" s="9">
        <f>0+12.54+14.61+8.83+8.25+6.31+12.75+12.64+14.64</f>
        <v>90.57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9</v>
      </c>
      <c r="D34" s="9">
        <v>2</v>
      </c>
      <c r="E34" s="9">
        <f t="shared" si="2"/>
        <v>11</v>
      </c>
      <c r="F34" s="9" t="s">
        <v>25</v>
      </c>
      <c r="G34" s="9">
        <f>12+6+7+7+7+7+7+12+6+7+3+7+6+11</f>
        <v>105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0+15.1875+10.8675+8.5455+5.7915</f>
        <v>40.392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</f>
        <v>7.0104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80</v>
      </c>
      <c r="D38" s="9">
        <v>0</v>
      </c>
      <c r="E38" s="9">
        <f t="shared" si="2"/>
        <v>80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265</v>
      </c>
      <c r="D39" s="9">
        <v>340</v>
      </c>
      <c r="E39" s="9">
        <f t="shared" si="2"/>
        <v>605</v>
      </c>
      <c r="F39" s="9" t="s">
        <v>25</v>
      </c>
      <c r="G39" s="9">
        <f>383+468+416+425+389+535+545+428+465+504+483+415+486+605</f>
        <v>6547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</f>
        <v>0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86.86*1.74</f>
        <v>151.1364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0</v>
      </c>
      <c r="E43" s="9">
        <f>D43+C43</f>
        <v>0</v>
      </c>
      <c r="F43" s="9" t="s">
        <v>34</v>
      </c>
      <c r="G43" s="9">
        <f>0+1+1+1+1+2+1+1</f>
        <v>8</v>
      </c>
      <c r="H43" s="19"/>
      <c r="I43" s="9">
        <v>0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110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23" workbookViewId="0">
      <pane xSplit="2" topLeftCell="C1" activePane="topRight" state="frozen"/>
      <selection/>
      <selection pane="topRight" activeCell="C28" sqref="C28:L2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117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7</v>
      </c>
      <c r="D3" s="8">
        <v>1.5</v>
      </c>
      <c r="E3" s="9">
        <f t="shared" ref="E3:E8" si="0">C3+D3</f>
        <v>8.5</v>
      </c>
      <c r="F3" s="9" t="s">
        <v>14</v>
      </c>
      <c r="G3" s="9">
        <f>7.5+15.5+13.5+13+6+3+5+10.5+9+8+12.5+9.5+13+17+8.5</f>
        <v>151.5</v>
      </c>
      <c r="H3" s="9">
        <v>284</v>
      </c>
      <c r="I3" s="9">
        <f>H3-G3</f>
        <v>132.5</v>
      </c>
      <c r="J3" s="9"/>
      <c r="K3" s="9"/>
      <c r="L3" s="9"/>
      <c r="M3" s="9">
        <f>I3/16</f>
        <v>8.28125</v>
      </c>
    </row>
    <row r="4" s="1" customFormat="1" ht="56" customHeight="1" spans="1:13">
      <c r="A4" s="10">
        <v>2</v>
      </c>
      <c r="B4" s="7" t="s">
        <v>15</v>
      </c>
      <c r="C4" s="8">
        <v>18</v>
      </c>
      <c r="D4" s="8"/>
      <c r="E4" s="9">
        <f t="shared" si="0"/>
        <v>18</v>
      </c>
      <c r="F4" s="9" t="s">
        <v>14</v>
      </c>
      <c r="G4" s="9">
        <f>8+8+20+10+16+2+4+4+10+10+8+12+10+12+18</f>
        <v>152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113</v>
      </c>
      <c r="E5" s="9">
        <f t="shared" si="0"/>
        <v>113</v>
      </c>
      <c r="F5" s="9" t="s">
        <v>14</v>
      </c>
      <c r="G5" s="9">
        <f>196+187+205+143+90+157+39+147+136+138+70+179+197+113</f>
        <v>1997</v>
      </c>
      <c r="H5" s="9">
        <v>4250</v>
      </c>
      <c r="I5" s="9">
        <f>H5-G5-G7-G6</f>
        <v>2172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</f>
        <v>81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61.26+31.08+30.92+30.89+30.92+30.94+31.43+30.47+31.06+30.95</f>
        <v>339.92</v>
      </c>
      <c r="F9" s="9" t="s">
        <v>14</v>
      </c>
      <c r="G9" s="9">
        <f>0.545214+0.267288+0.265912+0.262565+0.253544+0.26299+0.273441+0.258995+0.26401+0.263075</f>
        <v>2.917034</v>
      </c>
      <c r="H9" s="9">
        <v>4.6</v>
      </c>
      <c r="I9" s="9">
        <f>H9-G9</f>
        <v>1.682966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6.0885</v>
      </c>
      <c r="D11" s="9">
        <v>0</v>
      </c>
      <c r="E11" s="9">
        <f>C11+D11</f>
        <v>6.0885</v>
      </c>
      <c r="F11" s="9" t="s">
        <v>14</v>
      </c>
      <c r="G11" s="9">
        <f>2.916+5.9805+9.315+5.1705+5.103+3.1455+4.0095+7.9245+5.697+5.5215+6.8715+3.1185+6.0885</f>
        <v>70.8615</v>
      </c>
      <c r="H11" s="9"/>
      <c r="I11" s="9">
        <f>G11/(G3*0.1865)</f>
        <v>2.50794999070953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17.204</v>
      </c>
      <c r="D12" s="9">
        <v>0</v>
      </c>
      <c r="E12" s="9">
        <f>C12+D12</f>
        <v>17.204</v>
      </c>
      <c r="F12" s="9" t="s">
        <v>14</v>
      </c>
      <c r="G12" s="9">
        <f>16.5048+12.9536+15.7688+13.2296+12.0336+14.9592+15.7136+9.844+8.8688+13.0272+11.7392+11.4264+17.204</f>
        <v>173.2728</v>
      </c>
      <c r="H12" s="9"/>
      <c r="I12" s="9">
        <f>G12/(G3*0.1865)</f>
        <v>6.13251931091232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141</v>
      </c>
      <c r="D13" s="9">
        <v>115</v>
      </c>
      <c r="E13" s="9">
        <f>C13+D13</f>
        <v>256</v>
      </c>
      <c r="F13" s="9"/>
      <c r="G13" s="9">
        <f>539+277+276+257+154+476+448+237+48+398+415+377+224+494+568+256</f>
        <v>5444</v>
      </c>
      <c r="H13" s="9">
        <f>G13*1.05</f>
        <v>5716.2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206</v>
      </c>
      <c r="D14" s="9">
        <v>53</v>
      </c>
      <c r="E14" s="9">
        <f t="shared" ref="E14:E21" si="1">D14+C14</f>
        <v>259</v>
      </c>
      <c r="F14" s="9" t="s">
        <v>25</v>
      </c>
      <c r="G14" s="9">
        <f>327+448+439+411+191+63+175+227+366+299+330+194+432+512+259</f>
        <v>4673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276.85</v>
      </c>
      <c r="D15" s="9">
        <v>502.03</v>
      </c>
      <c r="E15" s="9">
        <f t="shared" si="1"/>
        <v>778.88</v>
      </c>
      <c r="F15" s="9" t="s">
        <v>25</v>
      </c>
      <c r="G15" s="9">
        <f>924.88+887.37+839.4+726.66+157.66+466.35+447.5+573.16+853.34+975.93+1104.21+1085.13+757.19+1048.54+778.88</f>
        <v>11626.2</v>
      </c>
      <c r="H15" s="9"/>
      <c r="I15" s="9"/>
      <c r="J15" s="9">
        <f>(C15*K15+L15*D15)/1000</f>
        <v>2.4512202</v>
      </c>
      <c r="K15" s="9">
        <v>3.16</v>
      </c>
      <c r="L15" s="9">
        <v>3.14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</f>
        <v>34.7599045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15</v>
      </c>
      <c r="D17" s="9">
        <v>7</v>
      </c>
      <c r="E17" s="9">
        <f t="shared" si="1"/>
        <v>22</v>
      </c>
      <c r="F17" s="9" t="s">
        <v>14</v>
      </c>
      <c r="G17" s="9">
        <f>24+36+33+32+12+7+12+18+27+21+27+18+33+39+22</f>
        <v>361</v>
      </c>
      <c r="H17" s="9"/>
      <c r="I17" s="9">
        <f>G17/(G3*0.1865)</f>
        <v>12.7766127819216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2+2+2+2+2+2+2+2+2+2</f>
        <v>20</v>
      </c>
      <c r="H19" s="19"/>
      <c r="I19" s="19">
        <f>G19/(G3*0.1865)</f>
        <v>0.707845583485962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1.5+1.5+1.5+1.5+1.5+1.5+1.5+1.5+1.5+1.5</f>
        <v>15</v>
      </c>
      <c r="H20" s="19"/>
      <c r="I20" s="19">
        <f>G20/(G3*0.1865)</f>
        <v>0.530884187614472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6</v>
      </c>
      <c r="D21" s="6">
        <v>0</v>
      </c>
      <c r="E21" s="9">
        <f t="shared" si="1"/>
        <v>6</v>
      </c>
      <c r="F21" s="9" t="s">
        <v>34</v>
      </c>
      <c r="G21" s="9">
        <f>4+11+5+11+4+2+5+7+5+10+16+8+2+14+6</f>
        <v>110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217</v>
      </c>
      <c r="D23" s="6">
        <v>614</v>
      </c>
      <c r="E23" s="9">
        <f>D23+C23</f>
        <v>831</v>
      </c>
      <c r="F23" s="9" t="s">
        <v>25</v>
      </c>
      <c r="G23" s="9">
        <f>1276+1300+1297+872+627+109+1294+610+1102+1148+1033+670+1344+1215+831</f>
        <v>14728</v>
      </c>
      <c r="H23" s="20">
        <v>15</v>
      </c>
      <c r="I23" s="19">
        <f>E23/H23</f>
        <v>55.4</v>
      </c>
      <c r="J23" s="21" t="s">
        <v>39</v>
      </c>
      <c r="K23" s="9">
        <f>24+24+24+16+10.5+24+11+24+24+18.5+12+24+22+15</f>
        <v>273</v>
      </c>
      <c r="L23" s="9">
        <f>G23/K23</f>
        <v>53.9487179487179</v>
      </c>
      <c r="M23" s="9"/>
    </row>
    <row r="24" s="1" customFormat="1" ht="29" customHeight="1" spans="1:13">
      <c r="A24" s="6">
        <v>18</v>
      </c>
      <c r="B24" s="7" t="s">
        <v>40</v>
      </c>
      <c r="C24" s="6">
        <v>341</v>
      </c>
      <c r="D24" s="6">
        <v>686</v>
      </c>
      <c r="E24" s="9">
        <f>D24+C24</f>
        <v>1027</v>
      </c>
      <c r="F24" s="9" t="s">
        <v>25</v>
      </c>
      <c r="G24" s="9">
        <f>1599+1727+1633+1108+754+203+1480+725+1293+1315+1177+875+1631+1537+1027</f>
        <v>18084</v>
      </c>
      <c r="H24" s="19"/>
      <c r="I24" s="19">
        <f>E24/H23</f>
        <v>68.4666666666667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22.3</v>
      </c>
      <c r="D25" s="6">
        <v>26.88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44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/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48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118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0</v>
      </c>
      <c r="D33" s="9">
        <v>6.6</v>
      </c>
      <c r="E33" s="9">
        <f t="shared" si="2"/>
        <v>6.6</v>
      </c>
      <c r="F33" s="9" t="s">
        <v>25</v>
      </c>
      <c r="G33" s="9">
        <f>0+12.54+14.61+8.83+8.25+6.31+12.75+12.64+14.64+6.6</f>
        <v>97.17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3</v>
      </c>
      <c r="D34" s="9">
        <v>2</v>
      </c>
      <c r="E34" s="9">
        <f t="shared" si="2"/>
        <v>5</v>
      </c>
      <c r="F34" s="9" t="s">
        <v>25</v>
      </c>
      <c r="G34" s="9">
        <f>12+6+7+7+7+7+7+12+6+7+3+7+6+11+5</f>
        <v>110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0+15.1875+10.8675+8.5455+5.7915</f>
        <v>40.392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</f>
        <v>7.0104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323</v>
      </c>
      <c r="D39" s="9">
        <v>326</v>
      </c>
      <c r="E39" s="9">
        <f t="shared" si="2"/>
        <v>649</v>
      </c>
      <c r="F39" s="9" t="s">
        <v>25</v>
      </c>
      <c r="G39" s="9">
        <f>383+468+416+425+389+535+545+428+465+504+483+415+486+605+649</f>
        <v>7196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750*0.1</f>
        <v>75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86.86*2.12</f>
        <v>184.1432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2</v>
      </c>
      <c r="E43" s="9">
        <f>D43+C43</f>
        <v>2</v>
      </c>
      <c r="F43" s="9" t="s">
        <v>34</v>
      </c>
      <c r="G43" s="9">
        <f>0+1+1+1+1+2+1+1+2</f>
        <v>10</v>
      </c>
      <c r="H43" s="19"/>
      <c r="I43" s="9">
        <v>2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7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120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5</v>
      </c>
      <c r="D3" s="8">
        <v>8</v>
      </c>
      <c r="E3" s="9">
        <f t="shared" ref="E3:E8" si="0">C3+D3</f>
        <v>13</v>
      </c>
      <c r="F3" s="9" t="s">
        <v>14</v>
      </c>
      <c r="G3" s="9">
        <f>7.5+15.5+13.5+13+6+3+5+10.5+9+8+12.5+9.5+13+17+8.5+13</f>
        <v>164.5</v>
      </c>
      <c r="H3" s="9">
        <v>284</v>
      </c>
      <c r="I3" s="9">
        <f>H3-G3</f>
        <v>119.5</v>
      </c>
      <c r="J3" s="9"/>
      <c r="K3" s="9"/>
      <c r="L3" s="9"/>
      <c r="M3" s="9">
        <f>I3/15</f>
        <v>7.96666666666667</v>
      </c>
    </row>
    <row r="4" s="1" customFormat="1" ht="56" customHeight="1" spans="1:13">
      <c r="A4" s="10">
        <v>2</v>
      </c>
      <c r="B4" s="7" t="s">
        <v>15</v>
      </c>
      <c r="C4" s="8">
        <v>10</v>
      </c>
      <c r="D4" s="8"/>
      <c r="E4" s="9">
        <f t="shared" si="0"/>
        <v>10</v>
      </c>
      <c r="F4" s="9" t="s">
        <v>14</v>
      </c>
      <c r="G4" s="9">
        <f>8+8+20+10+16+2+4+4+10+10+8+12+10+12+18+10</f>
        <v>162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96</v>
      </c>
      <c r="D5" s="9">
        <v>96</v>
      </c>
      <c r="E5" s="9">
        <f t="shared" si="0"/>
        <v>192</v>
      </c>
      <c r="F5" s="9" t="s">
        <v>14</v>
      </c>
      <c r="G5" s="9">
        <f>196+187+205+143+90+157+39+147+136+138+70+179+197+113+192</f>
        <v>2189</v>
      </c>
      <c r="H5" s="9">
        <v>4250</v>
      </c>
      <c r="I5" s="9">
        <f>H5-G5-G7-G6</f>
        <v>1980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</f>
        <v>81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61.26+31.08+30.92+30.89+30.92+30.94+31.43+30.47+31.06+30.95</f>
        <v>339.92</v>
      </c>
      <c r="F9" s="9" t="s">
        <v>14</v>
      </c>
      <c r="G9" s="9">
        <f>0.545214+0.267288+0.265912+0.262565+0.253544+0.26299+0.273441+0.258995+0.26401+0.263075</f>
        <v>2.917034</v>
      </c>
      <c r="H9" s="9">
        <v>4.6</v>
      </c>
      <c r="I9" s="9">
        <f>H9-G9</f>
        <v>1.682966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0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3.7665</v>
      </c>
      <c r="D11" s="9">
        <v>4.32</v>
      </c>
      <c r="E11" s="9">
        <f>C11+D11</f>
        <v>8.0865</v>
      </c>
      <c r="F11" s="9" t="s">
        <v>14</v>
      </c>
      <c r="G11" s="9">
        <f>2.916+5.9805+9.315+5.1705+5.103+3.1455+4.0095+7.9245+5.697+5.5215+6.8715+3.1185+6.0885+8.0865</f>
        <v>78.948</v>
      </c>
      <c r="H11" s="9"/>
      <c r="I11" s="9">
        <f>G11/(G3*0.1865)</f>
        <v>2.57333539770366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6.348</v>
      </c>
      <c r="D12" s="9">
        <v>0</v>
      </c>
      <c r="E12" s="9">
        <f>C12+D12</f>
        <v>6.348</v>
      </c>
      <c r="F12" s="9" t="s">
        <v>14</v>
      </c>
      <c r="G12" s="9">
        <f>16.5048+12.9536+15.7688+13.2296+12.0336+14.9592+15.7136+9.844+8.8688+13.0272+11.7392+11.4264+17.204+6.348</f>
        <v>179.6208</v>
      </c>
      <c r="H12" s="9"/>
      <c r="I12" s="9">
        <f>G12/(G3*0.1865)</f>
        <v>5.8547976238011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258</v>
      </c>
      <c r="D13" s="9">
        <v>252</v>
      </c>
      <c r="E13" s="9">
        <f>C13+D13</f>
        <v>510</v>
      </c>
      <c r="F13" s="9"/>
      <c r="G13" s="9">
        <f>539+277+276+257+154+476+448+237+48+398+415+377+224+494+568+256+510</f>
        <v>5954</v>
      </c>
      <c r="H13" s="9">
        <f>G13*1.05</f>
        <v>6251.7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206</v>
      </c>
      <c r="D14" s="9">
        <v>232</v>
      </c>
      <c r="E14" s="9">
        <f t="shared" ref="E14:E21" si="1">D14+C14</f>
        <v>438</v>
      </c>
      <c r="F14" s="9" t="s">
        <v>25</v>
      </c>
      <c r="G14" s="9">
        <f>327+448+439+411+191+63+175+227+366+299+330+194+432+512+259+438</f>
        <v>5111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475.78</v>
      </c>
      <c r="D15" s="9">
        <v>438.47</v>
      </c>
      <c r="E15" s="9">
        <f t="shared" si="1"/>
        <v>914.25</v>
      </c>
      <c r="F15" s="9" t="s">
        <v>25</v>
      </c>
      <c r="G15" s="9">
        <f>924.88+887.37+839.4+726.66+157.66+466.35+447.5+573.16+853.34+975.93+1104.21+1085.13+757.19+1048.54+778.88+914.25</f>
        <v>12540.45</v>
      </c>
      <c r="H15" s="9"/>
      <c r="I15" s="9"/>
      <c r="J15" s="9">
        <f>(C15*K15+L15*D15)/1000</f>
        <v>2.987732</v>
      </c>
      <c r="K15" s="9">
        <v>3.22</v>
      </c>
      <c r="L15" s="9">
        <v>3.32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</f>
        <v>37.7476365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15</v>
      </c>
      <c r="D17" s="9">
        <v>18</v>
      </c>
      <c r="E17" s="9">
        <f t="shared" si="1"/>
        <v>33</v>
      </c>
      <c r="F17" s="9" t="s">
        <v>14</v>
      </c>
      <c r="G17" s="9">
        <f>24+36+33+32+12+7+12+18+27+21+27+18+33+39+22+33</f>
        <v>394</v>
      </c>
      <c r="H17" s="9"/>
      <c r="I17" s="9">
        <f>G17/(G3*0.1865)</f>
        <v>12.8425564510215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</f>
        <v>0.65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2+2+2+2+2+2+2+2+2+2</f>
        <v>20</v>
      </c>
      <c r="H19" s="19"/>
      <c r="I19" s="19">
        <f>G19/(G3*0.1865)</f>
        <v>0.651906418833576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1.5+1.5+1.5+1.5+1.5+1.5+1.5+1.5+1.5+1.5</f>
        <v>15</v>
      </c>
      <c r="H20" s="19"/>
      <c r="I20" s="19">
        <f>G20/(G3*0.1865)</f>
        <v>0.488929814125182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3</v>
      </c>
      <c r="D21" s="6">
        <v>9</v>
      </c>
      <c r="E21" s="9">
        <f t="shared" si="1"/>
        <v>12</v>
      </c>
      <c r="F21" s="9" t="s">
        <v>34</v>
      </c>
      <c r="G21" s="9">
        <f>4+11+5+11+4+2+5+7+5+10+16+8+2+14+6+12</f>
        <v>122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617</v>
      </c>
      <c r="D23" s="6">
        <v>633</v>
      </c>
      <c r="E23" s="9">
        <f>D23+C23</f>
        <v>1250</v>
      </c>
      <c r="F23" s="9" t="s">
        <v>25</v>
      </c>
      <c r="G23" s="9">
        <f>1276+1300+1297+872+627+109+1294+610+1102+1148+1033+670+1344+1215+831+1250</f>
        <v>15978</v>
      </c>
      <c r="H23" s="20">
        <v>24</v>
      </c>
      <c r="I23" s="19">
        <f>E23/H23</f>
        <v>52.0833333333333</v>
      </c>
      <c r="J23" s="21" t="s">
        <v>39</v>
      </c>
      <c r="K23" s="9">
        <f>24+24+24+16+10.5+24+11+24+24+18.5+12+24+22+15+24</f>
        <v>297</v>
      </c>
      <c r="L23" s="9">
        <f>G23/K23</f>
        <v>53.7979797979798</v>
      </c>
      <c r="M23" s="9"/>
    </row>
    <row r="24" s="1" customFormat="1" ht="29" customHeight="1" spans="1:13">
      <c r="A24" s="6">
        <v>18</v>
      </c>
      <c r="B24" s="7" t="s">
        <v>40</v>
      </c>
      <c r="C24" s="6">
        <v>797</v>
      </c>
      <c r="D24" s="6">
        <v>783</v>
      </c>
      <c r="E24" s="9">
        <f>D24+C24</f>
        <v>1580</v>
      </c>
      <c r="F24" s="9" t="s">
        <v>25</v>
      </c>
      <c r="G24" s="9">
        <f>1599+1727+1633+1108+754+203+1480+725+1293+1315+1177+875+1631+1537+1027+1580</f>
        <v>19664</v>
      </c>
      <c r="H24" s="19"/>
      <c r="I24" s="19">
        <f>E24/H23</f>
        <v>65.8333333333333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29.16</v>
      </c>
      <c r="D25" s="6">
        <v>28.18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121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44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48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122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8.32</v>
      </c>
      <c r="D33" s="9">
        <v>8.39</v>
      </c>
      <c r="E33" s="9">
        <f t="shared" si="2"/>
        <v>16.71</v>
      </c>
      <c r="F33" s="9" t="s">
        <v>25</v>
      </c>
      <c r="G33" s="9">
        <f>0+12.54+14.61+8.83+8.25+6.31+12.75+12.64+14.64+6.6+16.71</f>
        <v>113.88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2</v>
      </c>
      <c r="D34" s="9">
        <v>3</v>
      </c>
      <c r="E34" s="9">
        <f t="shared" si="2"/>
        <v>5</v>
      </c>
      <c r="F34" s="9" t="s">
        <v>25</v>
      </c>
      <c r="G34" s="9">
        <f>12+6+7+7+7+7+7+12+6+7+3+7+6+11+5+5</f>
        <v>115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2.484</v>
      </c>
      <c r="D36" s="9">
        <v>0</v>
      </c>
      <c r="E36" s="9">
        <f t="shared" si="2"/>
        <v>2.484</v>
      </c>
      <c r="F36" s="9" t="s">
        <v>14</v>
      </c>
      <c r="G36" s="9">
        <f>0+15.1875+10.8675+8.5455+5.7915+2.484</f>
        <v>42.876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7.5072</v>
      </c>
      <c r="D37" s="9">
        <v>0</v>
      </c>
      <c r="E37" s="9">
        <f t="shared" si="2"/>
        <v>7.5072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271</v>
      </c>
      <c r="D39" s="9">
        <v>329</v>
      </c>
      <c r="E39" s="9">
        <f t="shared" si="2"/>
        <v>600</v>
      </c>
      <c r="F39" s="9" t="s">
        <v>25</v>
      </c>
      <c r="G39" s="9">
        <f>383+468+416+425+389+535+545+428+465+504+483+415+486+605+649+600</f>
        <v>7796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750*1.59</f>
        <v>1192.5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86.86*2.26</f>
        <v>196.3036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3</v>
      </c>
      <c r="E43" s="9">
        <f>D43+C43</f>
        <v>3</v>
      </c>
      <c r="F43" s="9" t="s">
        <v>34</v>
      </c>
      <c r="G43" s="9">
        <f>0+1+1+1+1+2+1+1+2+3</f>
        <v>13</v>
      </c>
      <c r="H43" s="19"/>
      <c r="I43" s="9">
        <v>5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15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123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8</v>
      </c>
      <c r="D3" s="8">
        <v>6.5</v>
      </c>
      <c r="E3" s="9">
        <f t="shared" ref="E3:E8" si="0">C3+D3</f>
        <v>14.5</v>
      </c>
      <c r="F3" s="9" t="s">
        <v>14</v>
      </c>
      <c r="G3" s="9">
        <f>7.5+15.5+13.5+13+6+3+5+10.5+9+8+12.5+9.5+13+17+8.5+13+14.5</f>
        <v>179</v>
      </c>
      <c r="H3" s="9">
        <v>284</v>
      </c>
      <c r="I3" s="9">
        <f>H3-G3</f>
        <v>105</v>
      </c>
      <c r="J3" s="9"/>
      <c r="K3" s="9"/>
      <c r="L3" s="9"/>
      <c r="M3" s="9">
        <f>I3/14</f>
        <v>7.5</v>
      </c>
    </row>
    <row r="4" s="1" customFormat="1" ht="56" customHeight="1" spans="1:13">
      <c r="A4" s="10">
        <v>2</v>
      </c>
      <c r="B4" s="7" t="s">
        <v>15</v>
      </c>
      <c r="C4" s="8">
        <v>12</v>
      </c>
      <c r="D4" s="8"/>
      <c r="E4" s="9">
        <f t="shared" si="0"/>
        <v>12</v>
      </c>
      <c r="F4" s="9" t="s">
        <v>14</v>
      </c>
      <c r="G4" s="9">
        <f>8+8+20+10+16+2+4+4+10+10+8+12+10+12+18+10+12</f>
        <v>174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100</v>
      </c>
      <c r="D5" s="9">
        <v>90</v>
      </c>
      <c r="E5" s="9">
        <f t="shared" si="0"/>
        <v>190</v>
      </c>
      <c r="F5" s="9" t="s">
        <v>14</v>
      </c>
      <c r="G5" s="9">
        <f>196+187+205+143+90+157+39+147+136+138+70+179+197+113+192+190</f>
        <v>2379</v>
      </c>
      <c r="H5" s="9">
        <v>4250</v>
      </c>
      <c r="I5" s="9">
        <f>H5-G5-G7-G6</f>
        <v>1790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</f>
        <v>81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0</v>
      </c>
      <c r="D9" s="9"/>
      <c r="E9" s="9">
        <f>61.26+31.08+30.92+30.89+30.92+30.94+31.43+30.47+31.06+30.95</f>
        <v>339.92</v>
      </c>
      <c r="F9" s="9" t="s">
        <v>14</v>
      </c>
      <c r="G9" s="9">
        <f>0.545214+0.267288+0.265912+0.262565+0.253544+0.26299+0.273441+0.258995+0.26401+0.263075</f>
        <v>2.917034</v>
      </c>
      <c r="H9" s="9">
        <v>4.6</v>
      </c>
      <c r="I9" s="9">
        <f>H9-G9</f>
        <v>1.682966</v>
      </c>
      <c r="J9" s="21" t="s">
        <v>21</v>
      </c>
      <c r="K9" s="12">
        <v>0</v>
      </c>
      <c r="L9" s="9">
        <f>C9*K9/100</f>
        <v>0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1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6.7365</v>
      </c>
      <c r="D11" s="9">
        <v>1.755</v>
      </c>
      <c r="E11" s="9">
        <f>C11+D11</f>
        <v>8.4915</v>
      </c>
      <c r="F11" s="9" t="s">
        <v>14</v>
      </c>
      <c r="G11" s="9">
        <f>2.916+5.9805+9.315+5.1705+5.103+3.1455+4.0095+7.9245+5.697+5.5215+6.8715+3.1185+6.0885+8.0865+8.4915</f>
        <v>87.4395</v>
      </c>
      <c r="H11" s="9"/>
      <c r="I11" s="9">
        <f>G11/(G3*0.1865)</f>
        <v>2.61924303922596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15.9896</v>
      </c>
      <c r="D12" s="9">
        <v>0</v>
      </c>
      <c r="E12" s="9">
        <f>C12+D12</f>
        <v>15.9896</v>
      </c>
      <c r="F12" s="9" t="s">
        <v>14</v>
      </c>
      <c r="G12" s="9">
        <f>16.5048+12.9536+15.7688+13.2296+12.0336+14.9592+15.7136+9.844+8.8688+13.0272+11.7392+11.4264+17.204+6.348+15.9896</f>
        <v>195.6104</v>
      </c>
      <c r="H12" s="9"/>
      <c r="I12" s="9">
        <f>G12/(G3*0.1865)</f>
        <v>5.85949346233918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284</v>
      </c>
      <c r="D13" s="9">
        <v>260</v>
      </c>
      <c r="E13" s="9">
        <f>C13+D13</f>
        <v>544</v>
      </c>
      <c r="F13" s="9"/>
      <c r="G13" s="9">
        <f>539+277+276+257+154+476+448+237+48+398+415+377+224+494+568+256+510+544</f>
        <v>6498</v>
      </c>
      <c r="H13" s="9">
        <f>G13*1.05</f>
        <v>6822.9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165</v>
      </c>
      <c r="D14" s="9">
        <v>220</v>
      </c>
      <c r="E14" s="9">
        <f t="shared" ref="E14:E21" si="1">D14+C14</f>
        <v>385</v>
      </c>
      <c r="F14" s="9" t="s">
        <v>25</v>
      </c>
      <c r="G14" s="9">
        <f>327+448+439+411+191+63+175+227+366+299+330+194+432+512+259+438+385</f>
        <v>5496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371.84</v>
      </c>
      <c r="D15" s="9">
        <v>468.25</v>
      </c>
      <c r="E15" s="9">
        <f t="shared" si="1"/>
        <v>840.09</v>
      </c>
      <c r="F15" s="9" t="s">
        <v>25</v>
      </c>
      <c r="G15" s="9">
        <f>924.88+887.37+839.4+726.66+157.66+466.35+447.5+573.16+853.34+975.93+1104.21+1085.13+757.19+1048.54+778.88+914.25+840.09</f>
        <v>13380.54</v>
      </c>
      <c r="H15" s="9"/>
      <c r="I15" s="9"/>
      <c r="J15" s="9">
        <f>(C15*K15+L15*D15)/1000</f>
        <v>2.8309653</v>
      </c>
      <c r="K15" s="9">
        <v>3.42</v>
      </c>
      <c r="L15" s="9">
        <v>3.33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</f>
        <v>40.5786018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12</v>
      </c>
      <c r="D17" s="9">
        <v>16</v>
      </c>
      <c r="E17" s="9">
        <f t="shared" si="1"/>
        <v>28</v>
      </c>
      <c r="F17" s="9" t="s">
        <v>14</v>
      </c>
      <c r="G17" s="9">
        <f>24+36+33+32+12+7+12+18+27+21+27+18+33+39+22+33+28</f>
        <v>422</v>
      </c>
      <c r="H17" s="9"/>
      <c r="I17" s="9">
        <f>G17/(G3*0.1865)</f>
        <v>12.6409753321252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0.15</v>
      </c>
      <c r="D18" s="6">
        <v>0</v>
      </c>
      <c r="E18" s="9">
        <f t="shared" si="1"/>
        <v>0.15</v>
      </c>
      <c r="F18" s="9" t="s">
        <v>14</v>
      </c>
      <c r="G18" s="9">
        <f>0+0.15+0.15+0.2+0.15+0.15</f>
        <v>0.8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2+2+2+2+2+2+2+2+2+2+2</f>
        <v>22</v>
      </c>
      <c r="H19" s="19"/>
      <c r="I19" s="19">
        <f>G19/(G3*0.1865)</f>
        <v>0.659008192670032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1.5+1.5+1.5+1.5+1.5+1.5+1.5+1.5+1.5+1.5+1.5</f>
        <v>16.5</v>
      </c>
      <c r="H20" s="19"/>
      <c r="I20" s="19">
        <f>G20/(G3*0.1865)</f>
        <v>0.494256144502524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4</v>
      </c>
      <c r="D21" s="6">
        <v>0</v>
      </c>
      <c r="E21" s="9">
        <f t="shared" si="1"/>
        <v>4</v>
      </c>
      <c r="F21" s="9" t="s">
        <v>34</v>
      </c>
      <c r="G21" s="9">
        <f>4+11+5+11+4+2+5+7+5+10+16+8+2+14+6+12+4</f>
        <v>126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631</v>
      </c>
      <c r="D23" s="6">
        <v>579</v>
      </c>
      <c r="E23" s="9">
        <f>D23+C23</f>
        <v>1210</v>
      </c>
      <c r="F23" s="9" t="s">
        <v>25</v>
      </c>
      <c r="G23" s="9">
        <f>1276+1300+1297+872+627+109+1294+610+1102+1148+1033+670+1344+1215+831+1250+1210</f>
        <v>17188</v>
      </c>
      <c r="H23" s="20">
        <v>24</v>
      </c>
      <c r="I23" s="19">
        <f>E23/H23</f>
        <v>50.4166666666667</v>
      </c>
      <c r="J23" s="21" t="s">
        <v>39</v>
      </c>
      <c r="K23" s="9">
        <f>24+24+24+16+10.5+24+11+24+24+18.5+12+24+22+15+24+24</f>
        <v>321</v>
      </c>
      <c r="L23" s="9">
        <f>G23/K23</f>
        <v>53.5451713395639</v>
      </c>
      <c r="M23" s="9"/>
    </row>
    <row r="24" s="1" customFormat="1" ht="29" customHeight="1" spans="1:13">
      <c r="A24" s="6">
        <v>18</v>
      </c>
      <c r="B24" s="7" t="s">
        <v>40</v>
      </c>
      <c r="C24" s="6">
        <v>811</v>
      </c>
      <c r="D24" s="6">
        <v>750</v>
      </c>
      <c r="E24" s="9">
        <f>D24+C24</f>
        <v>1561</v>
      </c>
      <c r="F24" s="9" t="s">
        <v>25</v>
      </c>
      <c r="G24" s="9">
        <f>1599+1727+1633+1108+754+203+1480+725+1293+1315+1177+875+1631+1537+1027+1580+1561</f>
        <v>21225</v>
      </c>
      <c r="H24" s="19"/>
      <c r="I24" s="19">
        <f>E24/H23</f>
        <v>65.0416666666667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29.13</v>
      </c>
      <c r="D25" s="6">
        <v>30.42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 t="s">
        <v>121</v>
      </c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124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48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125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8.81</v>
      </c>
      <c r="D33" s="9">
        <v>9.08</v>
      </c>
      <c r="E33" s="9">
        <f t="shared" si="2"/>
        <v>17.89</v>
      </c>
      <c r="F33" s="9" t="s">
        <v>25</v>
      </c>
      <c r="G33" s="9">
        <f>0+12.54+14.61+8.83+8.25+6.31+12.75+12.64+14.64+6.6+16.71+17.89</f>
        <v>131.77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2</v>
      </c>
      <c r="D34" s="9">
        <v>3</v>
      </c>
      <c r="E34" s="9">
        <f t="shared" si="2"/>
        <v>5</v>
      </c>
      <c r="F34" s="9" t="s">
        <v>25</v>
      </c>
      <c r="G34" s="9">
        <f>12+6+7+7+7+7+7+12+6+7+3+7+6+11+5+5+5</f>
        <v>120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11.7315</v>
      </c>
      <c r="D36" s="9">
        <v>0</v>
      </c>
      <c r="E36" s="9">
        <f t="shared" si="2"/>
        <v>11.7315</v>
      </c>
      <c r="F36" s="9" t="s">
        <v>14</v>
      </c>
      <c r="G36" s="9">
        <f>0+15.1875+10.8675+8.5455+5.7915+2.484+11.7315</f>
        <v>54.6075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311</v>
      </c>
      <c r="D39" s="9">
        <v>324</v>
      </c>
      <c r="E39" s="9">
        <f t="shared" si="2"/>
        <v>635</v>
      </c>
      <c r="F39" s="9" t="s">
        <v>25</v>
      </c>
      <c r="G39" s="9">
        <f>383+468+416+425+389+535+545+428+465+504+483+415+486+605+649+600+635</f>
        <v>8431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750*1.93</f>
        <v>1447.5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86.86*2.15</f>
        <v>186.749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0</v>
      </c>
      <c r="D43" s="6">
        <v>2</v>
      </c>
      <c r="E43" s="9">
        <f>D43+C43</f>
        <v>2</v>
      </c>
      <c r="F43" s="9" t="s">
        <v>34</v>
      </c>
      <c r="G43" s="9">
        <f>0+1+1+1+1+2+1+1+2+3+2</f>
        <v>15</v>
      </c>
      <c r="H43" s="19"/>
      <c r="I43" s="9">
        <v>7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7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126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6.5</v>
      </c>
      <c r="D3" s="8">
        <v>3</v>
      </c>
      <c r="E3" s="9">
        <f t="shared" ref="E3:E8" si="0">C3+D3</f>
        <v>9.5</v>
      </c>
      <c r="F3" s="9" t="s">
        <v>14</v>
      </c>
      <c r="G3" s="9">
        <f>7.5+15.5+13.5+13+6+3+5+10.5+9+8+12.5+9.5+13+17+8.5+13+14.5+9.5</f>
        <v>188.5</v>
      </c>
      <c r="H3" s="9">
        <v>284</v>
      </c>
      <c r="I3" s="9">
        <f>H3-G3</f>
        <v>95.5</v>
      </c>
      <c r="J3" s="9"/>
      <c r="K3" s="9"/>
      <c r="L3" s="9"/>
      <c r="M3" s="9">
        <f>I3/13</f>
        <v>7.34615384615385</v>
      </c>
    </row>
    <row r="4" s="1" customFormat="1" ht="56" customHeight="1" spans="1:13">
      <c r="A4" s="10">
        <v>2</v>
      </c>
      <c r="B4" s="7" t="s">
        <v>15</v>
      </c>
      <c r="C4" s="8">
        <v>16</v>
      </c>
      <c r="D4" s="8"/>
      <c r="E4" s="9">
        <f t="shared" si="0"/>
        <v>16</v>
      </c>
      <c r="F4" s="9" t="s">
        <v>14</v>
      </c>
      <c r="G4" s="9">
        <f>8+8+20+10+16+2+4+4+10+10+8+12+10+12+18+10+12+16</f>
        <v>190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43</v>
      </c>
      <c r="D5" s="9">
        <v>10</v>
      </c>
      <c r="E5" s="9">
        <f t="shared" si="0"/>
        <v>53</v>
      </c>
      <c r="F5" s="9" t="s">
        <v>14</v>
      </c>
      <c r="G5" s="9">
        <f>196+187+205+143+90+157+39+147+136+138+70+179+197+113+192+190+53</f>
        <v>2432</v>
      </c>
      <c r="H5" s="9">
        <v>4250</v>
      </c>
      <c r="I5" s="9">
        <f>H5-G5-G7-G6</f>
        <v>1733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/>
      <c r="D6" s="9"/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4</v>
      </c>
      <c r="E7" s="9">
        <f t="shared" si="0"/>
        <v>4</v>
      </c>
      <c r="F7" s="9" t="s">
        <v>14</v>
      </c>
      <c r="G7" s="9">
        <f>3+1+21+36+3+8+1+8+4</f>
        <v>85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30.96</v>
      </c>
      <c r="D9" s="9"/>
      <c r="E9" s="9">
        <f>61.26+31.08+30.92+30.89+30.92+30.94+31.43+30.47+31.06+30.95+30.96</f>
        <v>370.88</v>
      </c>
      <c r="F9" s="9" t="s">
        <v>14</v>
      </c>
      <c r="G9" s="9">
        <f>0.545214+0.267288+0.265912+0.262565+0.253544+0.26299+0.273441+0.258995+0.26401+0.263075+0.27864</f>
        <v>3.195674</v>
      </c>
      <c r="H9" s="9">
        <v>4.6</v>
      </c>
      <c r="I9" s="9">
        <f>H9-G9</f>
        <v>1.404326</v>
      </c>
      <c r="J9" s="21" t="s">
        <v>21</v>
      </c>
      <c r="K9" s="12">
        <v>0.9</v>
      </c>
      <c r="L9" s="9">
        <f>C9*K9/100</f>
        <v>0.27864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3.429</v>
      </c>
      <c r="D11" s="9">
        <v>0</v>
      </c>
      <c r="E11" s="9">
        <f>C11+D11</f>
        <v>3.429</v>
      </c>
      <c r="F11" s="9" t="s">
        <v>14</v>
      </c>
      <c r="G11" s="9">
        <f>2.916+5.9805+9.315+5.1705+5.103+3.1455+4.0095+7.9245+5.697+5.5215+6.8715+3.1185+6.0885+8.0865+8.4915+3.429</f>
        <v>90.8685</v>
      </c>
      <c r="H11" s="9"/>
      <c r="I11" s="9">
        <f>G11/(G3*0.1865)</f>
        <v>2.58477752256064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10.2488</v>
      </c>
      <c r="D12" s="9">
        <v>0</v>
      </c>
      <c r="E12" s="9">
        <f>C12+D12</f>
        <v>10.2488</v>
      </c>
      <c r="F12" s="9" t="s">
        <v>14</v>
      </c>
      <c r="G12" s="9">
        <f>16.5048+12.9536+15.7688+13.2296+12.0336+14.9592+15.7136+9.844+8.8688+13.0272+11.7392+11.4264+17.204+6.348+15.9896+10.2488</f>
        <v>205.8592</v>
      </c>
      <c r="H12" s="9"/>
      <c r="I12" s="9">
        <f>G12/(G3*0.1865)</f>
        <v>5.85571714039866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290</v>
      </c>
      <c r="D13" s="9">
        <v>12</v>
      </c>
      <c r="E13" s="9">
        <f>C13+D13</f>
        <v>302</v>
      </c>
      <c r="F13" s="9"/>
      <c r="G13" s="9">
        <f>539+277+276+257+154+476+448+237+48+398+415+377+224+494+568+256+510+544+302</f>
        <v>6800</v>
      </c>
      <c r="H13" s="9">
        <f>G13*1.05</f>
        <v>7140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195</v>
      </c>
      <c r="D14" s="9">
        <v>0</v>
      </c>
      <c r="E14" s="9">
        <f t="shared" ref="E14:E21" si="1">D14+C14</f>
        <v>195</v>
      </c>
      <c r="F14" s="9" t="s">
        <v>25</v>
      </c>
      <c r="G14" s="9">
        <f>327+448+439+411+191+63+175+227+366+299+330+194+432+512+259+438+385+195</f>
        <v>5691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207</v>
      </c>
      <c r="D15" s="9">
        <v>0</v>
      </c>
      <c r="E15" s="9">
        <f t="shared" si="1"/>
        <v>207</v>
      </c>
      <c r="F15" s="9" t="s">
        <v>25</v>
      </c>
      <c r="G15" s="9">
        <f>924.88+887.37+839.4+726.66+157.66+466.35+447.5+573.16+853.34+975.93+1104.21+1085.13+757.19+1048.54+778.88+914.25+840.09+207</f>
        <v>13587.54</v>
      </c>
      <c r="H15" s="9"/>
      <c r="I15" s="9"/>
      <c r="J15" s="9">
        <f>(C15*K15+L15*D15)/1000</f>
        <v>0.621</v>
      </c>
      <c r="K15" s="9">
        <v>3</v>
      </c>
      <c r="L15" s="9">
        <v>0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2.5044003+2.8297459+2.6826627+2.2986316+0.5076652+1.4199265+1.285962+1.7736691+2.3821937+2.6333799+3.3155793+3.115421+2.2531203+3.3063268+2.4512202+2.987732+2.8309653+0.621</f>
        <v>41.1996018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15</v>
      </c>
      <c r="D17" s="9">
        <v>3</v>
      </c>
      <c r="E17" s="9">
        <f t="shared" si="1"/>
        <v>18</v>
      </c>
      <c r="F17" s="9" t="s">
        <v>14</v>
      </c>
      <c r="G17" s="9">
        <f>24+36+33+32+12+7+12+18+27+21+27+18+33+39+22+33+28+18</f>
        <v>440</v>
      </c>
      <c r="H17" s="9"/>
      <c r="I17" s="9">
        <f>G17/(G3*0.1865)</f>
        <v>12.5159115637067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0.2</v>
      </c>
      <c r="D18" s="6">
        <v>0</v>
      </c>
      <c r="E18" s="9">
        <f t="shared" si="1"/>
        <v>0.2</v>
      </c>
      <c r="F18" s="9" t="s">
        <v>14</v>
      </c>
      <c r="G18" s="9">
        <f>0+0.15+0.15+0.2+0.15+0.15+0.2</f>
        <v>1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2+2+2+2+2+2+2+2+2+2+2+2</f>
        <v>24</v>
      </c>
      <c r="H19" s="19"/>
      <c r="I19" s="19">
        <f>G19/(G3*0.1865)</f>
        <v>0.682686085293093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1.5+1.5+1.5+1.5+1.5+1.5+1.5+1.5+1.5+1.5+1.5+1.5</f>
        <v>18</v>
      </c>
      <c r="H20" s="19"/>
      <c r="I20" s="19">
        <f>G20/(G3*0.1865)</f>
        <v>0.51201456396982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11</v>
      </c>
      <c r="D21" s="6">
        <v>0</v>
      </c>
      <c r="E21" s="9">
        <f t="shared" si="1"/>
        <v>11</v>
      </c>
      <c r="F21" s="9" t="s">
        <v>34</v>
      </c>
      <c r="G21" s="9">
        <f>4+11+5+11+4+2+5+7+5+10+16+8+2+14+6+12+4+11</f>
        <v>137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231</v>
      </c>
      <c r="D23" s="6">
        <v>240</v>
      </c>
      <c r="E23" s="9">
        <f>D23+C23</f>
        <v>471</v>
      </c>
      <c r="F23" s="9" t="s">
        <v>25</v>
      </c>
      <c r="G23" s="9">
        <f>1276+1300+1297+872+627+109+1294+610+1102+1148+1033+670+1344+1215+831+1250+1210+471</f>
        <v>17659</v>
      </c>
      <c r="H23" s="20">
        <v>9</v>
      </c>
      <c r="I23" s="19">
        <f>E23/H23</f>
        <v>52.3333333333333</v>
      </c>
      <c r="J23" s="21" t="s">
        <v>39</v>
      </c>
      <c r="K23" s="9">
        <f>24+24+24+16+10.5+24+11+24+24+18.5+12+24+22+15+24+24+9</f>
        <v>330</v>
      </c>
      <c r="L23" s="9">
        <f>G23/K23</f>
        <v>53.5121212121212</v>
      </c>
      <c r="M23" s="9"/>
    </row>
    <row r="24" s="1" customFormat="1" ht="29" customHeight="1" spans="1:13">
      <c r="A24" s="6">
        <v>18</v>
      </c>
      <c r="B24" s="7" t="s">
        <v>40</v>
      </c>
      <c r="C24" s="6">
        <v>399</v>
      </c>
      <c r="D24" s="6">
        <v>151</v>
      </c>
      <c r="E24" s="9">
        <f>D24+C24</f>
        <v>550</v>
      </c>
      <c r="F24" s="9" t="s">
        <v>25</v>
      </c>
      <c r="G24" s="9">
        <f>1599+1727+1633+1108+754+203+1480+725+1293+1315+1177+875+1631+1537+1027+1580+1561+550</f>
        <v>21775</v>
      </c>
      <c r="H24" s="19"/>
      <c r="I24" s="19">
        <f>E24/H23</f>
        <v>61.1111111111111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32.14</v>
      </c>
      <c r="D25" s="6"/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/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127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128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129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6.4</v>
      </c>
      <c r="D33" s="9">
        <v>6.37</v>
      </c>
      <c r="E33" s="9">
        <f t="shared" si="2"/>
        <v>12.77</v>
      </c>
      <c r="F33" s="9" t="s">
        <v>25</v>
      </c>
      <c r="G33" s="9">
        <f>0+12.54+14.61+8.83+8.25+6.31+12.75+12.64+14.64+6.6+16.71+17.89+12.77</f>
        <v>144.54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2</v>
      </c>
      <c r="D34" s="9">
        <v>3</v>
      </c>
      <c r="E34" s="9">
        <f t="shared" si="2"/>
        <v>5</v>
      </c>
      <c r="F34" s="9" t="s">
        <v>25</v>
      </c>
      <c r="G34" s="9">
        <f>12+6+7+7+7+7+7+12+6+7+3+7+6+11+5+5+5+5</f>
        <v>125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6.6825</v>
      </c>
      <c r="D36" s="9">
        <v>0</v>
      </c>
      <c r="E36" s="9">
        <f t="shared" si="2"/>
        <v>6.6825</v>
      </c>
      <c r="F36" s="9" t="s">
        <v>14</v>
      </c>
      <c r="G36" s="9">
        <f>0+15.1875+10.8675+8.5455+5.7915+2.484+11.7315+6.6825</f>
        <v>61.29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317</v>
      </c>
      <c r="D39" s="9">
        <v>302</v>
      </c>
      <c r="E39" s="9">
        <f t="shared" si="2"/>
        <v>619</v>
      </c>
      <c r="F39" s="9" t="s">
        <v>25</v>
      </c>
      <c r="G39" s="9">
        <f>383+468+416+425+389+535+545+428+465+504+483+415+486+605+649+600+635+619</f>
        <v>9050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750*1.93</f>
        <v>1447.5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86.86*2.15</f>
        <v>186.749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2</v>
      </c>
      <c r="D43" s="6">
        <v>0</v>
      </c>
      <c r="E43" s="9">
        <f>D43+C43</f>
        <v>2</v>
      </c>
      <c r="F43" s="9" t="s">
        <v>34</v>
      </c>
      <c r="G43" s="9">
        <f>0+1+1+1+1+2+1+1+2+3+2+2</f>
        <v>17</v>
      </c>
      <c r="H43" s="19"/>
      <c r="I43" s="9">
        <v>9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15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130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0</v>
      </c>
      <c r="D3" s="8">
        <v>0.5</v>
      </c>
      <c r="E3" s="9">
        <f t="shared" ref="E3:E8" si="0">C3+D3</f>
        <v>0.5</v>
      </c>
      <c r="F3" s="9" t="s">
        <v>14</v>
      </c>
      <c r="G3" s="9">
        <f>7.5+15.5+13.5+13+6+3+5+10.5+9+8+12.5+9.5+13+17+8.5+13+14.5+9.5+0.5</f>
        <v>189</v>
      </c>
      <c r="H3" s="9">
        <v>284</v>
      </c>
      <c r="I3" s="9">
        <f>H3-G3</f>
        <v>95</v>
      </c>
      <c r="J3" s="9"/>
      <c r="K3" s="9"/>
      <c r="L3" s="9"/>
      <c r="M3" s="9">
        <f>I3/12</f>
        <v>7.91666666666667</v>
      </c>
    </row>
    <row r="4" s="1" customFormat="1" ht="56" customHeight="1" spans="1:13">
      <c r="A4" s="10">
        <v>2</v>
      </c>
      <c r="B4" s="7" t="s">
        <v>15</v>
      </c>
      <c r="C4" s="8">
        <v>6</v>
      </c>
      <c r="D4" s="8"/>
      <c r="E4" s="9">
        <f t="shared" si="0"/>
        <v>6</v>
      </c>
      <c r="F4" s="9" t="s">
        <v>14</v>
      </c>
      <c r="G4" s="9">
        <f>8+8+20+10+16+2+4+4+10+10+8+12+10+12+18+10+12+16+6</f>
        <v>196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83</v>
      </c>
      <c r="E5" s="9">
        <f t="shared" si="0"/>
        <v>83</v>
      </c>
      <c r="F5" s="9" t="s">
        <v>14</v>
      </c>
      <c r="G5" s="9">
        <f>196+187+205+143+90+157+39+147+136+138+70+179+197+113+192+190+53+83</f>
        <v>2515</v>
      </c>
      <c r="H5" s="9">
        <v>4250</v>
      </c>
      <c r="I5" s="9">
        <f>H5-G5-G7-G6</f>
        <v>1650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3+1+21+36+3+8+1+8+4</f>
        <v>85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</f>
        <v>3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32.98</v>
      </c>
      <c r="D9" s="9"/>
      <c r="E9" s="9">
        <f>61.26+31.08+30.92+30.89+30.92+30.94+31.43+30.47+31.06+30.95+30.96+32.98</f>
        <v>403.86</v>
      </c>
      <c r="F9" s="9" t="s">
        <v>14</v>
      </c>
      <c r="G9" s="9">
        <f>0.545214+0.267288+0.265912+0.262565+0.253544+0.26299+0.273441+0.258995+0.26401+0.263075+0.27864+0.283628</f>
        <v>3.479302</v>
      </c>
      <c r="H9" s="9">
        <v>4.6</v>
      </c>
      <c r="I9" s="9">
        <f>H9-G9</f>
        <v>1.120698</v>
      </c>
      <c r="J9" s="21" t="s">
        <v>21</v>
      </c>
      <c r="K9" s="12">
        <v>0.86</v>
      </c>
      <c r="L9" s="9">
        <f>C9*K9/100</f>
        <v>0.283628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2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3.753</v>
      </c>
      <c r="D11" s="9">
        <v>0</v>
      </c>
      <c r="E11" s="9">
        <f>C11+D11</f>
        <v>3.753</v>
      </c>
      <c r="F11" s="9" t="s">
        <v>14</v>
      </c>
      <c r="G11" s="9">
        <f>2.916+5.9805+9.315+5.1705+5.103+3.1455+4.0095+7.9245+5.697+5.5215+6.8715+3.1185+6.0885+8.0865+8.4915+3.429+3.753</f>
        <v>94.6215</v>
      </c>
      <c r="H11" s="9"/>
      <c r="I11" s="9">
        <f>G11/(G3*0.1865)</f>
        <v>2.68441210264267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7.6728</v>
      </c>
      <c r="D12" s="9">
        <v>0</v>
      </c>
      <c r="E12" s="9">
        <f>C12+D12</f>
        <v>7.6728</v>
      </c>
      <c r="F12" s="9" t="s">
        <v>14</v>
      </c>
      <c r="G12" s="9">
        <f>16.5048+12.9536+15.7688+13.2296+12.0336+14.9592+15.7136+9.844+8.8688+13.0272+11.7392+11.4264+17.204+6.348+15.9896+10.2488+7.6728</f>
        <v>213.532</v>
      </c>
      <c r="H12" s="9"/>
      <c r="I12" s="9">
        <f>G12/(G3*0.1865)</f>
        <v>6.05790317318467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14</v>
      </c>
      <c r="D13" s="9">
        <v>153</v>
      </c>
      <c r="E13" s="9">
        <f>C13+D13</f>
        <v>167</v>
      </c>
      <c r="F13" s="9"/>
      <c r="G13" s="9">
        <f>539+277+276+257+154+476+448+237+48+398+415+377+224+494+568+256+510+544+302+167</f>
        <v>6967</v>
      </c>
      <c r="H13" s="9">
        <f>G13*1.05</f>
        <v>7315.35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0</v>
      </c>
      <c r="D14" s="9">
        <v>96</v>
      </c>
      <c r="E14" s="9">
        <f t="shared" ref="E14:E21" si="1">D14+C14</f>
        <v>96</v>
      </c>
      <c r="F14" s="9" t="s">
        <v>25</v>
      </c>
      <c r="G14" s="9">
        <f>327+448+439+411+191+63+175+227+366+299+330+194+432+512+259+438+385+195+96</f>
        <v>5787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240.35</v>
      </c>
      <c r="D15" s="9">
        <v>413.44</v>
      </c>
      <c r="E15" s="9">
        <f t="shared" si="1"/>
        <v>653.79</v>
      </c>
      <c r="F15" s="9" t="s">
        <v>25</v>
      </c>
      <c r="G15" s="9">
        <f>924.88+887.37+839.4+726.66+157.66+466.35+447.5+573.16+853.34+975.93+1104.21+1085.13+757.19+1048.54+778.88+914.25+840.09+207+653.79</f>
        <v>14241.33</v>
      </c>
      <c r="H15" s="9"/>
      <c r="I15" s="9"/>
      <c r="J15" s="9">
        <f>(C15*K15+L15*D15)/1000</f>
        <v>2.007521</v>
      </c>
      <c r="K15" s="9">
        <v>3.02</v>
      </c>
      <c r="L15" s="9">
        <v>3.1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2.5044003+2.8297459+2.6826627+2.2986316+0.5076652+1.4199265+1.285962+1.7736691+2.3821937+2.6333799+3.3155793+3.115421+2.2531203+3.3063268+2.4512202+2.987732+2.8309653+0.621+2.007521</f>
        <v>43.2071228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0</v>
      </c>
      <c r="D17" s="9">
        <v>7</v>
      </c>
      <c r="E17" s="9">
        <f t="shared" si="1"/>
        <v>7</v>
      </c>
      <c r="F17" s="9" t="s">
        <v>14</v>
      </c>
      <c r="G17" s="9">
        <f>24+36+33+32+12+7+12+18+27+21+27+18+33+39+22+33+28+18+7</f>
        <v>447</v>
      </c>
      <c r="H17" s="9"/>
      <c r="I17" s="9">
        <f>G17/(G3*0.1865)</f>
        <v>12.6813906974765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0+0.15+0.15+0.2+0.15+0.15+0.2</f>
        <v>1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2+2+2+2+2+2+2+2+2+2+2+2</f>
        <v>24</v>
      </c>
      <c r="H19" s="19"/>
      <c r="I19" s="19">
        <f>G19/(G3*0.1865)</f>
        <v>0.680880037448402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1.5+1.5+1.5+1.5+1.5+1.5+1.5+1.5+1.5+1.5+1.5+1.5</f>
        <v>18</v>
      </c>
      <c r="H20" s="19"/>
      <c r="I20" s="19">
        <f>G20/(G3*0.1865)</f>
        <v>0.510660028086302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2</v>
      </c>
      <c r="E21" s="9">
        <f t="shared" si="1"/>
        <v>2</v>
      </c>
      <c r="F21" s="9" t="s">
        <v>34</v>
      </c>
      <c r="G21" s="9">
        <f>4+11+5+11+4+2+5+7+5+10+16+8+2+14+6+12+4+11+2</f>
        <v>139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79</v>
      </c>
      <c r="D23" s="6">
        <v>561</v>
      </c>
      <c r="E23" s="9">
        <f>D23+C23</f>
        <v>640</v>
      </c>
      <c r="F23" s="9" t="s">
        <v>25</v>
      </c>
      <c r="G23" s="9">
        <f>1276+1300+1297+872+627+109+1294+610+1102+1148+1033+670+1344+1215+831+1250+1210+471+640</f>
        <v>18299</v>
      </c>
      <c r="H23" s="20">
        <v>12.5</v>
      </c>
      <c r="I23" s="19">
        <f>E23/H23</f>
        <v>51.2</v>
      </c>
      <c r="J23" s="21" t="s">
        <v>39</v>
      </c>
      <c r="K23" s="9">
        <f>24+24+24+16+10.5+24+11+24+24+18.5+12+24+22+15+24+24+9+12.5</f>
        <v>342.5</v>
      </c>
      <c r="L23" s="9">
        <f>G23/K23</f>
        <v>53.4277372262774</v>
      </c>
      <c r="M23" s="9"/>
    </row>
    <row r="24" s="1" customFormat="1" ht="29" customHeight="1" spans="1:13">
      <c r="A24" s="6">
        <v>18</v>
      </c>
      <c r="B24" s="7" t="s">
        <v>40</v>
      </c>
      <c r="C24" s="6">
        <v>31</v>
      </c>
      <c r="D24" s="6">
        <v>657</v>
      </c>
      <c r="E24" s="9">
        <f>D24+C24</f>
        <v>688</v>
      </c>
      <c r="F24" s="9" t="s">
        <v>25</v>
      </c>
      <c r="G24" s="9">
        <f>1599+1727+1633+1108+754+203+1480+725+1293+1315+1177+875+1631+1537+1027+1580+1561+550+688</f>
        <v>22463</v>
      </c>
      <c r="H24" s="19"/>
      <c r="I24" s="19">
        <f>E24/H23</f>
        <v>55.04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0</v>
      </c>
      <c r="D25" s="6">
        <v>31.73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/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131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132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133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6.33</v>
      </c>
      <c r="D33" s="9">
        <v>6.4</v>
      </c>
      <c r="E33" s="9">
        <f t="shared" si="2"/>
        <v>12.73</v>
      </c>
      <c r="F33" s="9" t="s">
        <v>25</v>
      </c>
      <c r="G33" s="9">
        <f>0+12.54+14.61+8.83+8.25+6.31+12.75+12.64+14.64+6.6+16.71+17.89+12.77+12.73</f>
        <v>157.27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11</v>
      </c>
      <c r="D34" s="9">
        <v>5</v>
      </c>
      <c r="E34" s="9">
        <f t="shared" si="2"/>
        <v>16</v>
      </c>
      <c r="F34" s="9" t="s">
        <v>25</v>
      </c>
      <c r="G34" s="9">
        <f>12+6+7+7+7+7+7+12+6+7+3+7+6+11+5+5+5+5+16</f>
        <v>141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12.555</v>
      </c>
      <c r="D36" s="9">
        <v>0</v>
      </c>
      <c r="E36" s="9">
        <f t="shared" si="2"/>
        <v>12.555</v>
      </c>
      <c r="F36" s="9" t="s">
        <v>14</v>
      </c>
      <c r="G36" s="9">
        <f>0+15.1875+10.8675+8.5455+5.7915+2.484+11.7315+6.6825+12.555</f>
        <v>73.845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305</v>
      </c>
      <c r="D39" s="9">
        <v>283</v>
      </c>
      <c r="E39" s="9">
        <f t="shared" si="2"/>
        <v>588</v>
      </c>
      <c r="F39" s="9" t="s">
        <v>25</v>
      </c>
      <c r="G39" s="9">
        <f>383+468+416+425+389+535+545+428+465+504+483+415+486+605+649+600+635+619+588</f>
        <v>9638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750*1.2</f>
        <v>900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86.86*1.98</f>
        <v>171.9828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2</v>
      </c>
      <c r="D43" s="6">
        <v>0</v>
      </c>
      <c r="E43" s="9">
        <f>D43+C43</f>
        <v>2</v>
      </c>
      <c r="F43" s="9" t="s">
        <v>34</v>
      </c>
      <c r="G43" s="9">
        <f>0+1+1+1+1+2+1+1+2+3+2+2+2</f>
        <v>19</v>
      </c>
      <c r="H43" s="19"/>
      <c r="I43" s="9">
        <v>11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11" workbookViewId="0">
      <pane xSplit="2" topLeftCell="C1" activePane="topRight" state="frozen"/>
      <selection/>
      <selection pane="topRight"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134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4.5</v>
      </c>
      <c r="D3" s="8">
        <v>3</v>
      </c>
      <c r="E3" s="9">
        <f t="shared" ref="E3:E8" si="0">C3+D3</f>
        <v>7.5</v>
      </c>
      <c r="F3" s="9" t="s">
        <v>14</v>
      </c>
      <c r="G3" s="9">
        <f>7.5+15.5+13.5+13+6+3+5+10.5+9+8+12.5+9.5+13+17+8.5+13+14.5+9.5+0.5+7.5</f>
        <v>196.5</v>
      </c>
      <c r="H3" s="9">
        <v>284</v>
      </c>
      <c r="I3" s="9">
        <f>H3-G3</f>
        <v>87.5</v>
      </c>
      <c r="J3" s="9"/>
      <c r="K3" s="9"/>
      <c r="L3" s="9"/>
      <c r="M3" s="9">
        <f>I3/11</f>
        <v>7.95454545454545</v>
      </c>
    </row>
    <row r="4" s="1" customFormat="1" ht="56" customHeight="1" spans="1:13">
      <c r="A4" s="10">
        <v>2</v>
      </c>
      <c r="B4" s="7" t="s">
        <v>15</v>
      </c>
      <c r="C4" s="8">
        <v>2</v>
      </c>
      <c r="D4" s="8"/>
      <c r="E4" s="9">
        <f t="shared" si="0"/>
        <v>2</v>
      </c>
      <c r="F4" s="9" t="s">
        <v>14</v>
      </c>
      <c r="G4" s="9">
        <f>8+8+20+10+16+2+4+4+10+10+8+12+10+12+18+10+12+16+6+2</f>
        <v>198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18</v>
      </c>
      <c r="D5" s="9">
        <v>78</v>
      </c>
      <c r="E5" s="9">
        <f t="shared" si="0"/>
        <v>96</v>
      </c>
      <c r="F5" s="9" t="s">
        <v>14</v>
      </c>
      <c r="G5" s="9">
        <f>196+187+205+143+90+157+39+147+136+138+70+179+197+113+192+190+53+83+96</f>
        <v>2611</v>
      </c>
      <c r="H5" s="9">
        <v>4250</v>
      </c>
      <c r="I5" s="9">
        <f>H5-G5-G7-G6</f>
        <v>1554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3+1+21+36+3+8+1+8+4</f>
        <v>85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1</v>
      </c>
      <c r="E8" s="9">
        <f t="shared" si="0"/>
        <v>1</v>
      </c>
      <c r="F8" s="9" t="s">
        <v>14</v>
      </c>
      <c r="G8" s="9">
        <f>1+2+1</f>
        <v>4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31.24</v>
      </c>
      <c r="D9" s="9"/>
      <c r="E9" s="9">
        <f>61.26+31.08+30.92+30.89+30.92+30.94+31.43+30.47+31.06+30.95+30.96+32.98+31.24</f>
        <v>435.1</v>
      </c>
      <c r="F9" s="9" t="s">
        <v>14</v>
      </c>
      <c r="G9" s="9">
        <f>0.545214+0.267288+0.265912+0.262565+0.253544+0.26299+0.273441+0.258995+0.26401+0.263075+0.27864+0.283628+0.278036</f>
        <v>3.757338</v>
      </c>
      <c r="H9" s="9">
        <v>4.6</v>
      </c>
      <c r="I9" s="9">
        <f>H9-G9</f>
        <v>0.842661999999999</v>
      </c>
      <c r="J9" s="21" t="s">
        <v>21</v>
      </c>
      <c r="K9" s="12">
        <v>0.89</v>
      </c>
      <c r="L9" s="9">
        <f>C9*K9/100</f>
        <v>0.278036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4.05</v>
      </c>
      <c r="D11" s="9">
        <v>0</v>
      </c>
      <c r="E11" s="9">
        <f>C11+D11</f>
        <v>4.05</v>
      </c>
      <c r="F11" s="9" t="s">
        <v>14</v>
      </c>
      <c r="G11" s="9">
        <f>2.916+5.9805+9.315+5.1705+5.103+3.1455+4.0095+7.9245+5.697+5.5215+6.8715+3.1185+6.0885+8.0865+8.4915+3.429+3.753+4.05</f>
        <v>98.6715</v>
      </c>
      <c r="H11" s="9"/>
      <c r="I11" s="9">
        <f>G11/(G3*0.1865)</f>
        <v>2.69246669258948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6.8448</v>
      </c>
      <c r="D12" s="9">
        <v>0</v>
      </c>
      <c r="E12" s="9">
        <f>C12+D12</f>
        <v>6.8448</v>
      </c>
      <c r="F12" s="9" t="s">
        <v>14</v>
      </c>
      <c r="G12" s="9">
        <f>16.5048+12.9536+15.7688+13.2296+12.0336+14.9592+15.7136+9.844+8.8688+13.0272+11.7392+11.4264+17.204+6.348+15.9896+10.2488+7.6728+6.8448</f>
        <v>220.3768</v>
      </c>
      <c r="H12" s="9"/>
      <c r="I12" s="9">
        <f>G12/(G3*0.1865)</f>
        <v>6.01346076445027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177</v>
      </c>
      <c r="D13" s="9">
        <v>162</v>
      </c>
      <c r="E13" s="9">
        <f>C13+D13</f>
        <v>339</v>
      </c>
      <c r="F13" s="9"/>
      <c r="G13" s="9">
        <f>539+277+276+257+154+476+448+237+48+398+415+377+224+494+568+256+510+544+302+167+339</f>
        <v>7306</v>
      </c>
      <c r="H13" s="9">
        <f>G13*1.05</f>
        <v>7671.3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143</v>
      </c>
      <c r="D14" s="9">
        <v>121</v>
      </c>
      <c r="E14" s="9">
        <f t="shared" ref="E14:E21" si="1">D14+C14</f>
        <v>264</v>
      </c>
      <c r="F14" s="9" t="s">
        <v>25</v>
      </c>
      <c r="G14" s="9">
        <f>327+448+439+411+191+63+175+227+366+299+330+194+432+512+259+438+385+195+96+264</f>
        <v>6051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361.5</v>
      </c>
      <c r="D15" s="9">
        <v>0</v>
      </c>
      <c r="E15" s="9">
        <f t="shared" si="1"/>
        <v>361.5</v>
      </c>
      <c r="F15" s="9" t="s">
        <v>25</v>
      </c>
      <c r="G15" s="9">
        <f>924.88+887.37+839.4+726.66+157.66+466.35+447.5+573.16+853.34+975.93+1104.21+1085.13+757.19+1048.54+778.88+914.25+840.09+207+653.79+361.5</f>
        <v>14602.83</v>
      </c>
      <c r="H15" s="9"/>
      <c r="I15" s="9"/>
      <c r="J15" s="9">
        <f>(C15*K15+L15*D15)/1000</f>
        <v>1.117035</v>
      </c>
      <c r="K15" s="9">
        <v>3.09</v>
      </c>
      <c r="L15" s="9">
        <v>0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2.5044003+2.8297459+2.6826627+2.2986316+0.5076652+1.4199265+1.285962+1.7736691+2.3821937+2.6333799+3.3155793+3.115421+2.2531203+3.3063268+2.4512202+2.987732+2.8309653+0.621+2.007521+1.117035</f>
        <v>44.3241578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9</v>
      </c>
      <c r="D17" s="9">
        <v>9</v>
      </c>
      <c r="E17" s="9">
        <f t="shared" si="1"/>
        <v>18</v>
      </c>
      <c r="F17" s="9" t="s">
        <v>14</v>
      </c>
      <c r="G17" s="9">
        <f>24+36+33+32+12+7+12+18+27+21+27+18+33+39+22+33+28+18+7+18</f>
        <v>465</v>
      </c>
      <c r="H17" s="9"/>
      <c r="I17" s="9">
        <f>G17/(G3*0.1865)</f>
        <v>12.6885373390909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0.15</v>
      </c>
      <c r="D18" s="6">
        <v>0</v>
      </c>
      <c r="E18" s="9">
        <f t="shared" si="1"/>
        <v>0.15</v>
      </c>
      <c r="F18" s="9" t="s">
        <v>14</v>
      </c>
      <c r="G18" s="9">
        <f>0+0.15+0.15+0.2+0.15+0.15+0.2+0.15</f>
        <v>1.15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2+2+2+2+2+2+2+2+2+2+2+2+2</f>
        <v>26</v>
      </c>
      <c r="H19" s="19"/>
      <c r="I19" s="19">
        <f>G19/(G3*0.1865)</f>
        <v>0.709466603906159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1.5</v>
      </c>
      <c r="D20" s="6">
        <v>0</v>
      </c>
      <c r="E20" s="9">
        <f t="shared" si="1"/>
        <v>1.5</v>
      </c>
      <c r="F20" s="9" t="s">
        <v>14</v>
      </c>
      <c r="G20" s="9">
        <f>1.5+1.5+1.5+1.5+1.5+1.5+1.5+1.5+1.5+1.5+1.5+1.5+1.5</f>
        <v>19.5</v>
      </c>
      <c r="H20" s="19"/>
      <c r="I20" s="19">
        <f>G20/(G3*0.1865)</f>
        <v>0.53209995292962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2</v>
      </c>
      <c r="D21" s="6">
        <v>0</v>
      </c>
      <c r="E21" s="9">
        <f t="shared" si="1"/>
        <v>2</v>
      </c>
      <c r="F21" s="9" t="s">
        <v>34</v>
      </c>
      <c r="G21" s="9">
        <f>4+11+5+11+4+2+5+7+5+10+16+8+2+14+6+12+4+11+2+2</f>
        <v>141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316</v>
      </c>
      <c r="D23" s="6">
        <v>482</v>
      </c>
      <c r="E23" s="9">
        <f>D23+C23</f>
        <v>798</v>
      </c>
      <c r="F23" s="9" t="s">
        <v>25</v>
      </c>
      <c r="G23" s="9">
        <f>1276+1300+1297+872+627+109+1294+610+1102+1148+1033+670+1344+1215+831+1250+1210+471+640+798</f>
        <v>19097</v>
      </c>
      <c r="H23" s="20">
        <v>10.5</v>
      </c>
      <c r="I23" s="19">
        <f>E23/H23</f>
        <v>76</v>
      </c>
      <c r="J23" s="21" t="s">
        <v>39</v>
      </c>
      <c r="K23" s="9">
        <f>24+24+24+16+10.5+24+11+24+24+18.5+12+24+22+15+24+24+9+12.5+10.5</f>
        <v>353</v>
      </c>
      <c r="L23" s="9">
        <f>G23/K23</f>
        <v>54.0991501416431</v>
      </c>
      <c r="M23" s="9"/>
    </row>
    <row r="24" s="1" customFormat="1" ht="29" customHeight="1" spans="1:13">
      <c r="A24" s="6">
        <v>18</v>
      </c>
      <c r="B24" s="7" t="s">
        <v>40</v>
      </c>
      <c r="C24" s="6">
        <v>351</v>
      </c>
      <c r="D24" s="6">
        <v>377</v>
      </c>
      <c r="E24" s="9">
        <f>D24+C24</f>
        <v>728</v>
      </c>
      <c r="F24" s="9" t="s">
        <v>25</v>
      </c>
      <c r="G24" s="9">
        <f>1599+1727+1633+1108+754+203+1480+725+1293+1315+1177+875+1631+1537+1027+1580+1561+550+688+728</f>
        <v>23191</v>
      </c>
      <c r="H24" s="19"/>
      <c r="I24" s="19">
        <f>E24/H23</f>
        <v>69.3333333333333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29.99</v>
      </c>
      <c r="D25" s="6">
        <v>29.11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/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127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135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136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6.46</v>
      </c>
      <c r="D33" s="9">
        <v>6.33</v>
      </c>
      <c r="E33" s="9">
        <f t="shared" si="2"/>
        <v>12.79</v>
      </c>
      <c r="F33" s="9" t="s">
        <v>25</v>
      </c>
      <c r="G33" s="9">
        <f>0+12.54+14.61+8.83+8.25+6.31+12.75+12.64+14.64+6.6+16.71+17.89+12.77+12.73+12.79</f>
        <v>170.06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2</v>
      </c>
      <c r="D34" s="9">
        <v>0</v>
      </c>
      <c r="E34" s="9">
        <f t="shared" si="2"/>
        <v>2</v>
      </c>
      <c r="F34" s="9" t="s">
        <v>25</v>
      </c>
      <c r="G34" s="9">
        <f>12+6+7+7+7+7+7+12+6+7+3+7+6+11+5+5+5+5+16+2</f>
        <v>143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0+15.1875+10.8675+8.5455+5.7915+2.484+11.7315+6.6825+12.555</f>
        <v>73.845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268</v>
      </c>
      <c r="D39" s="9">
        <v>272</v>
      </c>
      <c r="E39" s="9">
        <f t="shared" si="2"/>
        <v>540</v>
      </c>
      <c r="F39" s="9" t="s">
        <v>25</v>
      </c>
      <c r="G39" s="9">
        <f>383+468+416+425+389+535+545+428+465+504+483+415+486+605+649+600+635+619+588+540</f>
        <v>10178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750*0.82</f>
        <v>615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86.86*1.94</f>
        <v>168.5084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3</v>
      </c>
      <c r="D43" s="6">
        <v>0</v>
      </c>
      <c r="E43" s="9">
        <f>D43+C43</f>
        <v>3</v>
      </c>
      <c r="F43" s="9" t="s">
        <v>34</v>
      </c>
      <c r="G43" s="9">
        <f>0+1+1+1+1+2+1+1+2+3+2+2+2+3</f>
        <v>22</v>
      </c>
      <c r="H43" s="19"/>
      <c r="I43" s="9">
        <v>13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A17" workbookViewId="0">
      <selection activeCell="G25" sqref="G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137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4.5</v>
      </c>
      <c r="D3" s="8">
        <v>0</v>
      </c>
      <c r="E3" s="9">
        <f t="shared" ref="E3:E8" si="0">C3+D3</f>
        <v>4.5</v>
      </c>
      <c r="F3" s="9" t="s">
        <v>14</v>
      </c>
      <c r="G3" s="9">
        <f>7.5+15.5+13.5+13+6+3+5+10.5+9+8+12.5+9.5+13+17+8.5+13+14.5+9.5+0.5+7.5+4.5</f>
        <v>201</v>
      </c>
      <c r="H3" s="9">
        <v>284</v>
      </c>
      <c r="I3" s="9">
        <f>H3-G3</f>
        <v>83</v>
      </c>
      <c r="J3" s="9"/>
      <c r="K3" s="9"/>
      <c r="L3" s="9"/>
      <c r="M3" s="9">
        <f>I3/10</f>
        <v>8.3</v>
      </c>
    </row>
    <row r="4" s="1" customFormat="1" ht="56" customHeight="1" spans="1:13">
      <c r="A4" s="10">
        <v>2</v>
      </c>
      <c r="B4" s="7" t="s">
        <v>15</v>
      </c>
      <c r="C4" s="8">
        <v>12</v>
      </c>
      <c r="D4" s="8"/>
      <c r="E4" s="9">
        <f t="shared" si="0"/>
        <v>12</v>
      </c>
      <c r="F4" s="9" t="s">
        <v>14</v>
      </c>
      <c r="G4" s="9">
        <f>8+8+20+10+16+2+4+4+10+10+8+12+10+12+18+10+12+16+6+2+12</f>
        <v>210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</f>
        <v>2611</v>
      </c>
      <c r="H5" s="9">
        <v>4250</v>
      </c>
      <c r="I5" s="9">
        <f>H5-G5-G7-G6</f>
        <v>1539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15</v>
      </c>
      <c r="E7" s="9">
        <f t="shared" si="0"/>
        <v>15</v>
      </c>
      <c r="F7" s="9" t="s">
        <v>14</v>
      </c>
      <c r="G7" s="9">
        <f>3+1+21+36+3+8+1+8+4+15</f>
        <v>100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</f>
        <v>4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30.86</v>
      </c>
      <c r="D9" s="9"/>
      <c r="E9" s="9">
        <f>61.26+31.08+30.92+30.89+30.92+30.94+31.43+30.47+31.06+30.95+30.96+32.98+31.24+30.86</f>
        <v>465.96</v>
      </c>
      <c r="F9" s="9" t="s">
        <v>14</v>
      </c>
      <c r="G9" s="9">
        <f>0.545214+0.267288+0.265912+0.262565+0.253544+0.26299+0.273441+0.258995+0.26401+0.263075+0.27864+0.283628+0.278036+0.26231</f>
        <v>4.019648</v>
      </c>
      <c r="H9" s="9">
        <v>4.6</v>
      </c>
      <c r="I9" s="9">
        <f>H9-G9</f>
        <v>0.580351999999999</v>
      </c>
      <c r="J9" s="21" t="s">
        <v>21</v>
      </c>
      <c r="K9" s="12">
        <v>0.85</v>
      </c>
      <c r="L9" s="9">
        <f>C9*K9/100</f>
        <v>0.26231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4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0</v>
      </c>
      <c r="D11" s="9">
        <v>0</v>
      </c>
      <c r="E11" s="9">
        <f>C11+D11</f>
        <v>0</v>
      </c>
      <c r="F11" s="9" t="s">
        <v>14</v>
      </c>
      <c r="G11" s="9">
        <f>2.916+5.9805+9.315+5.1705+5.103+3.1455+4.0095+7.9245+5.697+5.5215+6.8715+3.1185+6.0885+8.0865+8.4915+3.429+3.753+4.05</f>
        <v>98.6715</v>
      </c>
      <c r="H11" s="9"/>
      <c r="I11" s="9">
        <f>G11/(G3*0.1865)</f>
        <v>2.63218758753151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0</v>
      </c>
      <c r="D12" s="9">
        <v>0</v>
      </c>
      <c r="E12" s="9">
        <f>C12+D12</f>
        <v>0</v>
      </c>
      <c r="F12" s="9" t="s">
        <v>14</v>
      </c>
      <c r="G12" s="9">
        <f>16.5048+12.9536+15.7688+13.2296+12.0336+14.9592+15.7136+9.844+8.8688+13.0272+11.7392+11.4264+17.204+6.348+15.9896+10.2488+7.6728+6.8448</f>
        <v>220.3768</v>
      </c>
      <c r="H12" s="9"/>
      <c r="I12" s="9">
        <f>G12/(G3*0.1865)</f>
        <v>5.87883104584317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12</v>
      </c>
      <c r="D13" s="9">
        <v>12</v>
      </c>
      <c r="E13" s="9">
        <f>C13+D13</f>
        <v>24</v>
      </c>
      <c r="F13" s="9"/>
      <c r="G13" s="9">
        <f>539+277+276+257+154+476+448+237+48+398+415+377+224+494+568+256+510+544+302+167+339+24</f>
        <v>7330</v>
      </c>
      <c r="H13" s="9">
        <f>G13*1.05</f>
        <v>7696.5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17</v>
      </c>
      <c r="D14" s="9">
        <v>0</v>
      </c>
      <c r="E14" s="9">
        <f t="shared" ref="E14:E21" si="1">D14+C14</f>
        <v>17</v>
      </c>
      <c r="F14" s="9" t="s">
        <v>25</v>
      </c>
      <c r="G14" s="9">
        <f>327+448+439+411+191+63+175+227+366+299+330+194+432+512+259+438+385+195+96+264+17</f>
        <v>6068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0</v>
      </c>
      <c r="D15" s="9">
        <v>555.75</v>
      </c>
      <c r="E15" s="9">
        <f t="shared" si="1"/>
        <v>555.75</v>
      </c>
      <c r="F15" s="9" t="s">
        <v>25</v>
      </c>
      <c r="G15" s="9">
        <f>924.88+887.37+839.4+726.66+157.66+466.35+447.5+573.16+853.34+975.93+1104.21+1085.13+757.19+1048.54+778.88+914.25+840.09+207+653.79+361.5+555.75</f>
        <v>15158.58</v>
      </c>
      <c r="H15" s="9"/>
      <c r="I15" s="9"/>
      <c r="J15" s="9">
        <f>(C15*K15+L15*D15)/1000</f>
        <v>1.6505775</v>
      </c>
      <c r="K15" s="9">
        <v>0</v>
      </c>
      <c r="L15" s="9">
        <v>2.97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2.5044003+2.8297459+2.6826627+2.2986316+0.5076652+1.4199265+1.285962+1.7736691+2.3821937+2.6333799+3.3155793+3.115421+2.2531203+3.3063268+2.4512202+2.987732+2.8309653+0.621+2.007521+1.117035+1.6505775</f>
        <v>45.9747353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6</v>
      </c>
      <c r="D17" s="9">
        <v>0</v>
      </c>
      <c r="E17" s="9">
        <f t="shared" si="1"/>
        <v>6</v>
      </c>
      <c r="F17" s="9" t="s">
        <v>14</v>
      </c>
      <c r="G17" s="9">
        <f>24+36+33+32+12+7+12+18+27+21+27+18+33+39+22+33+28+18+7+18+6</f>
        <v>471</v>
      </c>
      <c r="H17" s="9"/>
      <c r="I17" s="9">
        <f>G17/(G3*0.1865)</f>
        <v>12.5645232283622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</v>
      </c>
      <c r="D18" s="6">
        <v>0</v>
      </c>
      <c r="E18" s="9">
        <f t="shared" si="1"/>
        <v>0</v>
      </c>
      <c r="F18" s="9" t="s">
        <v>14</v>
      </c>
      <c r="G18" s="9">
        <f>0+0.15+0.15+0.2+0.15+0.15+0.2+0.15</f>
        <v>1.15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2</v>
      </c>
      <c r="D19" s="6">
        <v>0</v>
      </c>
      <c r="E19" s="9">
        <f t="shared" si="1"/>
        <v>2</v>
      </c>
      <c r="F19" s="9" t="s">
        <v>14</v>
      </c>
      <c r="G19" s="9">
        <f>2+2+2+2+2+2+2+2+2+2+2+2+2</f>
        <v>26</v>
      </c>
      <c r="H19" s="19"/>
      <c r="I19" s="19">
        <f>G19/(G3*0.1865)</f>
        <v>0.693583023221693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1.5+1.5+1.5+1.5+1.5+1.5+1.5+1.5+1.5+1.5+1.5+1.5+1.5</f>
        <v>19.5</v>
      </c>
      <c r="H20" s="19"/>
      <c r="I20" s="19">
        <f>G20/(G3*0.1865)</f>
        <v>0.52018726741627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0</v>
      </c>
      <c r="D21" s="6">
        <v>0</v>
      </c>
      <c r="E21" s="9">
        <f t="shared" si="1"/>
        <v>0</v>
      </c>
      <c r="F21" s="9" t="s">
        <v>34</v>
      </c>
      <c r="G21" s="9">
        <f>4+11+5+11+4+2+5+7+5+10+16+8+2+14+6+12+4+11+2+2</f>
        <v>141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0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0</v>
      </c>
      <c r="D23" s="6">
        <v>318</v>
      </c>
      <c r="E23" s="9">
        <f>D23+C23</f>
        <v>318</v>
      </c>
      <c r="F23" s="9" t="s">
        <v>25</v>
      </c>
      <c r="G23" s="9">
        <f>1276+1300+1297+872+627+109+1294+610+1102+1148+1033+670+1344+1215+831+1250+1210+471+640+798+366</f>
        <v>19463</v>
      </c>
      <c r="H23" s="20">
        <v>5.5</v>
      </c>
      <c r="I23" s="19">
        <f>E23/H23</f>
        <v>57.8181818181818</v>
      </c>
      <c r="J23" s="21" t="s">
        <v>39</v>
      </c>
      <c r="K23" s="9">
        <f>24+24+24+16+10.5+24+11+24+24+18.5+12+24+22+15+24+24+9+12.5+10.5+5.5</f>
        <v>358.5</v>
      </c>
      <c r="L23" s="9">
        <f>G23/K23</f>
        <v>54.2900976290098</v>
      </c>
      <c r="M23" s="9"/>
    </row>
    <row r="24" s="1" customFormat="1" ht="29" customHeight="1" spans="1:13">
      <c r="A24" s="6">
        <v>18</v>
      </c>
      <c r="B24" s="7" t="s">
        <v>40</v>
      </c>
      <c r="C24" s="6">
        <v>1</v>
      </c>
      <c r="D24" s="6">
        <v>222</v>
      </c>
      <c r="E24" s="9">
        <f>D24+C24</f>
        <v>223</v>
      </c>
      <c r="F24" s="9" t="s">
        <v>25</v>
      </c>
      <c r="G24" s="9">
        <f>1599+1727+1633+1108+754+203+1480+725+1293+1315+1177+875+1631+1537+1027+1580+1561+550+688+728+223</f>
        <v>23414</v>
      </c>
      <c r="H24" s="19"/>
      <c r="I24" s="19">
        <f>E24/H23</f>
        <v>40.5454545454545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/>
      <c r="D25" s="6"/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/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138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139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140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6.31</v>
      </c>
      <c r="D33" s="9">
        <v>6.31</v>
      </c>
      <c r="E33" s="9">
        <f t="shared" si="2"/>
        <v>12.62</v>
      </c>
      <c r="F33" s="9" t="s">
        <v>25</v>
      </c>
      <c r="G33" s="9">
        <f>0+12.54+14.61+8.83+8.25+6.31+12.75+12.64+14.64+6.6+16.71+17.89+12.77+12.73+12.79+12.62</f>
        <v>182.68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1</v>
      </c>
      <c r="D34" s="9">
        <v>1</v>
      </c>
      <c r="E34" s="9">
        <f t="shared" si="2"/>
        <v>2</v>
      </c>
      <c r="F34" s="9" t="s">
        <v>25</v>
      </c>
      <c r="G34" s="9">
        <f>12+6+7+7+7+7+7+12+6+7+3+7+6+11+5+5+5+5+16+2+2</f>
        <v>145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0+15.1875+10.8675+8.5455+5.7915+2.484+11.7315+6.6825+12.555</f>
        <v>73.845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246</v>
      </c>
      <c r="D39" s="9">
        <v>254</v>
      </c>
      <c r="E39" s="9">
        <f t="shared" si="2"/>
        <v>500</v>
      </c>
      <c r="F39" s="9" t="s">
        <v>25</v>
      </c>
      <c r="G39" s="9">
        <f>383+468+416+425+389+535+545+428+465+504+483+415+486+605+649+600+635+619+588+540+500</f>
        <v>10678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750*0.82</f>
        <v>615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86.86*1.94</f>
        <v>168.5084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1</v>
      </c>
      <c r="D43" s="6">
        <v>0</v>
      </c>
      <c r="E43" s="9">
        <f>D43+C43</f>
        <v>1</v>
      </c>
      <c r="F43" s="9" t="s">
        <v>34</v>
      </c>
      <c r="G43" s="9">
        <f>0+1+1+1+1+2+1+1+2+3+2+2+2+3+1</f>
        <v>23</v>
      </c>
      <c r="H43" s="19"/>
      <c r="I43" s="9">
        <v>14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9" workbookViewId="0">
      <pane xSplit="2" topLeftCell="C1" activePane="topRight" state="frozen"/>
      <selection/>
      <selection pane="topRight" activeCell="G24" sqref="G24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141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1</v>
      </c>
      <c r="D3" s="8">
        <v>3</v>
      </c>
      <c r="E3" s="9">
        <f t="shared" ref="E3:E8" si="0">C3+D3</f>
        <v>4</v>
      </c>
      <c r="F3" s="9" t="s">
        <v>14</v>
      </c>
      <c r="G3" s="9">
        <f>7.5+15.5+13.5+13+6+3+5+10.5+9+8+12.5+9.5+13+17+8.5+13+14.5+9.5+0.5+7.5+4.5+4</f>
        <v>205</v>
      </c>
      <c r="H3" s="9">
        <v>284</v>
      </c>
      <c r="I3" s="9">
        <f>H3-G3</f>
        <v>79</v>
      </c>
      <c r="J3" s="9"/>
      <c r="K3" s="9"/>
      <c r="L3" s="9"/>
      <c r="M3" s="9">
        <f>I3/9</f>
        <v>8.77777777777778</v>
      </c>
    </row>
    <row r="4" s="1" customFormat="1" ht="56" customHeight="1" spans="1:13">
      <c r="A4" s="10">
        <v>2</v>
      </c>
      <c r="B4" s="7" t="s">
        <v>15</v>
      </c>
      <c r="C4" s="8">
        <v>0</v>
      </c>
      <c r="D4" s="8"/>
      <c r="E4" s="9">
        <f t="shared" si="0"/>
        <v>0</v>
      </c>
      <c r="F4" s="9" t="s">
        <v>14</v>
      </c>
      <c r="G4" s="9">
        <f>8+8+20+10+16+2+4+4+10+10+8+12+10+12+18+10+12+16+6+2+12</f>
        <v>210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</f>
        <v>2611</v>
      </c>
      <c r="H5" s="9">
        <v>4250</v>
      </c>
      <c r="I5" s="9">
        <f>H5-G5-G7-G6</f>
        <v>1467</v>
      </c>
      <c r="J5" s="9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17</v>
      </c>
      <c r="D7" s="9">
        <v>55</v>
      </c>
      <c r="E7" s="9">
        <f t="shared" si="0"/>
        <v>72</v>
      </c>
      <c r="F7" s="9" t="s">
        <v>14</v>
      </c>
      <c r="G7" s="9">
        <f>3+1+21+36+3+8+1+8+4+15+72</f>
        <v>172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1</v>
      </c>
      <c r="D8" s="9">
        <v>0</v>
      </c>
      <c r="E8" s="9">
        <f t="shared" si="0"/>
        <v>1</v>
      </c>
      <c r="F8" s="9" t="s">
        <v>14</v>
      </c>
      <c r="G8" s="9">
        <f>1+2+1+1</f>
        <v>5</v>
      </c>
      <c r="H8" s="14"/>
      <c r="I8" s="14"/>
      <c r="J8" s="9"/>
      <c r="K8" s="9"/>
      <c r="L8" s="9"/>
      <c r="M8" s="9"/>
    </row>
    <row r="9" s="1" customFormat="1" ht="22" customHeight="1" spans="1:13">
      <c r="A9" s="6">
        <v>4</v>
      </c>
      <c r="B9" s="7" t="s">
        <v>20</v>
      </c>
      <c r="C9" s="9">
        <v>31.12</v>
      </c>
      <c r="D9" s="9"/>
      <c r="E9" s="9">
        <f>61.26+31.08+30.92+30.89+30.92+30.94+31.43+30.47+31.06+30.95+30.96+32.98+31.24+30.86+31.12</f>
        <v>497.08</v>
      </c>
      <c r="F9" s="9" t="s">
        <v>14</v>
      </c>
      <c r="G9" s="9">
        <f>0.545214+0.267288+0.265912+0.262565+0.253544+0.26299+0.273441+0.258995+0.26401+0.263075+0.27864+0.283628+0.278036+0.26231+0.26452</f>
        <v>4.284168</v>
      </c>
      <c r="H9" s="9">
        <v>4.6</v>
      </c>
      <c r="I9" s="9">
        <f>H9-G9</f>
        <v>0.315831999999999</v>
      </c>
      <c r="J9" s="21" t="s">
        <v>21</v>
      </c>
      <c r="K9" s="12">
        <v>0.85</v>
      </c>
      <c r="L9" s="9">
        <f>C9*K9/100</f>
        <v>0.26452</v>
      </c>
      <c r="M9" s="12"/>
    </row>
    <row r="10" s="1" customFormat="1" ht="35" customHeight="1" spans="1:13">
      <c r="A10" s="14"/>
      <c r="B10" s="14"/>
      <c r="C10" s="14"/>
      <c r="D10" s="14"/>
      <c r="E10" s="14"/>
      <c r="F10" s="14"/>
      <c r="G10" s="14"/>
      <c r="H10" s="14"/>
      <c r="I10" s="14"/>
      <c r="J10" s="9">
        <v>3</v>
      </c>
      <c r="K10" s="14"/>
      <c r="L10" s="14"/>
      <c r="M10" s="14"/>
    </row>
    <row r="11" s="1" customFormat="1" ht="25" customHeight="1" spans="1:13">
      <c r="A11" s="6">
        <v>5</v>
      </c>
      <c r="B11" s="7" t="s">
        <v>22</v>
      </c>
      <c r="C11" s="9">
        <v>3.0105</v>
      </c>
      <c r="D11" s="9">
        <v>5.049</v>
      </c>
      <c r="E11" s="9">
        <f>C11+D11</f>
        <v>8.0595</v>
      </c>
      <c r="F11" s="9" t="s">
        <v>14</v>
      </c>
      <c r="G11" s="9">
        <f>2.916+5.9805+9.315+5.1705+5.103+3.1455+4.0095+7.9245+5.697+5.5215+6.8715+3.1185+6.0885+8.0865+8.4915+3.429+3.753+4.05+8.0595</f>
        <v>106.731</v>
      </c>
      <c r="H11" s="9"/>
      <c r="I11" s="9">
        <f>G11/(G3*0.1865)</f>
        <v>2.79163015758844</v>
      </c>
      <c r="J11" s="9"/>
      <c r="K11" s="9"/>
      <c r="L11" s="9"/>
      <c r="M11" s="18"/>
    </row>
    <row r="12" s="1" customFormat="1" ht="25" customHeight="1" spans="1:13">
      <c r="A12" s="6">
        <v>6</v>
      </c>
      <c r="B12" s="7" t="s">
        <v>23</v>
      </c>
      <c r="C12" s="9">
        <v>7.636</v>
      </c>
      <c r="D12" s="9">
        <v>0</v>
      </c>
      <c r="E12" s="9">
        <f>C12+D12</f>
        <v>7.636</v>
      </c>
      <c r="F12" s="9" t="s">
        <v>14</v>
      </c>
      <c r="G12" s="9">
        <f>16.5048+12.9536+15.7688+13.2296+12.0336+14.9592+15.7136+9.844+8.8688+13.0272+11.7392+11.4264+17.204+6.348+15.9896+10.2488+7.6728+6.8448+7.636</f>
        <v>228.0128</v>
      </c>
      <c r="H12" s="9"/>
      <c r="I12" s="9">
        <f>G12/(G3*0.1865)</f>
        <v>5.96384751193356</v>
      </c>
      <c r="J12" s="9"/>
      <c r="K12" s="9"/>
      <c r="L12" s="9"/>
      <c r="M12" s="18"/>
    </row>
    <row r="13" s="1" customFormat="1" ht="25" customHeight="1" spans="1:13">
      <c r="A13" s="6">
        <v>7</v>
      </c>
      <c r="B13" s="7" t="s">
        <v>70</v>
      </c>
      <c r="C13" s="9">
        <v>209</v>
      </c>
      <c r="D13" s="9">
        <v>12</v>
      </c>
      <c r="E13" s="9">
        <f>C13+D13</f>
        <v>221</v>
      </c>
      <c r="F13" s="9"/>
      <c r="G13" s="9">
        <f>539+277+276+257+154+476+448+237+48+398+415+377+224+494+568+256+510+544+302+167+339+24+221</f>
        <v>7551</v>
      </c>
      <c r="H13" s="9">
        <f>G13*1.05</f>
        <v>7928.55</v>
      </c>
      <c r="I13" s="9"/>
      <c r="J13" s="9"/>
      <c r="K13" s="9"/>
      <c r="L13" s="9"/>
      <c r="M13" s="18"/>
    </row>
    <row r="14" s="1" customFormat="1" ht="30" customHeight="1" spans="1:13">
      <c r="A14" s="6">
        <v>8</v>
      </c>
      <c r="B14" s="7" t="s">
        <v>24</v>
      </c>
      <c r="C14" s="9">
        <v>131</v>
      </c>
      <c r="D14" s="9">
        <v>11</v>
      </c>
      <c r="E14" s="9">
        <f t="shared" ref="E14:E21" si="1">D14+C14</f>
        <v>142</v>
      </c>
      <c r="F14" s="9" t="s">
        <v>25</v>
      </c>
      <c r="G14" s="9">
        <f>327+448+439+411+191+63+175+227+366+299+330+194+432+512+259+438+385+195+96+264+17+142</f>
        <v>6210</v>
      </c>
      <c r="H14" s="9"/>
      <c r="I14" s="9"/>
      <c r="J14" s="12"/>
      <c r="K14" s="9"/>
      <c r="L14" s="9"/>
      <c r="M14" s="9"/>
    </row>
    <row r="15" s="1" customFormat="1" ht="25" customHeight="1" spans="1:13">
      <c r="A15" s="6">
        <v>9</v>
      </c>
      <c r="B15" s="7" t="s">
        <v>26</v>
      </c>
      <c r="C15" s="9">
        <v>578.59</v>
      </c>
      <c r="D15" s="9">
        <v>548.6</v>
      </c>
      <c r="E15" s="9">
        <f t="shared" si="1"/>
        <v>1127.19</v>
      </c>
      <c r="F15" s="9" t="s">
        <v>25</v>
      </c>
      <c r="G15" s="9">
        <f>924.88+887.37+839.4+726.66+157.66+466.35+447.5+573.16+853.34+975.93+1104.21+1085.13+757.19+1048.54+778.88+914.25+840.09+207+653.79+361.5+555.75+1127.19</f>
        <v>16285.77</v>
      </c>
      <c r="H15" s="9"/>
      <c r="I15" s="9"/>
      <c r="J15" s="9">
        <f>(C15*K15+L15*D15)/1000</f>
        <v>2.9127365</v>
      </c>
      <c r="K15" s="9">
        <v>2.55</v>
      </c>
      <c r="L15" s="9">
        <v>2.62</v>
      </c>
      <c r="M15" s="9"/>
    </row>
    <row r="16" s="1" customFormat="1" ht="25" customHeight="1" spans="1:13">
      <c r="A16" s="6">
        <v>10</v>
      </c>
      <c r="B16" s="7" t="s">
        <v>27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v>0</v>
      </c>
      <c r="H16" s="9"/>
      <c r="I16" s="9"/>
      <c r="J16" s="21" t="s">
        <v>28</v>
      </c>
      <c r="K16" s="12">
        <f>2.5044003+2.8297459+2.6826627+2.2986316+0.5076652+1.4199265+1.285962+1.7736691+2.3821937+2.6333799+3.3155793+3.115421+2.2531203+3.3063268+2.4512202+2.987732+2.8309653+0.621+2.007521+1.117035+1.6505775+2.9127365</f>
        <v>48.8874718</v>
      </c>
      <c r="L16" s="9"/>
      <c r="M16" s="9"/>
    </row>
    <row r="17" s="1" customFormat="1" ht="25" customHeight="1" spans="1:13">
      <c r="A17" s="6">
        <v>11</v>
      </c>
      <c r="B17" s="7" t="s">
        <v>29</v>
      </c>
      <c r="C17" s="9">
        <v>6</v>
      </c>
      <c r="D17" s="9">
        <v>3</v>
      </c>
      <c r="E17" s="9">
        <f t="shared" si="1"/>
        <v>9</v>
      </c>
      <c r="F17" s="9" t="s">
        <v>14</v>
      </c>
      <c r="G17" s="9">
        <f>24+36+33+32+12+7+12+18+27+21+27+18+33+39+22+33+28+18+7+18+6+9</f>
        <v>480</v>
      </c>
      <c r="H17" s="9"/>
      <c r="I17" s="9">
        <f>G17/(G3*0.1865)</f>
        <v>12.5547636173413</v>
      </c>
      <c r="J17" s="9"/>
      <c r="K17" s="9"/>
      <c r="L17" s="9"/>
      <c r="M17" s="19"/>
    </row>
    <row r="18" s="1" customFormat="1" ht="29" customHeight="1" spans="1:13">
      <c r="A18" s="6">
        <v>12</v>
      </c>
      <c r="B18" s="7" t="s">
        <v>30</v>
      </c>
      <c r="C18" s="6">
        <v>0.15</v>
      </c>
      <c r="D18" s="6">
        <v>0</v>
      </c>
      <c r="E18" s="9">
        <f t="shared" si="1"/>
        <v>0.15</v>
      </c>
      <c r="F18" s="9" t="s">
        <v>14</v>
      </c>
      <c r="G18" s="9">
        <f>0+0.15+0.15+0.2+0.15+0.15+0.2+0.15+0.15</f>
        <v>1.3</v>
      </c>
      <c r="H18" s="19"/>
      <c r="I18" s="19"/>
      <c r="J18" s="19"/>
      <c r="K18" s="19"/>
      <c r="L18" s="19"/>
      <c r="M18" s="9"/>
    </row>
    <row r="19" s="1" customFormat="1" ht="29" customHeight="1" spans="1:13">
      <c r="A19" s="6">
        <v>13</v>
      </c>
      <c r="B19" s="7" t="s">
        <v>31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2+2+2+2+2+2+2+2+2+2+2+2+2</f>
        <v>26</v>
      </c>
      <c r="H19" s="19"/>
      <c r="I19" s="19">
        <f>G19/(G3*0.1865)</f>
        <v>0.680049695939319</v>
      </c>
      <c r="J19" s="19"/>
      <c r="K19" s="19"/>
      <c r="L19" s="19"/>
      <c r="M19" s="9"/>
    </row>
    <row r="20" s="1" customFormat="1" ht="29" customHeight="1" spans="1:13">
      <c r="A20" s="6">
        <v>14</v>
      </c>
      <c r="B20" s="7" t="s">
        <v>32</v>
      </c>
      <c r="C20" s="9">
        <v>0</v>
      </c>
      <c r="D20" s="6">
        <v>0</v>
      </c>
      <c r="E20" s="9">
        <f t="shared" si="1"/>
        <v>0</v>
      </c>
      <c r="F20" s="9" t="s">
        <v>14</v>
      </c>
      <c r="G20" s="9">
        <f>1.5+1.5+1.5+1.5+1.5+1.5+1.5+1.5+1.5+1.5+1.5+1.5+1.5</f>
        <v>19.5</v>
      </c>
      <c r="H20" s="19"/>
      <c r="I20" s="19">
        <f>G20/(G3*0.1865)</f>
        <v>0.510037271954489</v>
      </c>
      <c r="J20" s="19"/>
      <c r="K20" s="19"/>
      <c r="L20" s="19"/>
      <c r="M20" s="9"/>
    </row>
    <row r="21" s="1" customFormat="1" ht="29" customHeight="1" spans="1:13">
      <c r="A21" s="6">
        <v>15</v>
      </c>
      <c r="B21" s="7" t="s">
        <v>33</v>
      </c>
      <c r="C21" s="9">
        <v>4</v>
      </c>
      <c r="D21" s="6">
        <v>6</v>
      </c>
      <c r="E21" s="9">
        <f t="shared" si="1"/>
        <v>10</v>
      </c>
      <c r="F21" s="9" t="s">
        <v>34</v>
      </c>
      <c r="G21" s="9">
        <f>4+11+5+11+4+2+5+7+5+10+16+8+2+14+6+12+4+11+2+2+10</f>
        <v>151</v>
      </c>
      <c r="H21" s="19"/>
      <c r="I21" s="19"/>
      <c r="J21" s="19"/>
      <c r="K21" s="19"/>
      <c r="L21" s="19"/>
      <c r="M21" s="9"/>
    </row>
    <row r="22" s="1" customFormat="1" ht="29" customHeight="1" spans="1:13">
      <c r="A22" s="6">
        <v>16</v>
      </c>
      <c r="B22" s="7" t="s">
        <v>35</v>
      </c>
      <c r="C22" s="6">
        <v>4</v>
      </c>
      <c r="D22" s="6">
        <v>0</v>
      </c>
      <c r="E22" s="9" t="s">
        <v>36</v>
      </c>
      <c r="F22" s="9" t="s">
        <v>34</v>
      </c>
      <c r="G22" s="9">
        <v>0</v>
      </c>
      <c r="H22" s="19"/>
      <c r="I22" s="19"/>
      <c r="J22" s="12"/>
      <c r="K22" s="19"/>
      <c r="L22" s="19"/>
      <c r="M22" s="9"/>
    </row>
    <row r="23" s="1" customFormat="1" ht="29" customHeight="1" spans="1:13">
      <c r="A23" s="6">
        <v>17</v>
      </c>
      <c r="B23" s="7" t="s">
        <v>38</v>
      </c>
      <c r="C23" s="6">
        <v>102</v>
      </c>
      <c r="D23" s="6">
        <v>523</v>
      </c>
      <c r="E23" s="9">
        <f>D23+C23</f>
        <v>625</v>
      </c>
      <c r="F23" s="9" t="s">
        <v>25</v>
      </c>
      <c r="G23" s="9">
        <f>1276+1300+1297+872+627+109+1294+610+1102+1148+1033+670+1344+1215+831+1250+1210+471+640+798+366+625</f>
        <v>20088</v>
      </c>
      <c r="H23" s="20">
        <v>10</v>
      </c>
      <c r="I23" s="19">
        <f>E23/H23</f>
        <v>62.5</v>
      </c>
      <c r="J23" s="21" t="s">
        <v>39</v>
      </c>
      <c r="K23" s="9">
        <f>24+24+24+16+10.5+24+11+24+24+18.5+12+24+22+15+24+24+9+12.5+10.5+5.5+10</f>
        <v>368.5</v>
      </c>
      <c r="L23" s="9">
        <f>G23/K23</f>
        <v>54.5128900949796</v>
      </c>
      <c r="M23" s="9"/>
    </row>
    <row r="24" s="1" customFormat="1" ht="29" customHeight="1" spans="1:13">
      <c r="A24" s="6">
        <v>18</v>
      </c>
      <c r="B24" s="7" t="s">
        <v>40</v>
      </c>
      <c r="C24" s="6">
        <v>274</v>
      </c>
      <c r="D24" s="6">
        <v>540</v>
      </c>
      <c r="E24" s="9">
        <f>D24+C24</f>
        <v>814</v>
      </c>
      <c r="F24" s="9" t="s">
        <v>25</v>
      </c>
      <c r="G24" s="9">
        <f>1599+1727+1633+1108+754+203+1480+725+1293+1315+1177+875+1631+1537+1027+1580+1561+550+688+728+223+814</f>
        <v>24228</v>
      </c>
      <c r="H24" s="19"/>
      <c r="I24" s="19">
        <f>E24/H23</f>
        <v>81.4</v>
      </c>
      <c r="J24" s="19"/>
      <c r="K24" s="19"/>
      <c r="L24" s="19"/>
      <c r="M24" s="9"/>
    </row>
    <row r="25" s="1" customFormat="1" ht="29" customHeight="1" spans="1:13">
      <c r="A25" s="6">
        <v>19</v>
      </c>
      <c r="B25" s="7" t="s">
        <v>41</v>
      </c>
      <c r="C25" s="6">
        <v>31.78</v>
      </c>
      <c r="D25" s="6">
        <v>26.31</v>
      </c>
      <c r="E25" s="9"/>
      <c r="F25" s="9" t="s">
        <v>42</v>
      </c>
      <c r="G25" s="9"/>
      <c r="H25" s="19"/>
      <c r="I25" s="19"/>
      <c r="J25" s="19"/>
      <c r="K25" s="19"/>
      <c r="L25" s="19"/>
      <c r="M25" s="9"/>
    </row>
    <row r="26" s="1" customFormat="1" ht="149" customHeight="1" spans="1:13">
      <c r="A26" s="6">
        <v>20</v>
      </c>
      <c r="B26" s="22" t="s">
        <v>43</v>
      </c>
      <c r="C26" s="23"/>
      <c r="D26" s="24"/>
      <c r="E26" s="24"/>
      <c r="F26" s="24"/>
      <c r="G26" s="24"/>
      <c r="H26" s="24"/>
      <c r="I26" s="24"/>
      <c r="J26" s="24"/>
      <c r="K26" s="24"/>
      <c r="L26" s="25"/>
      <c r="M26" s="23"/>
    </row>
    <row r="27" s="1" customFormat="1" ht="130" customHeight="1" spans="1:13">
      <c r="A27" s="6">
        <v>21</v>
      </c>
      <c r="B27" s="26" t="s">
        <v>45</v>
      </c>
      <c r="C27" s="23" t="s">
        <v>127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30" customHeight="1" spans="1:13">
      <c r="A28" s="6">
        <v>22</v>
      </c>
      <c r="B28" s="26" t="s">
        <v>47</v>
      </c>
      <c r="C28" s="27" t="s">
        <v>142</v>
      </c>
      <c r="D28" s="24"/>
      <c r="E28" s="24"/>
      <c r="F28" s="24"/>
      <c r="G28" s="24"/>
      <c r="H28" s="24"/>
      <c r="I28" s="24"/>
      <c r="J28" s="24"/>
      <c r="K28" s="24"/>
      <c r="L28" s="25"/>
      <c r="M28" s="26"/>
    </row>
    <row r="29" s="1" customFormat="1" ht="14" customHeight="1" spans="1:13">
      <c r="C29" s="28"/>
      <c r="D29" s="28"/>
    </row>
    <row r="30" s="1" customFormat="1" ht="25" customHeight="1" spans="1:13">
      <c r="A30" s="4" t="s">
        <v>143</v>
      </c>
    </row>
    <row r="31" s="1" customFormat="1" ht="25" customHeight="1" spans="1:13">
      <c r="A31" s="5" t="s">
        <v>50</v>
      </c>
      <c r="B31" s="5" t="s">
        <v>51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  <c r="I31" s="5" t="s">
        <v>8</v>
      </c>
      <c r="J31" s="5" t="s">
        <v>9</v>
      </c>
      <c r="K31" s="5" t="s">
        <v>10</v>
      </c>
      <c r="L31" s="5" t="s">
        <v>11</v>
      </c>
      <c r="M31" s="5" t="s">
        <v>12</v>
      </c>
    </row>
    <row r="32" s="1" customFormat="1" ht="25" customHeight="1" spans="1:13">
      <c r="A32" s="6">
        <v>1</v>
      </c>
      <c r="B32" s="7" t="s">
        <v>52</v>
      </c>
      <c r="C32" s="9">
        <v>0</v>
      </c>
      <c r="D32" s="9">
        <v>0</v>
      </c>
      <c r="E32" s="9">
        <f t="shared" ref="E32:E40" si="2">D32+C32</f>
        <v>0</v>
      </c>
      <c r="F32" s="9" t="s">
        <v>25</v>
      </c>
      <c r="G32" s="9">
        <f>5.22+7.46</f>
        <v>12.68</v>
      </c>
      <c r="H32" s="9"/>
      <c r="I32" s="9"/>
      <c r="J32" s="19"/>
      <c r="K32" s="19"/>
      <c r="L32" s="19"/>
      <c r="M32" s="9"/>
    </row>
    <row r="33" s="1" customFormat="1" ht="25" customHeight="1" spans="1:13">
      <c r="A33" s="6">
        <v>2</v>
      </c>
      <c r="B33" s="7" t="s">
        <v>53</v>
      </c>
      <c r="C33" s="9">
        <v>6.26</v>
      </c>
      <c r="D33" s="9">
        <v>6.26</v>
      </c>
      <c r="E33" s="9">
        <f t="shared" si="2"/>
        <v>12.52</v>
      </c>
      <c r="F33" s="9" t="s">
        <v>25</v>
      </c>
      <c r="G33" s="9">
        <f>0+12.54+14.61+8.83+8.25+6.31+12.75+12.64+14.64+6.6+16.71+17.89+12.77+12.73+12.79+12.62+12.52</f>
        <v>195.2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3</v>
      </c>
      <c r="B34" s="7" t="s">
        <v>54</v>
      </c>
      <c r="C34" s="9">
        <v>68</v>
      </c>
      <c r="D34" s="9">
        <v>0</v>
      </c>
      <c r="E34" s="9">
        <f t="shared" si="2"/>
        <v>68</v>
      </c>
      <c r="F34" s="9" t="s">
        <v>25</v>
      </c>
      <c r="G34" s="9">
        <f>12+6+7+7+7+7+7+12+6+7+3+7+6+11+5+5+5+5+16+2+2+68</f>
        <v>213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4</v>
      </c>
      <c r="B35" s="7" t="s">
        <v>55</v>
      </c>
      <c r="C35" s="9">
        <v>0</v>
      </c>
      <c r="D35" s="9">
        <v>0</v>
      </c>
      <c r="E35" s="9">
        <f t="shared" si="2"/>
        <v>0</v>
      </c>
      <c r="F35" s="9" t="s">
        <v>25</v>
      </c>
      <c r="G35" s="9">
        <f>0</f>
        <v>0</v>
      </c>
      <c r="H35" s="9"/>
      <c r="I35" s="9"/>
      <c r="J35" s="19"/>
      <c r="K35" s="19"/>
      <c r="L35" s="19"/>
      <c r="M35" s="18"/>
    </row>
    <row r="36" s="1" customFormat="1" ht="25" customHeight="1" spans="1:13">
      <c r="A36" s="6">
        <v>5</v>
      </c>
      <c r="B36" s="7" t="s">
        <v>22</v>
      </c>
      <c r="C36" s="9">
        <v>9.963</v>
      </c>
      <c r="D36" s="9">
        <v>0</v>
      </c>
      <c r="E36" s="9">
        <f t="shared" si="2"/>
        <v>9.963</v>
      </c>
      <c r="F36" s="9" t="s">
        <v>14</v>
      </c>
      <c r="G36" s="9">
        <f>0+15.1875+10.8675+8.5455+5.7915+2.484+11.7315+6.6825+12.555+9.963</f>
        <v>83.808</v>
      </c>
      <c r="H36" s="9"/>
      <c r="J36" s="19"/>
      <c r="K36" s="19"/>
      <c r="L36" s="19"/>
      <c r="M36" s="19"/>
    </row>
    <row r="37" s="1" customFormat="1" ht="25" customHeight="1" spans="1:13">
      <c r="A37" s="6">
        <v>6</v>
      </c>
      <c r="B37" s="7" t="s">
        <v>23</v>
      </c>
      <c r="C37" s="9">
        <v>0</v>
      </c>
      <c r="D37" s="9">
        <v>0</v>
      </c>
      <c r="E37" s="9">
        <f t="shared" si="2"/>
        <v>0</v>
      </c>
      <c r="F37" s="9" t="s">
        <v>14</v>
      </c>
      <c r="G37" s="9">
        <f>0+7.0104+7.5072</f>
        <v>14.5176</v>
      </c>
      <c r="H37" s="9"/>
      <c r="I37" s="9"/>
      <c r="J37" s="12"/>
      <c r="K37" s="19"/>
      <c r="L37" s="19"/>
      <c r="M37" s="19"/>
    </row>
    <row r="38" s="1" customFormat="1" ht="25" customHeight="1" spans="1:13">
      <c r="A38" s="6">
        <v>7</v>
      </c>
      <c r="B38" s="7" t="s">
        <v>57</v>
      </c>
      <c r="C38" s="9">
        <v>0</v>
      </c>
      <c r="D38" s="9">
        <v>0</v>
      </c>
      <c r="E38" s="9">
        <f t="shared" si="2"/>
        <v>0</v>
      </c>
      <c r="F38" s="9" t="s">
        <v>25</v>
      </c>
      <c r="G38" s="9">
        <f>0+4+305+340+403+80</f>
        <v>1132</v>
      </c>
      <c r="H38" s="9"/>
      <c r="I38" s="9"/>
      <c r="J38" s="29"/>
      <c r="K38" s="19"/>
      <c r="L38" s="9"/>
      <c r="M38" s="19"/>
    </row>
    <row r="39" s="1" customFormat="1" ht="27" customHeight="1" spans="1:13">
      <c r="A39" s="6">
        <v>8</v>
      </c>
      <c r="B39" s="7" t="s">
        <v>58</v>
      </c>
      <c r="C39" s="9">
        <v>310</v>
      </c>
      <c r="D39" s="9">
        <v>275</v>
      </c>
      <c r="E39" s="9">
        <f t="shared" si="2"/>
        <v>585</v>
      </c>
      <c r="F39" s="9" t="s">
        <v>25</v>
      </c>
      <c r="G39" s="9">
        <f>383+468+416+425+389+535+545+428+465+504+483+415+486+605+649+600+635+619+588+540+500+585</f>
        <v>11263</v>
      </c>
      <c r="H39" s="9"/>
      <c r="I39" s="9"/>
      <c r="J39" s="30"/>
      <c r="K39" s="19"/>
      <c r="L39" s="9"/>
      <c r="M39" s="19"/>
    </row>
    <row r="40" s="1" customFormat="1" ht="25" customHeight="1" spans="1:13">
      <c r="A40" s="6">
        <v>9</v>
      </c>
      <c r="B40" s="7" t="s">
        <v>59</v>
      </c>
      <c r="C40" s="9">
        <v>0</v>
      </c>
      <c r="D40" s="9">
        <v>0</v>
      </c>
      <c r="E40" s="31">
        <f t="shared" si="2"/>
        <v>0</v>
      </c>
      <c r="F40" s="9" t="s">
        <v>25</v>
      </c>
      <c r="G40" s="9">
        <f>0</f>
        <v>0</v>
      </c>
      <c r="H40" s="9"/>
      <c r="I40" s="9"/>
      <c r="J40" s="30"/>
      <c r="K40" s="32"/>
      <c r="L40" s="9"/>
      <c r="M40" s="19"/>
    </row>
    <row r="41" s="1" customFormat="1" ht="25" customHeight="1" spans="1:13">
      <c r="A41" s="6">
        <v>10</v>
      </c>
      <c r="B41" s="7" t="s">
        <v>60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750*0.05</f>
        <v>37.5</v>
      </c>
      <c r="J41" s="12"/>
      <c r="K41" s="33"/>
      <c r="L41" s="23"/>
      <c r="M41" s="34"/>
    </row>
    <row r="42" s="1" customFormat="1" ht="25" customHeight="1" spans="1:13">
      <c r="A42" s="6">
        <v>11</v>
      </c>
      <c r="B42" s="7" t="s">
        <v>61</v>
      </c>
      <c r="C42" s="9">
        <v>0</v>
      </c>
      <c r="D42" s="9">
        <v>0</v>
      </c>
      <c r="E42" s="9">
        <f>C42+D42</f>
        <v>0</v>
      </c>
      <c r="F42" s="9" t="s">
        <v>25</v>
      </c>
      <c r="G42" s="9">
        <f>0</f>
        <v>0</v>
      </c>
      <c r="H42" s="19"/>
      <c r="I42" s="6">
        <f>86.86*1.78</f>
        <v>154.6108</v>
      </c>
      <c r="J42" s="23"/>
      <c r="K42" s="33"/>
      <c r="L42" s="23"/>
      <c r="M42" s="34"/>
    </row>
    <row r="43" s="1" customFormat="1" ht="25" customHeight="1" spans="1:13">
      <c r="A43" s="6">
        <v>12</v>
      </c>
      <c r="B43" s="7" t="s">
        <v>62</v>
      </c>
      <c r="C43" s="6">
        <v>2</v>
      </c>
      <c r="D43" s="6">
        <v>0</v>
      </c>
      <c r="E43" s="9">
        <f>D43+C43</f>
        <v>2</v>
      </c>
      <c r="F43" s="9" t="s">
        <v>34</v>
      </c>
      <c r="G43" s="9">
        <f>0+1+1+1+1+2+1+1+2+3+2+2+2+3+1+2</f>
        <v>25</v>
      </c>
      <c r="H43" s="19"/>
      <c r="I43" s="9">
        <v>17</v>
      </c>
      <c r="J43" s="23"/>
      <c r="K43" s="23"/>
      <c r="L43" s="23"/>
      <c r="M43" s="34"/>
    </row>
    <row r="44" s="1" customFormat="1" ht="78" customHeight="1" spans="1:13">
      <c r="A44" s="6">
        <v>13</v>
      </c>
      <c r="B44" s="35" t="s">
        <v>47</v>
      </c>
      <c r="C44" s="36" t="s">
        <v>119</v>
      </c>
      <c r="D44" s="37"/>
      <c r="E44" s="37"/>
      <c r="F44" s="37"/>
      <c r="G44" s="37"/>
      <c r="H44" s="37"/>
      <c r="I44" s="37"/>
      <c r="J44" s="37"/>
      <c r="K44" s="37"/>
      <c r="L44" s="38"/>
      <c r="M44" s="39"/>
    </row>
    <row r="45" s="1" customFormat="1" spans="1:13">
      <c r="A45" s="34" t="s">
        <v>64</v>
      </c>
      <c r="B45" s="40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8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spans="1:13">
      <c r="A52" s="13"/>
      <c r="B52" s="41"/>
      <c r="M52" s="42"/>
    </row>
    <row r="53" s="1" customFormat="1" ht="12" customHeight="1" spans="1:13">
      <c r="A53" s="13"/>
      <c r="B53" s="41"/>
      <c r="M53" s="42"/>
    </row>
    <row r="54" s="1" customFormat="1" hidden="1" spans="1:13">
      <c r="A54" s="13"/>
      <c r="B54" s="41"/>
      <c r="M54" s="42"/>
    </row>
    <row r="55" s="1" customFormat="1" hidden="1" spans="1:13">
      <c r="A55" s="13"/>
      <c r="B55" s="41"/>
      <c r="M55" s="42"/>
    </row>
    <row r="56" spans="1:13">
      <c r="A56" s="14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5"/>
    </row>
    <row r="64" s="1" customFormat="1" spans="1:13">
      <c r="C64" s="28"/>
      <c r="D64" s="28"/>
      <c r="L64" s="1" t="s">
        <v>65</v>
      </c>
    </row>
  </sheetData>
  <mergeCells count="23">
    <mergeCell ref="A1:M1"/>
    <mergeCell ref="C26:L26"/>
    <mergeCell ref="C27:L27"/>
    <mergeCell ref="C28:L28"/>
    <mergeCell ref="A30:M30"/>
    <mergeCell ref="C44:L44"/>
    <mergeCell ref="A5:A8"/>
    <mergeCell ref="A9:A10"/>
    <mergeCell ref="A45:A56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5:M56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5" workbookViewId="0">
      <selection activeCell="C22" sqref="C2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144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2</v>
      </c>
      <c r="D3" s="8">
        <v>6.5</v>
      </c>
      <c r="E3" s="9">
        <f t="shared" ref="E3:E12" si="0">C3+D3</f>
        <v>8.5</v>
      </c>
      <c r="F3" s="9" t="s">
        <v>14</v>
      </c>
      <c r="G3" s="9">
        <f>7.5+15.5+13.5+13+6+3+5+10.5+9+8+12.5+9.5+13+17+8.5+13+14.5+9.5+0.5+7.5+4.5+4+8.5</f>
        <v>213.5</v>
      </c>
      <c r="H3" s="9">
        <v>284</v>
      </c>
      <c r="I3" s="9">
        <f>H3-G3</f>
        <v>70.5</v>
      </c>
      <c r="J3" s="9"/>
      <c r="K3" s="9"/>
      <c r="L3" s="9"/>
      <c r="M3" s="9">
        <f>I3/8</f>
        <v>8.8125</v>
      </c>
    </row>
    <row r="4" s="1" customFormat="1" ht="56" customHeight="1" spans="1:13">
      <c r="A4" s="10">
        <v>2</v>
      </c>
      <c r="B4" s="7" t="s">
        <v>15</v>
      </c>
      <c r="C4" s="8">
        <v>4</v>
      </c>
      <c r="D4" s="8"/>
      <c r="E4" s="9">
        <f t="shared" si="0"/>
        <v>4</v>
      </c>
      <c r="F4" s="9" t="s">
        <v>14</v>
      </c>
      <c r="G4" s="9">
        <f>8+8+20+10+16+2+4+4+10+10+8+12+10+12+18+10+12+16+6+2+12+4</f>
        <v>214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44</v>
      </c>
      <c r="E5" s="9">
        <f t="shared" si="0"/>
        <v>44</v>
      </c>
      <c r="F5" s="9" t="s">
        <v>14</v>
      </c>
      <c r="G5" s="9">
        <f>196+187+205+143+90+157+39+147+136+138+70+179+197+113+192+190+53+83+96+44</f>
        <v>2655</v>
      </c>
      <c r="H5" s="9">
        <v>4250</v>
      </c>
      <c r="I5" s="9">
        <f>H5-G5-G7-G6</f>
        <v>1272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112</v>
      </c>
      <c r="D7" s="9">
        <v>39</v>
      </c>
      <c r="E7" s="9">
        <f t="shared" si="0"/>
        <v>151</v>
      </c>
      <c r="F7" s="9" t="s">
        <v>14</v>
      </c>
      <c r="G7" s="9">
        <f>3+1+21+36+3+8+1+8+4+15+72+151</f>
        <v>323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30.88</v>
      </c>
      <c r="D9" s="11"/>
      <c r="E9" s="9">
        <f t="shared" si="0"/>
        <v>30.88</v>
      </c>
      <c r="F9" s="11" t="s">
        <v>14</v>
      </c>
      <c r="G9" s="9">
        <f>61.26+31.08+30.92+30.89+30.92+30.94+31.43+30.47+31.06+30.95+30.96+32.98+31.24+30.86+31.12+30.88</f>
        <v>527.96</v>
      </c>
      <c r="H9" s="11">
        <v>4.6</v>
      </c>
      <c r="I9" s="11">
        <f>H9-K10</f>
        <v>0.0657039999999984</v>
      </c>
      <c r="J9" s="16" t="s">
        <v>145</v>
      </c>
      <c r="K9" s="11">
        <v>3</v>
      </c>
      <c r="L9" s="11">
        <v>0.81</v>
      </c>
      <c r="M9" s="17"/>
    </row>
    <row r="10" s="1" customFormat="1" ht="25" customHeight="1" spans="1:13">
      <c r="A10" s="6">
        <v>5</v>
      </c>
      <c r="B10" s="7" t="s">
        <v>22</v>
      </c>
      <c r="C10" s="9">
        <v>6.426</v>
      </c>
      <c r="D10" s="9">
        <v>1.6605</v>
      </c>
      <c r="E10" s="9">
        <f t="shared" si="0"/>
        <v>8.0865</v>
      </c>
      <c r="F10" s="9" t="s">
        <v>14</v>
      </c>
      <c r="G10" s="9">
        <f>2.916+5.9805+9.315+5.1705+5.103+3.1455+4.0095+7.9245+5.697+5.5215+6.8715+3.1185+6.0885+8.0865+8.4915+3.429+3.753+4.05+8.0595+8.0865</f>
        <v>114.8175</v>
      </c>
      <c r="H10" s="9"/>
      <c r="I10" s="9">
        <f>G10/(G3*0.1865)</f>
        <v>2.88357579220323</v>
      </c>
      <c r="J10" s="16" t="s">
        <v>146</v>
      </c>
      <c r="K10" s="12">
        <f>0.545214+0.267288+0.265912+0.262565+0.253544+0.26299+0.273441+0.258995+0.26401+0.263075+0.27864+0.283628+0.278036+0.26231+0.26452+0.250128</f>
        <v>4.534296</v>
      </c>
      <c r="L10" s="9"/>
      <c r="M10" s="9">
        <f>C9*L9/100</f>
        <v>0.250128</v>
      </c>
    </row>
    <row r="11" s="1" customFormat="1" ht="25" customHeight="1" spans="1:13">
      <c r="A11" s="6">
        <v>6</v>
      </c>
      <c r="B11" s="7" t="s">
        <v>23</v>
      </c>
      <c r="C11" s="9">
        <v>10.764</v>
      </c>
      <c r="D11" s="9">
        <v>0</v>
      </c>
      <c r="E11" s="9">
        <f t="shared" si="0"/>
        <v>10.764</v>
      </c>
      <c r="F11" s="9" t="s">
        <v>14</v>
      </c>
      <c r="G11" s="9">
        <f>16.5048+12.9536+15.7688+13.2296+12.0336+14.9592+15.7136+9.844+8.8688+13.0272+11.7392+11.4264+17.204+6.348+15.9896+10.2488+7.6728+6.8448+7.636+10.764</f>
        <v>238.7768</v>
      </c>
      <c r="H11" s="9"/>
      <c r="I11" s="9">
        <f>G11/(G3*0.1865)</f>
        <v>5.99674265873888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222</v>
      </c>
      <c r="D12" s="9">
        <v>268</v>
      </c>
      <c r="E12" s="9">
        <f t="shared" si="0"/>
        <v>490</v>
      </c>
      <c r="F12" s="9"/>
      <c r="G12" s="9">
        <f>539+277+276+257+154+476+448+237+48+398+415+377+224+494+568+256+510+544+302+167+339+24+221+490</f>
        <v>8041</v>
      </c>
      <c r="H12" s="9">
        <f>G12*1.05</f>
        <v>8443.05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140</v>
      </c>
      <c r="D13" s="9">
        <v>233</v>
      </c>
      <c r="E13" s="9">
        <f t="shared" ref="E13:E20" si="1">D13+C13</f>
        <v>373</v>
      </c>
      <c r="F13" s="9" t="s">
        <v>25</v>
      </c>
      <c r="G13" s="9">
        <f>327+448+439+411+191+63+175+227+366+299+330+194+432+512+259+438+385+195+96+264+17+142+373</f>
        <v>6583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492.19</v>
      </c>
      <c r="D14" s="9">
        <v>569.35</v>
      </c>
      <c r="E14" s="9">
        <f t="shared" si="1"/>
        <v>1061.54</v>
      </c>
      <c r="F14" s="9" t="s">
        <v>25</v>
      </c>
      <c r="G14" s="9">
        <f>924.88+887.37+839.4+726.66+157.66+466.35+447.5+573.16+853.34+975.93+1104.21+1085.13+757.19+1048.54+778.88+914.25+840.09+207+653.79+361.5+555.75+1127.19+1061.54</f>
        <v>17347.31</v>
      </c>
      <c r="H14" s="9"/>
      <c r="I14" s="9"/>
      <c r="J14" s="16" t="s">
        <v>147</v>
      </c>
      <c r="K14" s="9">
        <v>2.79</v>
      </c>
      <c r="L14" s="9">
        <v>2.74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</f>
        <v>51.8207009</v>
      </c>
      <c r="L15" s="9"/>
      <c r="M15" s="9">
        <f>(C14*K14+L14*D14)/1000</f>
        <v>2.9332291</v>
      </c>
    </row>
    <row r="16" s="1" customFormat="1" ht="25" customHeight="1" spans="1:13">
      <c r="A16" s="6">
        <v>11</v>
      </c>
      <c r="B16" s="7" t="s">
        <v>29</v>
      </c>
      <c r="C16" s="9">
        <v>9</v>
      </c>
      <c r="D16" s="9">
        <v>18</v>
      </c>
      <c r="E16" s="9">
        <f t="shared" si="1"/>
        <v>27</v>
      </c>
      <c r="F16" s="9" t="s">
        <v>14</v>
      </c>
      <c r="G16" s="9">
        <f>24+36+33+32+12+7+12+18+27+21+27+18+33+39+22+33+28+18+7+18+6+9+27</f>
        <v>507</v>
      </c>
      <c r="H16" s="9"/>
      <c r="I16" s="9">
        <f>G16/(G3*0.1865)</f>
        <v>12.7330147986765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</f>
        <v>1.3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</f>
        <v>28</v>
      </c>
      <c r="H18" s="19"/>
      <c r="I18" s="19">
        <f>G18/(G3*0.1865)</f>
        <v>0.703203973102448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</f>
        <v>21</v>
      </c>
      <c r="H19" s="19"/>
      <c r="I19" s="19">
        <f>G19/(G3*0.1865)</f>
        <v>0.527402979826836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6</v>
      </c>
      <c r="D20" s="6">
        <v>2</v>
      </c>
      <c r="E20" s="9">
        <f t="shared" si="1"/>
        <v>8</v>
      </c>
      <c r="F20" s="9" t="s">
        <v>34</v>
      </c>
      <c r="G20" s="9">
        <f>4+11+5+11+4+2+5+7+5+10+16+8+2+14+6+12+4+11+2+2+10+8</f>
        <v>159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681</v>
      </c>
      <c r="D22" s="6">
        <v>684</v>
      </c>
      <c r="E22" s="9">
        <f>D22+C22</f>
        <v>1365</v>
      </c>
      <c r="F22" s="9" t="s">
        <v>25</v>
      </c>
      <c r="G22" s="9">
        <f>1276+1300+1297+872+627+109+1294+610+1102+1148+1033+670+1344+1215+831+1250+1210+471+640+798+366+625+1365</f>
        <v>21453</v>
      </c>
      <c r="H22" s="20"/>
      <c r="I22" s="19">
        <f>E22/M22</f>
        <v>56.875</v>
      </c>
      <c r="J22" s="21" t="s">
        <v>39</v>
      </c>
      <c r="K22" s="9">
        <f>24+24+24+16+10.5+24+11+24+24+18.5+12+24+22+15+24+24+9+12.5+10.5+5.5+10+24</f>
        <v>392.5</v>
      </c>
      <c r="L22" s="9">
        <f>G22/K22</f>
        <v>54.6573248407643</v>
      </c>
      <c r="M22" s="9">
        <v>24</v>
      </c>
    </row>
    <row r="23" s="1" customFormat="1" ht="29" customHeight="1" spans="1:13">
      <c r="A23" s="6">
        <v>18</v>
      </c>
      <c r="B23" s="7" t="s">
        <v>40</v>
      </c>
      <c r="C23" s="6">
        <v>848</v>
      </c>
      <c r="D23" s="6">
        <v>876</v>
      </c>
      <c r="E23" s="9">
        <f>D23+C23</f>
        <v>1724</v>
      </c>
      <c r="F23" s="9" t="s">
        <v>25</v>
      </c>
      <c r="G23" s="9">
        <f>1599+1727+1633+1108+754+203+1480+725+1293+1315+1177+875+1631+1537+1027+1580+1561+550+688+728+223+814+1724</f>
        <v>25952</v>
      </c>
      <c r="H23" s="19"/>
      <c r="I23" s="19">
        <f>E23/M22</f>
        <v>71.8333333333333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25.55</v>
      </c>
      <c r="D24" s="6">
        <v>24.73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149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150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</f>
        <v>12.68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6.31</v>
      </c>
      <c r="D32" s="9">
        <v>6.34</v>
      </c>
      <c r="E32" s="9">
        <f t="shared" si="2"/>
        <v>12.65</v>
      </c>
      <c r="F32" s="9" t="s">
        <v>25</v>
      </c>
      <c r="G32" s="9">
        <f>0+12.54+14.61+8.83+8.25+6.31+12.75+12.64+14.64+6.6+16.71+17.89+12.77+12.73+12.79+12.62+12.52+12.65</f>
        <v>207.85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5</v>
      </c>
      <c r="D33" s="9">
        <v>0</v>
      </c>
      <c r="E33" s="9">
        <f t="shared" si="2"/>
        <v>5</v>
      </c>
      <c r="F33" s="9" t="s">
        <v>25</v>
      </c>
      <c r="G33" s="9">
        <f>12+6+7+7+7+7+7+12+6+7+3+7+6+11+5+5+5+5+16+2+2+68+5</f>
        <v>218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5.3055</v>
      </c>
      <c r="D35" s="9">
        <v>0</v>
      </c>
      <c r="E35" s="9">
        <f t="shared" si="2"/>
        <v>5.3055</v>
      </c>
      <c r="F35" s="9" t="s">
        <v>14</v>
      </c>
      <c r="G35" s="9">
        <f>0+15.1875+10.8675+8.5455+5.7915+2.484+11.7315+6.6825+12.555+9.963+5.3055</f>
        <v>89.1135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81</v>
      </c>
      <c r="E37" s="9">
        <f t="shared" si="2"/>
        <v>81</v>
      </c>
      <c r="F37" s="9" t="s">
        <v>25</v>
      </c>
      <c r="G37" s="9">
        <f>0+4+305+340+403+80+81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242</v>
      </c>
      <c r="D38" s="9">
        <v>302</v>
      </c>
      <c r="E38" s="9">
        <f t="shared" si="2"/>
        <v>544</v>
      </c>
      <c r="F38" s="9" t="s">
        <v>25</v>
      </c>
      <c r="G38" s="9">
        <f>383+468+416+425+389+535+545+428+465+504+483+415+486+605+649+600+635+619+588+540+500+585+544</f>
        <v>11807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</f>
        <v>0</v>
      </c>
      <c r="H40" s="19"/>
      <c r="I40" s="6">
        <f>750*0.05</f>
        <v>37.5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</f>
        <v>0</v>
      </c>
      <c r="H41" s="19"/>
      <c r="I41" s="6">
        <f>86.86*1.78</f>
        <v>154.6108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1</v>
      </c>
      <c r="D42" s="6">
        <v>0</v>
      </c>
      <c r="E42" s="9">
        <f>D42+C42</f>
        <v>1</v>
      </c>
      <c r="F42" s="9" t="s">
        <v>34</v>
      </c>
      <c r="G42" s="9">
        <f>0+1+1+1+1+2+1+1+2+3+2+2+2+3+1+2+1</f>
        <v>26</v>
      </c>
      <c r="H42" s="19"/>
      <c r="I42" s="9">
        <v>18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selection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151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8</v>
      </c>
      <c r="D3" s="8">
        <v>8.5</v>
      </c>
      <c r="E3" s="9">
        <f t="shared" ref="E3:E12" si="0">C3+D3</f>
        <v>16.5</v>
      </c>
      <c r="F3" s="9" t="s">
        <v>14</v>
      </c>
      <c r="G3" s="9">
        <f>7.5+15.5+13.5+13+6+3+5+10.5+9+8+12.5+9.5+13+17+8.5+13+14.5+9.5+0.5+7.5+4.5+4+8.5+16.5</f>
        <v>230</v>
      </c>
      <c r="H3" s="9">
        <v>284</v>
      </c>
      <c r="I3" s="9">
        <f>H3-G3</f>
        <v>54</v>
      </c>
      <c r="J3" s="9"/>
      <c r="K3" s="9"/>
      <c r="L3" s="9"/>
      <c r="M3" s="9">
        <f>I3/7</f>
        <v>7.71428571428571</v>
      </c>
    </row>
    <row r="4" s="1" customFormat="1" ht="56" customHeight="1" spans="1:13">
      <c r="A4" s="10">
        <v>2</v>
      </c>
      <c r="B4" s="7" t="s">
        <v>15</v>
      </c>
      <c r="C4" s="8">
        <v>8</v>
      </c>
      <c r="D4" s="8"/>
      <c r="E4" s="9">
        <f t="shared" si="0"/>
        <v>8</v>
      </c>
      <c r="F4" s="9" t="s">
        <v>14</v>
      </c>
      <c r="G4" s="9">
        <f>8+8+20+10+16+2+4+4+10+10+8+12+10+12+18+10+12+16+6+2+12+4+8</f>
        <v>222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52</v>
      </c>
      <c r="D5" s="9">
        <v>77</v>
      </c>
      <c r="E5" s="9">
        <f t="shared" si="0"/>
        <v>129</v>
      </c>
      <c r="F5" s="9" t="s">
        <v>14</v>
      </c>
      <c r="G5" s="9">
        <f>196+187+205+143+90+157+39+147+136+138+70+179+197+113+192+190+53+83+96+44+129</f>
        <v>2784</v>
      </c>
      <c r="H5" s="9">
        <v>4250</v>
      </c>
      <c r="I5" s="9">
        <f>H5-G5-G7-G6</f>
        <v>1081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36</v>
      </c>
      <c r="D7" s="9">
        <v>26</v>
      </c>
      <c r="E7" s="9">
        <f t="shared" si="0"/>
        <v>62</v>
      </c>
      <c r="F7" s="9" t="s">
        <v>14</v>
      </c>
      <c r="G7" s="9">
        <f>3+1+21+36+3+8+1+8+4+15+72+151+62</f>
        <v>385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31.16</v>
      </c>
      <c r="D9" s="11"/>
      <c r="E9" s="9">
        <f t="shared" si="0"/>
        <v>31.16</v>
      </c>
      <c r="F9" s="11" t="s">
        <v>14</v>
      </c>
      <c r="G9" s="9">
        <f>61.26+31.08+30.92+30.89+30.92+30.94+31.43+30.47+31.06+30.95+30.96+32.98+31.24+30.86+31.12+30.88+31.16</f>
        <v>559.12</v>
      </c>
      <c r="H9" s="11">
        <v>4.6</v>
      </c>
      <c r="I9" s="11">
        <f>H9-K10</f>
        <v>-0.199156000000001</v>
      </c>
      <c r="J9" s="16" t="s">
        <v>145</v>
      </c>
      <c r="K9" s="11">
        <v>2</v>
      </c>
      <c r="L9" s="11">
        <v>0.85</v>
      </c>
      <c r="M9" s="17"/>
    </row>
    <row r="10" s="1" customFormat="1" ht="25" customHeight="1" spans="1:13">
      <c r="A10" s="6">
        <v>5</v>
      </c>
      <c r="B10" s="7" t="s">
        <v>22</v>
      </c>
      <c r="C10" s="9">
        <v>5.13</v>
      </c>
      <c r="D10" s="9">
        <v>0</v>
      </c>
      <c r="E10" s="9">
        <f t="shared" si="0"/>
        <v>5.13</v>
      </c>
      <c r="F10" s="9" t="s">
        <v>14</v>
      </c>
      <c r="G10" s="9">
        <f>2.916+5.9805+9.315+5.1705+5.103+3.1455+4.0095+7.9245+5.697+5.5215+6.8715+3.1185+6.0885+8.0865+8.4915+3.429+3.753+4.05+8.0595+8.0865+5.13</f>
        <v>119.9475</v>
      </c>
      <c r="H10" s="9"/>
      <c r="I10" s="9">
        <f>G10/(G3*0.1865)</f>
        <v>2.7963049306446</v>
      </c>
      <c r="J10" s="16" t="s">
        <v>146</v>
      </c>
      <c r="K10" s="12">
        <f>0.545214+0.267288+0.265912+0.262565+0.253544+0.26299+0.273441+0.258995+0.26401+0.263075+0.27864+0.283628+0.278036+0.26231+0.26452+0.250128+0.26486</f>
        <v>4.799156</v>
      </c>
      <c r="L10" s="9"/>
      <c r="M10" s="9">
        <f>C9*L9/100</f>
        <v>0.26486</v>
      </c>
    </row>
    <row r="11" s="1" customFormat="1" ht="25" customHeight="1" spans="1:13">
      <c r="A11" s="6">
        <v>6</v>
      </c>
      <c r="B11" s="7" t="s">
        <v>23</v>
      </c>
      <c r="C11" s="9">
        <v>10.3408</v>
      </c>
      <c r="D11" s="9">
        <v>0</v>
      </c>
      <c r="E11" s="9">
        <f t="shared" si="0"/>
        <v>10.3408</v>
      </c>
      <c r="F11" s="9" t="s">
        <v>14</v>
      </c>
      <c r="G11" s="9">
        <f>16.5048+12.9536+15.7688+13.2296+12.0336+14.9592+15.7136+9.844+8.8688+13.0272+11.7392+11.4264+17.204+6.348+15.9896+10.2488+7.6728+6.8448+7.636+10.764+10.3408</f>
        <v>249.1176</v>
      </c>
      <c r="H11" s="9"/>
      <c r="I11" s="9">
        <f>G11/(G3*0.1865)</f>
        <v>5.80761394101877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276</v>
      </c>
      <c r="D12" s="9">
        <v>267</v>
      </c>
      <c r="E12" s="9">
        <f t="shared" si="0"/>
        <v>543</v>
      </c>
      <c r="F12" s="9"/>
      <c r="G12" s="9">
        <f>539+277+276+257+154+476+448+237+48+398+415+377+224+494+568+256+510+544+302+167+339+24+221+490+543</f>
        <v>8584</v>
      </c>
      <c r="H12" s="9">
        <f>G12*1.05</f>
        <v>9013.2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267</v>
      </c>
      <c r="D13" s="9">
        <v>236</v>
      </c>
      <c r="E13" s="9">
        <f t="shared" ref="E13:E20" si="1">D13+C13</f>
        <v>503</v>
      </c>
      <c r="F13" s="9" t="s">
        <v>25</v>
      </c>
      <c r="G13" s="9">
        <f>327+448+439+411+191+63+175+227+366+299+330+194+432+512+259+438+385+195+96+264+17+142+373+503</f>
        <v>7086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505.84</v>
      </c>
      <c r="D14" s="9">
        <v>519.81</v>
      </c>
      <c r="E14" s="9">
        <f t="shared" si="1"/>
        <v>1025.65</v>
      </c>
      <c r="F14" s="9" t="s">
        <v>25</v>
      </c>
      <c r="G14" s="9">
        <f>924.88+887.37+839.4+726.66+157.66+466.35+447.5+573.16+853.34+975.93+1104.21+1085.13+757.19+1048.54+778.88+914.25+840.09+207+653.79+361.5+555.75+1127.19+1061.54+1025.65</f>
        <v>18372.96</v>
      </c>
      <c r="H14" s="9"/>
      <c r="I14" s="9"/>
      <c r="J14" s="16" t="s">
        <v>147</v>
      </c>
      <c r="K14" s="9">
        <v>2.59</v>
      </c>
      <c r="L14" s="9">
        <v>3.01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</f>
        <v>54.6954546</v>
      </c>
      <c r="L15" s="9"/>
      <c r="M15" s="9">
        <f>(C14*K14+L14*D14)/1000</f>
        <v>2.8747537</v>
      </c>
    </row>
    <row r="16" s="1" customFormat="1" ht="25" customHeight="1" spans="1:13">
      <c r="A16" s="6">
        <v>11</v>
      </c>
      <c r="B16" s="7" t="s">
        <v>29</v>
      </c>
      <c r="C16" s="9">
        <v>21</v>
      </c>
      <c r="D16" s="9">
        <v>18</v>
      </c>
      <c r="E16" s="9">
        <f t="shared" si="1"/>
        <v>39</v>
      </c>
      <c r="F16" s="9" t="s">
        <v>14</v>
      </c>
      <c r="G16" s="9">
        <f>24+36+33+32+12+7+12+18+27+21+27+18+33+39+22+33+28+18+7+18+6+9+27+39</f>
        <v>546</v>
      </c>
      <c r="H16" s="9"/>
      <c r="I16" s="9">
        <f>G16/(G3*0.1865)</f>
        <v>12.728756265299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</f>
        <v>1.3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2+2+2+2+2+2+2+2+2+2+2+2+2+2+2</f>
        <v>30</v>
      </c>
      <c r="H18" s="19"/>
      <c r="I18" s="19">
        <f>G18/(G3*0.1865)</f>
        <v>0.699382212379065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1.5+1.5+1.5+1.5+1.5+1.5+1.5+1.5+1.5+1.5+1.5+1.5+1.5+1.5+1.5</f>
        <v>22.5</v>
      </c>
      <c r="H19" s="19"/>
      <c r="I19" s="19">
        <f>G19/(G3*0.1865)</f>
        <v>0.524536659284299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3</v>
      </c>
      <c r="D20" s="6">
        <v>5</v>
      </c>
      <c r="E20" s="9">
        <f t="shared" si="1"/>
        <v>8</v>
      </c>
      <c r="F20" s="9" t="s">
        <v>34</v>
      </c>
      <c r="G20" s="9">
        <f>4+11+5+11+4+2+5+7+5+10+16+8+2+14+6+12+4+11+2+2+10+8+8</f>
        <v>167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670</v>
      </c>
      <c r="D22" s="6">
        <v>665</v>
      </c>
      <c r="E22" s="9">
        <f>D22+C22</f>
        <v>1335</v>
      </c>
      <c r="F22" s="9" t="s">
        <v>25</v>
      </c>
      <c r="G22" s="9">
        <f>1276+1300+1297+872+627+109+1294+610+1102+1148+1033+670+1344+1215+831+1250+1210+471+640+798+366+625+1365+1335</f>
        <v>22788</v>
      </c>
      <c r="H22" s="20"/>
      <c r="I22" s="9">
        <f>E22/M22</f>
        <v>55.625</v>
      </c>
      <c r="J22" s="21" t="s">
        <v>39</v>
      </c>
      <c r="K22" s="9">
        <f>24+24+24+16+10.5+24+11+24+24+18.5+12+24+22+15+24+24+9+12.5+10.5+5.5+10+24+24</f>
        <v>416.5</v>
      </c>
      <c r="L22" s="9">
        <f>G22/K22</f>
        <v>54.7130852340936</v>
      </c>
      <c r="M22" s="9">
        <v>24</v>
      </c>
    </row>
    <row r="23" s="1" customFormat="1" ht="29" customHeight="1" spans="1:13">
      <c r="A23" s="6">
        <v>18</v>
      </c>
      <c r="B23" s="7" t="s">
        <v>40</v>
      </c>
      <c r="C23" s="6">
        <v>866</v>
      </c>
      <c r="D23" s="6">
        <v>869</v>
      </c>
      <c r="E23" s="9">
        <f>D23+C23</f>
        <v>1735</v>
      </c>
      <c r="F23" s="9" t="s">
        <v>25</v>
      </c>
      <c r="G23" s="9">
        <f>1599+1727+1633+1108+754+203+1480+725+1293+1315+1177+875+1631+1537+1027+1580+1561+550+688+728+223+814+1724+1735</f>
        <v>27687</v>
      </c>
      <c r="H23" s="19"/>
      <c r="I23" s="19">
        <f>E23/M22</f>
        <v>72.2916666666667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23.21</v>
      </c>
      <c r="D24" s="6">
        <v>21.52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149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152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30.36</v>
      </c>
      <c r="D31" s="9">
        <v>0</v>
      </c>
      <c r="E31" s="9">
        <f t="shared" ref="E31:E39" si="2">D31+C31</f>
        <v>30.36</v>
      </c>
      <c r="F31" s="9" t="s">
        <v>25</v>
      </c>
      <c r="G31" s="9">
        <f>5.22+7.46+30.36</f>
        <v>43.04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6.36</v>
      </c>
      <c r="D32" s="9">
        <v>6.34</v>
      </c>
      <c r="E32" s="9">
        <f t="shared" si="2"/>
        <v>12.7</v>
      </c>
      <c r="F32" s="9" t="s">
        <v>25</v>
      </c>
      <c r="G32" s="9">
        <f>0+12.54+14.61+8.83+8.25+6.31+12.75+12.64+14.64+6.6+16.71+17.89+12.77+12.73+12.79+12.62+12.52+12.65+12.7</f>
        <v>220.55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17</v>
      </c>
      <c r="D33" s="9">
        <v>0</v>
      </c>
      <c r="E33" s="9">
        <f t="shared" si="2"/>
        <v>17</v>
      </c>
      <c r="F33" s="9" t="s">
        <v>25</v>
      </c>
      <c r="G33" s="9">
        <f>12+6+7+7+7+7+7+12+6+7+3+7+6+11+5+5+5+5+16+2+2+68+5+17</f>
        <v>235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6.129</v>
      </c>
      <c r="D35" s="9">
        <v>0</v>
      </c>
      <c r="E35" s="9">
        <f t="shared" si="2"/>
        <v>6.129</v>
      </c>
      <c r="F35" s="9" t="s">
        <v>14</v>
      </c>
      <c r="G35" s="9">
        <f>0+15.1875+10.8675+8.5455+5.7915+2.484+11.7315+6.6825+12.555+9.963+5.3055+6.129</f>
        <v>95.2425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270</v>
      </c>
      <c r="D38" s="9">
        <v>269</v>
      </c>
      <c r="E38" s="9">
        <f t="shared" si="2"/>
        <v>539</v>
      </c>
      <c r="F38" s="9" t="s">
        <v>25</v>
      </c>
      <c r="G38" s="9">
        <f>383+468+416+425+389+535+545+428+465+504+483+415+486+605+649+600+635+619+588+540+500+585+544+539</f>
        <v>12346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</f>
        <v>0</v>
      </c>
      <c r="H40" s="19"/>
      <c r="I40" s="6">
        <f>750*0.42</f>
        <v>315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</f>
        <v>0</v>
      </c>
      <c r="H41" s="19"/>
      <c r="I41" s="6">
        <f>86.86*1.78</f>
        <v>154.6108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2</v>
      </c>
      <c r="D42" s="6">
        <v>0</v>
      </c>
      <c r="E42" s="9">
        <f>D42+C42</f>
        <v>2</v>
      </c>
      <c r="F42" s="9" t="s">
        <v>34</v>
      </c>
      <c r="G42" s="9">
        <f>0+1+1+1+1+2+1+1+2+3+2+2+2+3+1+2+1+2</f>
        <v>28</v>
      </c>
      <c r="H42" s="19"/>
      <c r="I42" s="9">
        <v>20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8" workbookViewId="0">
      <selection activeCell="E20" sqref="E20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153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6</v>
      </c>
      <c r="D3" s="8">
        <v>6.5</v>
      </c>
      <c r="E3" s="9">
        <f t="shared" ref="E3:E12" si="0">C3+D3</f>
        <v>12.5</v>
      </c>
      <c r="F3" s="9" t="s">
        <v>14</v>
      </c>
      <c r="G3" s="9">
        <f>7.5+15.5+13.5+13+6+3+5+10.5+9+8+12.5+9.5+13+17+8.5+13+14.5+9.5+0.5+7.5+4.5+4+8.5+16.5+12.5</f>
        <v>242.5</v>
      </c>
      <c r="H3" s="9">
        <v>284</v>
      </c>
      <c r="I3" s="9">
        <f>H3-G3</f>
        <v>41.5</v>
      </c>
      <c r="J3" s="9"/>
      <c r="K3" s="9"/>
      <c r="L3" s="9"/>
      <c r="M3" s="9">
        <f>I3/6</f>
        <v>6.91666666666667</v>
      </c>
    </row>
    <row r="4" s="1" customFormat="1" ht="56" customHeight="1" spans="1:13">
      <c r="A4" s="10">
        <v>2</v>
      </c>
      <c r="B4" s="7" t="s">
        <v>15</v>
      </c>
      <c r="C4" s="8">
        <v>16</v>
      </c>
      <c r="D4" s="8"/>
      <c r="E4" s="9">
        <f t="shared" si="0"/>
        <v>16</v>
      </c>
      <c r="F4" s="9" t="s">
        <v>14</v>
      </c>
      <c r="G4" s="9">
        <f>8+8+20+10+16+2+4+4+10+10+8+12+10+12+18+10+12+16+6+2+12+4+8+16</f>
        <v>238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</f>
        <v>2784</v>
      </c>
      <c r="H5" s="9">
        <v>4250</v>
      </c>
      <c r="I5" s="9">
        <f>H5-G5-G7-G6</f>
        <v>973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108</v>
      </c>
      <c r="D7" s="9">
        <v>0</v>
      </c>
      <c r="E7" s="9">
        <f t="shared" si="0"/>
        <v>108</v>
      </c>
      <c r="F7" s="9" t="s">
        <v>14</v>
      </c>
      <c r="G7" s="9">
        <f>3+1+21+36+3+8+1+8+4+15+72+151+62+108</f>
        <v>493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31.14</v>
      </c>
      <c r="D9" s="11"/>
      <c r="E9" s="9">
        <f t="shared" si="0"/>
        <v>31.14</v>
      </c>
      <c r="F9" s="11" t="s">
        <v>14</v>
      </c>
      <c r="G9" s="9">
        <f>61.26+31.08+30.92+30.89+30.92+30.94+31.43+30.47+31.06+30.95+30.96+32.98+31.24+30.86+31.12+30.88+31.16+31.14</f>
        <v>590.26</v>
      </c>
      <c r="H9" s="11">
        <v>4.6</v>
      </c>
      <c r="I9" s="11">
        <f>H9-K10</f>
        <v>-0.454504000000001</v>
      </c>
      <c r="J9" s="16" t="s">
        <v>145</v>
      </c>
      <c r="K9" s="11">
        <v>0</v>
      </c>
      <c r="L9" s="11">
        <v>0.82</v>
      </c>
      <c r="M9" s="17"/>
    </row>
    <row r="10" s="1" customFormat="1" ht="25" customHeight="1" spans="1:13">
      <c r="A10" s="6">
        <v>5</v>
      </c>
      <c r="B10" s="7" t="s">
        <v>22</v>
      </c>
      <c r="C10" s="9">
        <v>3.969</v>
      </c>
      <c r="D10" s="9">
        <v>3.78</v>
      </c>
      <c r="E10" s="9">
        <f t="shared" si="0"/>
        <v>7.749</v>
      </c>
      <c r="F10" s="9" t="s">
        <v>14</v>
      </c>
      <c r="G10" s="9">
        <f>2.916+5.9805+9.315+5.1705+5.103+3.1455+4.0095+7.9245+5.697+5.5215+6.8715+3.1185+6.0885+8.0865+8.4915+3.429+3.753+4.05+8.0595+8.0865+5.13+7.749</f>
        <v>127.6965</v>
      </c>
      <c r="H10" s="9"/>
      <c r="I10" s="9">
        <f>G10/(G3*0.1865)</f>
        <v>2.82350404908654</v>
      </c>
      <c r="J10" s="16" t="s">
        <v>146</v>
      </c>
      <c r="K10" s="12">
        <f>0.545214+0.267288+0.265912+0.262565+0.253544+0.26299+0.273441+0.258995+0.26401+0.263075+0.27864+0.283628+0.278036+0.26231+0.26452+0.250128+0.26486+0.255348</f>
        <v>5.054504</v>
      </c>
      <c r="L10" s="9"/>
      <c r="M10" s="9">
        <f>C9*L9/100</f>
        <v>0.255348</v>
      </c>
    </row>
    <row r="11" s="1" customFormat="1" ht="25" customHeight="1" spans="1:13">
      <c r="A11" s="6">
        <v>6</v>
      </c>
      <c r="B11" s="7" t="s">
        <v>23</v>
      </c>
      <c r="C11" s="9">
        <v>15.5112</v>
      </c>
      <c r="D11" s="9">
        <v>0</v>
      </c>
      <c r="E11" s="9">
        <f t="shared" si="0"/>
        <v>15.5112</v>
      </c>
      <c r="F11" s="9" t="s">
        <v>14</v>
      </c>
      <c r="G11" s="9">
        <f>16.5048+12.9536+15.7688+13.2296+12.0336+14.9592+15.7136+9.844+8.8688+13.0272+11.7392+11.4264+17.204+6.348+15.9896+10.2488+7.6728+6.8448+7.636+10.764+10.3408+15.5112</f>
        <v>264.6288</v>
      </c>
      <c r="H11" s="9"/>
      <c r="I11" s="9">
        <f>G11/(G3*0.1865)</f>
        <v>5.85122135927697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235</v>
      </c>
      <c r="D12" s="9">
        <v>203</v>
      </c>
      <c r="E12" s="9">
        <f t="shared" si="0"/>
        <v>438</v>
      </c>
      <c r="F12" s="9"/>
      <c r="G12" s="9">
        <f>539+277+276+257+154+476+448+237+48+398+415+377+224+494+568+256+510+544+302+167+339+24+221+490+543+438</f>
        <v>9022</v>
      </c>
      <c r="H12" s="9">
        <f>G12*1.05</f>
        <v>9473.1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202</v>
      </c>
      <c r="D13" s="9">
        <v>218</v>
      </c>
      <c r="E13" s="9">
        <f t="shared" ref="E13:E20" si="1">D13+C13</f>
        <v>420</v>
      </c>
      <c r="F13" s="9" t="s">
        <v>25</v>
      </c>
      <c r="G13" s="9">
        <f>327+448+439+411+191+63+175+227+366+299+330+194+432+512+259+438+385+195+96+264+17+142+373+503+420</f>
        <v>7506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461.12</v>
      </c>
      <c r="D14" s="9">
        <v>296.91</v>
      </c>
      <c r="E14" s="9">
        <f t="shared" si="1"/>
        <v>758.03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</f>
        <v>19130.99</v>
      </c>
      <c r="H14" s="9"/>
      <c r="I14" s="9"/>
      <c r="J14" s="16" t="s">
        <v>147</v>
      </c>
      <c r="K14" s="9">
        <v>2.77</v>
      </c>
      <c r="L14" s="9">
        <v>3.05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</f>
        <v>56.8783325</v>
      </c>
      <c r="L15" s="9"/>
      <c r="M15" s="9">
        <f>(C14*K14+L14*D14)/1000</f>
        <v>2.1828779</v>
      </c>
    </row>
    <row r="16" s="1" customFormat="1" ht="25" customHeight="1" spans="1:13">
      <c r="A16" s="6">
        <v>11</v>
      </c>
      <c r="B16" s="7" t="s">
        <v>29</v>
      </c>
      <c r="C16" s="9">
        <v>21</v>
      </c>
      <c r="D16" s="9">
        <v>9</v>
      </c>
      <c r="E16" s="9">
        <f t="shared" si="1"/>
        <v>30</v>
      </c>
      <c r="F16" s="9" t="s">
        <v>14</v>
      </c>
      <c r="G16" s="9">
        <f>24+36+33+32+12+7+12+18+27+21+27+18+33+39+22+33+28+18+7+18+6+9+27+39+30</f>
        <v>576</v>
      </c>
      <c r="H16" s="9"/>
      <c r="I16" s="9">
        <f>G16/(G3*0.1865)</f>
        <v>12.7359663911998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0+0.15+0.15+0.2+0.15+0.15+0.2+0.15+0.15+0+0</f>
        <v>1.3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0</v>
      </c>
      <c r="D18" s="6">
        <v>0</v>
      </c>
      <c r="E18" s="9">
        <f t="shared" si="1"/>
        <v>0</v>
      </c>
      <c r="F18" s="9" t="s">
        <v>14</v>
      </c>
      <c r="G18" s="9">
        <f>2+2+2+2+2+2+2+2+2+2+2+2+2+2+2+0</f>
        <v>30</v>
      </c>
      <c r="H18" s="19"/>
      <c r="I18" s="19">
        <f>G18/(G3*0.1865)</f>
        <v>0.66333158287499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1.5+1.5+1.5+1.5+1.5+1.5+1.5+1.5+1.5+1.5+1.5+1.5+1.5+1.5+1.5+0</f>
        <v>22.5</v>
      </c>
      <c r="H19" s="19"/>
      <c r="I19" s="19">
        <f>G19/(G3*0.1865)</f>
        <v>0.497498687156242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6</v>
      </c>
      <c r="D20" s="6">
        <v>0</v>
      </c>
      <c r="E20" s="9">
        <f t="shared" si="1"/>
        <v>6</v>
      </c>
      <c r="F20" s="9" t="s">
        <v>34</v>
      </c>
      <c r="G20" s="9">
        <f>4+11+5+11+4+2+5+7+5+10+16+8+2+14+6+12+4+11+2+2+10+8+8+6</f>
        <v>173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610</v>
      </c>
      <c r="D22" s="6">
        <v>41</v>
      </c>
      <c r="E22" s="9">
        <f>D22+C22</f>
        <v>651</v>
      </c>
      <c r="F22" s="9" t="s">
        <v>25</v>
      </c>
      <c r="G22" s="9">
        <f>1276+1300+1297+872+627+109+1294+610+1102+1148+1033+670+1344+1215+831+1250+1210+471+640+798+366+625+1365+1335+651</f>
        <v>23439</v>
      </c>
      <c r="H22" s="20"/>
      <c r="I22" s="9">
        <f>E22/M22</f>
        <v>62</v>
      </c>
      <c r="J22" s="21" t="s">
        <v>39</v>
      </c>
      <c r="K22" s="9">
        <f>24+24+24+16+10.5+24+11+24+24+18.5+12+24+22+15+24+24+9+12.5+10.5+5.5+10+24+24+10.5</f>
        <v>427</v>
      </c>
      <c r="L22" s="9">
        <f>G22/K22</f>
        <v>54.8922716627635</v>
      </c>
      <c r="M22" s="9">
        <v>10.5</v>
      </c>
    </row>
    <row r="23" s="1" customFormat="1" ht="29" customHeight="1" spans="1:13">
      <c r="A23" s="6">
        <v>18</v>
      </c>
      <c r="B23" s="7" t="s">
        <v>40</v>
      </c>
      <c r="C23" s="6">
        <v>770</v>
      </c>
      <c r="D23" s="6">
        <v>1</v>
      </c>
      <c r="E23" s="9">
        <f>D23+C23</f>
        <v>771</v>
      </c>
      <c r="F23" s="9" t="s">
        <v>25</v>
      </c>
      <c r="G23" s="9">
        <f>1599+1727+1633+1108+754+203+1480+725+1293+1315+1177+875+1631+1537+1027+1580+1561+550+688+728+223+814+1724+1735+771</f>
        <v>28458</v>
      </c>
      <c r="H23" s="19"/>
      <c r="I23" s="19">
        <f>E23/M22</f>
        <v>73.4285714285714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24.1</v>
      </c>
      <c r="D24" s="6">
        <v>0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154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155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</f>
        <v>43.04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6.34</v>
      </c>
      <c r="D32" s="9">
        <v>6.3</v>
      </c>
      <c r="E32" s="9">
        <f t="shared" si="2"/>
        <v>12.64</v>
      </c>
      <c r="F32" s="9" t="s">
        <v>25</v>
      </c>
      <c r="G32" s="9">
        <f>0+12.54+14.61+8.83+8.25+6.31+12.75+12.64+14.64+6.6+16.71+17.89+12.77+12.73+12.79+12.62+12.52+12.65+12.7+12.64</f>
        <v>233.19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15</v>
      </c>
      <c r="D33" s="9">
        <v>0</v>
      </c>
      <c r="E33" s="9">
        <f t="shared" si="2"/>
        <v>15</v>
      </c>
      <c r="F33" s="9" t="s">
        <v>25</v>
      </c>
      <c r="G33" s="9">
        <f>12+6+7+7+7+7+7+12+6+7+3+7+6+11+5+5+5+5+16+2+2+68+5+17+15</f>
        <v>250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0+15.1875+10.8675+8.5455+5.7915+2.484+11.7315+6.6825+12.555+9.963+5.3055+6.129+0</f>
        <v>95.2425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288</v>
      </c>
      <c r="D38" s="9">
        <v>202</v>
      </c>
      <c r="E38" s="9">
        <f t="shared" si="2"/>
        <v>490</v>
      </c>
      <c r="F38" s="9" t="s">
        <v>25</v>
      </c>
      <c r="G38" s="9">
        <f>383+468+416+425+389+535+545+428+465+504+483+415+486+605+649+600+635+619+588+540+500+585+544+539+490</f>
        <v>12836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</f>
        <v>0</v>
      </c>
      <c r="H40" s="19"/>
      <c r="I40" s="6">
        <v>495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</f>
        <v>0</v>
      </c>
      <c r="H41" s="19"/>
      <c r="I41" s="6">
        <v>152.8736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3</v>
      </c>
      <c r="D42" s="6">
        <v>0</v>
      </c>
      <c r="E42" s="9">
        <f>D42+C42</f>
        <v>3</v>
      </c>
      <c r="F42" s="9" t="s">
        <v>34</v>
      </c>
      <c r="G42" s="9">
        <f>0+1+1+1+1+2+1+1+2+3+2+2+2+3+1+2+1+2+3</f>
        <v>31</v>
      </c>
      <c r="H42" s="19"/>
      <c r="I42" s="9">
        <v>23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selection activeCell="G42" sqref="G4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156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2</v>
      </c>
      <c r="D3" s="8">
        <v>4</v>
      </c>
      <c r="E3" s="9">
        <f t="shared" ref="E3:E12" si="0">C3+D3</f>
        <v>6</v>
      </c>
      <c r="F3" s="9" t="s">
        <v>14</v>
      </c>
      <c r="G3" s="9">
        <f>7.5+15.5+13.5+13+6+3+5+10.5+9+8+12.5+9.5+13+17+8.5+13+14.5+9.5+0.5+7.5+4.5+4+8.5+16.5+12.5+6</f>
        <v>248.5</v>
      </c>
      <c r="H3" s="9">
        <v>284</v>
      </c>
      <c r="I3" s="9">
        <f>H3-G3</f>
        <v>35.5</v>
      </c>
      <c r="J3" s="9"/>
      <c r="K3" s="9"/>
      <c r="L3" s="9"/>
      <c r="M3" s="9">
        <f>I3/5</f>
        <v>7.1</v>
      </c>
    </row>
    <row r="4" s="1" customFormat="1" ht="56" customHeight="1" spans="1:13">
      <c r="A4" s="10">
        <v>2</v>
      </c>
      <c r="B4" s="7" t="s">
        <v>15</v>
      </c>
      <c r="C4" s="8">
        <v>14</v>
      </c>
      <c r="D4" s="8"/>
      <c r="E4" s="9">
        <f t="shared" si="0"/>
        <v>14</v>
      </c>
      <c r="F4" s="9" t="s">
        <v>14</v>
      </c>
      <c r="G4" s="9">
        <f>8+8+20+10+16+2+4+4+10+10+8+12+10+12+18+10+12+16+6+2+12+4+8+16+14</f>
        <v>252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196+187+205+143+90+157+39+147+136+138+70+179+197+113+192+190+53+83+96+44+129+0+0</f>
        <v>2784</v>
      </c>
      <c r="H5" s="9">
        <v>4250</v>
      </c>
      <c r="I5" s="9">
        <f>H5-G5-G7-G6</f>
        <v>826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147</v>
      </c>
      <c r="E7" s="9">
        <f t="shared" si="0"/>
        <v>147</v>
      </c>
      <c r="F7" s="9" t="s">
        <v>14</v>
      </c>
      <c r="G7" s="9">
        <f>3+1+21+36+3+8+1+8+4+15+72+151+62+108+147</f>
        <v>640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30.67</v>
      </c>
      <c r="D9" s="11"/>
      <c r="E9" s="9">
        <f t="shared" si="0"/>
        <v>30.67</v>
      </c>
      <c r="F9" s="11" t="s">
        <v>14</v>
      </c>
      <c r="G9" s="9">
        <f>61.26+31.08+30.92+30.89+30.92+30.94+31.43+30.47+31.06+30.95+30.96+32.98+31.24+30.86+31.12+30.88+31.16+31.14+30.67</f>
        <v>620.93</v>
      </c>
      <c r="H9" s="11">
        <v>4.6</v>
      </c>
      <c r="I9" s="11">
        <f>H9-K10</f>
        <v>-0.702931000000001</v>
      </c>
      <c r="J9" s="16" t="s">
        <v>145</v>
      </c>
      <c r="K9" s="11">
        <v>0</v>
      </c>
      <c r="L9" s="11">
        <v>0.81</v>
      </c>
      <c r="M9" s="17"/>
    </row>
    <row r="10" s="1" customFormat="1" ht="25" customHeight="1" spans="1:13">
      <c r="A10" s="6">
        <v>5</v>
      </c>
      <c r="B10" s="7" t="s">
        <v>22</v>
      </c>
      <c r="C10" s="9">
        <v>6.534</v>
      </c>
      <c r="D10" s="9">
        <v>2.43</v>
      </c>
      <c r="E10" s="9">
        <f t="shared" si="0"/>
        <v>8.964</v>
      </c>
      <c r="F10" s="9" t="s">
        <v>14</v>
      </c>
      <c r="G10" s="9">
        <f>2.916+5.9805+9.315+5.1705+5.103+3.1455+4.0095+7.9245+5.697+5.5215+6.8715+3.1185+6.0885+8.0865+8.4915+3.429+3.753+4.05+8.0595+8.0865+5.13+7.749+8.964</f>
        <v>136.6605</v>
      </c>
      <c r="H10" s="9"/>
      <c r="I10" s="9">
        <f>G10/(G3*0.1865)</f>
        <v>2.94874879302625</v>
      </c>
      <c r="J10" s="16" t="s">
        <v>146</v>
      </c>
      <c r="K10" s="12">
        <f>0.545214+0.267288+0.265912+0.262565+0.253544+0.26299+0.273441+0.258995+0.26401+0.263075+0.27864+0.283628+0.278036+0.26231+0.26452+0.250128+0.26486+0.255348+0.248427</f>
        <v>5.302931</v>
      </c>
      <c r="L10" s="9"/>
      <c r="M10" s="9">
        <f>C9*L9/100</f>
        <v>0.248427</v>
      </c>
    </row>
    <row r="11" s="1" customFormat="1" ht="25" customHeight="1" spans="1:13">
      <c r="A11" s="6">
        <v>6</v>
      </c>
      <c r="B11" s="7" t="s">
        <v>23</v>
      </c>
      <c r="C11" s="9">
        <v>20.4424</v>
      </c>
      <c r="D11" s="9">
        <v>0</v>
      </c>
      <c r="E11" s="9">
        <f t="shared" si="0"/>
        <v>20.4424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</f>
        <v>285.0712</v>
      </c>
      <c r="H11" s="9"/>
      <c r="I11" s="9">
        <f>G11/(G3*0.1865)</f>
        <v>6.15103381684207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12</v>
      </c>
      <c r="D12" s="9">
        <v>111</v>
      </c>
      <c r="E12" s="9">
        <f t="shared" si="0"/>
        <v>123</v>
      </c>
      <c r="F12" s="9"/>
      <c r="G12" s="9">
        <f>539+277+276+257+154+476+448+237+48+398+415+377+224+494+568+256+510+544+302+167+339+24+221+490+543+438+123</f>
        <v>9145</v>
      </c>
      <c r="H12" s="9">
        <f>G12*1.05</f>
        <v>9602.25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20</v>
      </c>
      <c r="D13" s="9">
        <v>46</v>
      </c>
      <c r="E13" s="9">
        <f t="shared" ref="E13:E20" si="1">D13+C13</f>
        <v>66</v>
      </c>
      <c r="F13" s="9" t="s">
        <v>25</v>
      </c>
      <c r="G13" s="9">
        <f>327+448+439+411+191+63+175+227+366+299+330+194+432+512+259+438+385+195+96+264+17+142+373+503+420+66</f>
        <v>7572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366.91</v>
      </c>
      <c r="D14" s="9">
        <v>0</v>
      </c>
      <c r="E14" s="9">
        <f t="shared" si="1"/>
        <v>366.91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</f>
        <v>19497.9</v>
      </c>
      <c r="H14" s="9"/>
      <c r="I14" s="9"/>
      <c r="J14" s="16" t="s">
        <v>147</v>
      </c>
      <c r="K14" s="9">
        <v>3.03</v>
      </c>
      <c r="L14" s="9">
        <v>0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</f>
        <v>57.9900698</v>
      </c>
      <c r="L15" s="9"/>
      <c r="M15" s="9">
        <f>(C14*K14+L14*D14)/1000</f>
        <v>1.1117373</v>
      </c>
    </row>
    <row r="16" s="1" customFormat="1" ht="25" customHeight="1" spans="1:13">
      <c r="A16" s="6">
        <v>11</v>
      </c>
      <c r="B16" s="7" t="s">
        <v>29</v>
      </c>
      <c r="C16" s="9">
        <v>7</v>
      </c>
      <c r="D16" s="9">
        <v>0</v>
      </c>
      <c r="E16" s="9">
        <f t="shared" si="1"/>
        <v>7</v>
      </c>
      <c r="F16" s="9" t="s">
        <v>14</v>
      </c>
      <c r="G16" s="9">
        <f>24+36+33+32+12+7+12+18+27+21+27+18+33+39+22+33+28+18+7+18+6+9+27+39+30+7</f>
        <v>583</v>
      </c>
      <c r="H16" s="9"/>
      <c r="I16" s="9">
        <f>G16/(G3*0.1865)</f>
        <v>12.5794984383513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0+0.15+0.15+0.2+0.15+0.15+0.2+0.15+0.15+0+0+0</f>
        <v>1.3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2+2+2+2+2+2+2+2+2+2+2+2+2+2+2+0+2</f>
        <v>32</v>
      </c>
      <c r="H18" s="19"/>
      <c r="I18" s="19">
        <f>G18/(G3*0.1865)</f>
        <v>0.690469897130774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1.5+1.5+1.5+1.5+1.5+1.5+1.5+1.5+1.5+1.5+1.5+1.5+1.5+1.5+1.5+0+1.5</f>
        <v>24</v>
      </c>
      <c r="H19" s="19"/>
      <c r="I19" s="19">
        <f>G19/(G3*0.1865)</f>
        <v>0.51785242284808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0</v>
      </c>
      <c r="D20" s="6">
        <v>4</v>
      </c>
      <c r="E20" s="9">
        <f t="shared" si="1"/>
        <v>4</v>
      </c>
      <c r="F20" s="9" t="s">
        <v>34</v>
      </c>
      <c r="G20" s="9">
        <f>4+11+5+11+4+2+5+7+5+10+16+8+2+14+6+12+4+11+2+2+10+8+8+6+4</f>
        <v>177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339</v>
      </c>
      <c r="D22" s="6">
        <v>641</v>
      </c>
      <c r="E22" s="9">
        <f>D22+C22</f>
        <v>980</v>
      </c>
      <c r="F22" s="9" t="s">
        <v>25</v>
      </c>
      <c r="G22" s="9">
        <f>1276+1300+1297+872+627+109+1294+610+1102+1148+1033+670+1344+1215+831+1250+1210+471+640+798+366+625+1365+1335+651+980</f>
        <v>24419</v>
      </c>
      <c r="H22" s="20"/>
      <c r="I22" s="9">
        <f>E22/M22</f>
        <v>59.3939393939394</v>
      </c>
      <c r="J22" s="21" t="s">
        <v>39</v>
      </c>
      <c r="K22" s="9">
        <f>24+24+24+16+10.5+24+11+24+24+18.5+12+24+22+15+24+24+9+12.5+10.5+5.5+10+24+24+10.5+16.5</f>
        <v>443.5</v>
      </c>
      <c r="L22" s="9">
        <f>G22/K22</f>
        <v>55.0597519729425</v>
      </c>
      <c r="M22" s="9">
        <v>16.5</v>
      </c>
    </row>
    <row r="23" s="1" customFormat="1" ht="29" customHeight="1" spans="1:13">
      <c r="A23" s="6">
        <v>18</v>
      </c>
      <c r="B23" s="7" t="s">
        <v>40</v>
      </c>
      <c r="C23" s="6">
        <v>431</v>
      </c>
      <c r="D23" s="6">
        <v>724</v>
      </c>
      <c r="E23" s="9">
        <f>D23+C23</f>
        <v>1155</v>
      </c>
      <c r="F23" s="9" t="s">
        <v>25</v>
      </c>
      <c r="G23" s="9">
        <f>1599+1727+1633+1108+754+203+1480+725+1293+1315+1177+875+1631+1537+1027+1580+1561+550+688+728+223+814+1724+1735+771+1155</f>
        <v>29613</v>
      </c>
      <c r="H23" s="19"/>
      <c r="I23" s="19">
        <f>E23/M22</f>
        <v>70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0</v>
      </c>
      <c r="D24" s="6">
        <v>29.55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157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158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5.22+7.46+30.36+0+0</f>
        <v>43.04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6.31</v>
      </c>
      <c r="D32" s="9">
        <v>6.23</v>
      </c>
      <c r="E32" s="9">
        <f t="shared" si="2"/>
        <v>12.54</v>
      </c>
      <c r="F32" s="9" t="s">
        <v>25</v>
      </c>
      <c r="G32" s="9">
        <f>0+12.54+14.61+8.83+8.25+6.31+12.75+12.64+14.64+6.6+16.71+17.89+12.77+12.73+12.79+12.62+12.52+12.65+12.7+12.64+12.54</f>
        <v>245.73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20</v>
      </c>
      <c r="D33" s="9">
        <v>0</v>
      </c>
      <c r="E33" s="9">
        <f t="shared" si="2"/>
        <v>20</v>
      </c>
      <c r="F33" s="9" t="s">
        <v>25</v>
      </c>
      <c r="G33" s="9">
        <f>12+6+7+7+7+7+7+12+6+7+3+7+6+11+5+5+5+5+16+2+2+68+5+17+15+20</f>
        <v>270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12.0825</v>
      </c>
      <c r="D35" s="9">
        <v>0</v>
      </c>
      <c r="E35" s="9">
        <f t="shared" si="2"/>
        <v>12.0825</v>
      </c>
      <c r="F35" s="9" t="s">
        <v>14</v>
      </c>
      <c r="G35" s="9">
        <f>0+15.1875+10.8675+8.5455+5.7915+2.484+11.7315+6.6825+12.555+9.963+5.3055+6.129+0+12.0825</f>
        <v>107.325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293</v>
      </c>
      <c r="D38" s="9">
        <v>293</v>
      </c>
      <c r="E38" s="9">
        <f t="shared" si="2"/>
        <v>586</v>
      </c>
      <c r="F38" s="9" t="s">
        <v>25</v>
      </c>
      <c r="G38" s="9">
        <f>383+468+416+425+389+535+545+428+465+504+483+415+486+605+649+600+635+619+588+540+500+585+544+539+490+586</f>
        <v>13422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</f>
        <v>0</v>
      </c>
      <c r="H40" s="19"/>
      <c r="I40" s="6">
        <v>907.5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</f>
        <v>0</v>
      </c>
      <c r="H41" s="19"/>
      <c r="I41" s="6">
        <v>152.8736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2</v>
      </c>
      <c r="D42" s="6">
        <v>0</v>
      </c>
      <c r="E42" s="9">
        <f>D42+C42</f>
        <v>2</v>
      </c>
      <c r="F42" s="9" t="s">
        <v>34</v>
      </c>
      <c r="G42" s="9">
        <f>0+1+1+1+1+2+1+1+2+3+2+2+2+3+1+2+1+2+3+2</f>
        <v>33</v>
      </c>
      <c r="H42" s="19"/>
      <c r="I42" s="9">
        <v>15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  <c r="L63" s="1" t="s">
        <v>65</v>
      </c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B1" workbookViewId="0">
      <selection activeCell="C26" sqref="C26:L2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159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4.5</v>
      </c>
      <c r="D3" s="8">
        <v>8</v>
      </c>
      <c r="E3" s="9">
        <f t="shared" ref="E3:E12" si="0">C3+D3</f>
        <v>12.5</v>
      </c>
      <c r="F3" s="9" t="s">
        <v>14</v>
      </c>
      <c r="G3" s="9">
        <f>7.5+15.5+13.5+13+6+3+5+10.5+9+8+12.5+9.5+13+17+8.5+13+14.5+9.5+0.5+7.5+4.5+4+8.5+16.5+12.5+6+12.5</f>
        <v>261</v>
      </c>
      <c r="H3" s="9">
        <v>284</v>
      </c>
      <c r="I3" s="9">
        <f>H3-G3</f>
        <v>23</v>
      </c>
      <c r="J3" s="9"/>
      <c r="K3" s="9"/>
      <c r="L3" s="9"/>
      <c r="M3" s="9">
        <f>I3/4</f>
        <v>5.75</v>
      </c>
    </row>
    <row r="4" s="1" customFormat="1" ht="56" customHeight="1" spans="1:13">
      <c r="A4" s="10">
        <v>2</v>
      </c>
      <c r="B4" s="7" t="s">
        <v>15</v>
      </c>
      <c r="C4" s="8">
        <v>4</v>
      </c>
      <c r="D4" s="8"/>
      <c r="E4" s="9">
        <f t="shared" si="0"/>
        <v>4</v>
      </c>
      <c r="F4" s="9" t="s">
        <v>14</v>
      </c>
      <c r="G4" s="9">
        <f>8+8+20+10+16+2+4+4+10+10+8+12+10+12+18+10+12+16+6+2+12+4+8+16+14+4</f>
        <v>256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196+187+205+143+90+157+39+147+136+138+70+179+197+113+192+190+53+83+96+44+129+0+0+0</f>
        <v>2784</v>
      </c>
      <c r="H5" s="9">
        <v>4250</v>
      </c>
      <c r="I5" s="9">
        <f>H5-G5-G7-G6</f>
        <v>635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99</v>
      </c>
      <c r="D7" s="9">
        <v>92</v>
      </c>
      <c r="E7" s="9">
        <f t="shared" si="0"/>
        <v>191</v>
      </c>
      <c r="F7" s="9" t="s">
        <v>14</v>
      </c>
      <c r="G7" s="9">
        <f>3+1+21+36+3+8+1+8+4+15+72+151+62+108+147+191</f>
        <v>831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0</v>
      </c>
      <c r="D9" s="11"/>
      <c r="E9" s="9">
        <f t="shared" si="0"/>
        <v>0</v>
      </c>
      <c r="F9" s="11" t="s">
        <v>14</v>
      </c>
      <c r="G9" s="9">
        <f>61.26+31.08+30.92+30.89+30.92+30.94+31.43+30.47+31.06+30.95+30.96+32.98+31.24+30.86+31.12+30.88+31.16+31.14+30.67+0</f>
        <v>620.93</v>
      </c>
      <c r="H9" s="11">
        <v>4.6</v>
      </c>
      <c r="I9" s="11">
        <f>H9-K10</f>
        <v>-0.702931000000001</v>
      </c>
      <c r="J9" s="16" t="s">
        <v>145</v>
      </c>
      <c r="K9" s="11">
        <v>2</v>
      </c>
      <c r="L9" s="11">
        <v>0</v>
      </c>
      <c r="M9" s="17"/>
    </row>
    <row r="10" s="1" customFormat="1" ht="25" customHeight="1" spans="1:13">
      <c r="A10" s="6">
        <v>5</v>
      </c>
      <c r="B10" s="7" t="s">
        <v>22</v>
      </c>
      <c r="C10" s="9">
        <v>4.8735</v>
      </c>
      <c r="D10" s="9">
        <v>2.9565</v>
      </c>
      <c r="E10" s="9">
        <f t="shared" si="0"/>
        <v>7.83</v>
      </c>
      <c r="F10" s="9" t="s">
        <v>14</v>
      </c>
      <c r="G10" s="9">
        <f>2.916+5.9805+9.315+5.1705+5.103+3.1455+4.0095+7.9245+5.697+5.5215+6.8715+3.1185+6.0885+8.0865+8.4915+3.429+3.753+4.05+8.0595+8.0865+5.13+7.749+8.964+7.83</f>
        <v>144.4905</v>
      </c>
      <c r="H10" s="9"/>
      <c r="I10" s="9">
        <f>G10/(G3*0.1865)</f>
        <v>2.96838310067486</v>
      </c>
      <c r="J10" s="16" t="s">
        <v>146</v>
      </c>
      <c r="K10" s="12">
        <f>0.545214+0.267288+0.265912+0.262565+0.253544+0.26299+0.273441+0.258995+0.26401+0.263075+0.27864+0.283628+0.278036+0.26231+0.26452+0.250128+0.26486+0.255348+0.248427+0</f>
        <v>5.302931</v>
      </c>
      <c r="L10" s="9"/>
      <c r="M10" s="9">
        <f>C9*L9/100</f>
        <v>0</v>
      </c>
    </row>
    <row r="11" s="1" customFormat="1" ht="25" customHeight="1" spans="1:13">
      <c r="A11" s="6">
        <v>6</v>
      </c>
      <c r="B11" s="7" t="s">
        <v>23</v>
      </c>
      <c r="C11" s="9">
        <v>3.772</v>
      </c>
      <c r="D11" s="9">
        <v>0</v>
      </c>
      <c r="E11" s="9">
        <f t="shared" si="0"/>
        <v>3.772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16.5048+12.9536+15.7688+13.2296+12.0336+14.9592+15.7136+9.844+8.8688+13.0272+11.7392+11.4264+17.204+6.348+15.9896+10.2488+7.6728+6.8448+7.636+10.764+10.3408+15.5112+20.4424+3.772</f>
        <v>288.8432</v>
      </c>
      <c r="H11" s="9"/>
      <c r="I11" s="9">
        <f>G11/(G3*0.1865)</f>
        <v>5.93393526650437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245</v>
      </c>
      <c r="D12" s="9">
        <v>251</v>
      </c>
      <c r="E12" s="9">
        <f t="shared" si="0"/>
        <v>496</v>
      </c>
      <c r="F12" s="9"/>
      <c r="G12" s="9">
        <f>539+277+276+257+154+476+448+237+48+398+415+377+224+494+568+256+510+544+302+167+339+24+221+490+543+438+123+496</f>
        <v>9641</v>
      </c>
      <c r="H12" s="9">
        <f>G12*1.05</f>
        <v>10123.05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183</v>
      </c>
      <c r="D13" s="9">
        <v>234</v>
      </c>
      <c r="E13" s="9">
        <f t="shared" ref="E13:E20" si="1">D13+C13</f>
        <v>417</v>
      </c>
      <c r="F13" s="9" t="s">
        <v>25</v>
      </c>
      <c r="G13" s="9">
        <f>327+448+439+411+191+63+175+227+366+299+330+194+432+512+259+438+385+195+96+264+17+142+373+503+420+66+417</f>
        <v>7989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423.75</v>
      </c>
      <c r="D14" s="9">
        <v>458.91</v>
      </c>
      <c r="E14" s="9">
        <f t="shared" si="1"/>
        <v>882.66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924.88+887.37+839.4+726.66+157.66+466.35+447.5+573.16+853.34+975.93+1104.21+1085.13+757.19+1048.54+778.88+914.25+840.09+207+653.79+361.5+555.75+1127.19+1061.54+1025.65+758.03+366.91+882.66</f>
        <v>20380.56</v>
      </c>
      <c r="H14" s="9"/>
      <c r="I14" s="9"/>
      <c r="J14" s="16" t="s">
        <v>147</v>
      </c>
      <c r="K14" s="9">
        <v>2.54</v>
      </c>
      <c r="L14" s="9">
        <v>3.21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2.5044003+2.8297459+2.6826627+2.2986316+0.5076652+1.4199265+1.285962+1.7736691+2.3821937+2.6333799+3.3155793+3.115421+2.2531203+3.3063268+2.4512202+2.987732+2.8309653+0.621+2.007521+1.117035+1.6505775+2.9127365+2.9332291+2.8747537+2.1828779+1.1117373+2.5494261</f>
        <v>60.5394959</v>
      </c>
      <c r="L15" s="9"/>
      <c r="M15" s="9">
        <f>(C14*K14+L14*D14)/1000</f>
        <v>2.5494261</v>
      </c>
    </row>
    <row r="16" s="1" customFormat="1" ht="25" customHeight="1" spans="1:13">
      <c r="A16" s="6">
        <v>11</v>
      </c>
      <c r="B16" s="7" t="s">
        <v>29</v>
      </c>
      <c r="C16" s="9">
        <v>15</v>
      </c>
      <c r="D16" s="9">
        <v>18</v>
      </c>
      <c r="E16" s="9">
        <f t="shared" si="1"/>
        <v>33</v>
      </c>
      <c r="F16" s="9" t="s">
        <v>14</v>
      </c>
      <c r="G16" s="9">
        <f>24+36+33+32+12+7+12+18+27+21+27+18+33+39+22+33+28+18+7+18+6+9+27+39+30+7+33</f>
        <v>616</v>
      </c>
      <c r="H16" s="9"/>
      <c r="I16" s="9">
        <f>G16/(G3*0.1865)</f>
        <v>12.6549772477479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0.15</v>
      </c>
      <c r="D17" s="6">
        <v>0</v>
      </c>
      <c r="E17" s="9">
        <f t="shared" si="1"/>
        <v>0.15</v>
      </c>
      <c r="F17" s="9" t="s">
        <v>14</v>
      </c>
      <c r="G17" s="9">
        <f>0+0.15+0.15+0.2+0.15+0.15+0.2+0.15+0.15+0+0+0+0.15</f>
        <v>1.45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0</v>
      </c>
      <c r="D18" s="6">
        <v>0</v>
      </c>
      <c r="E18" s="9">
        <f t="shared" si="1"/>
        <v>0</v>
      </c>
      <c r="F18" s="9" t="s">
        <v>14</v>
      </c>
      <c r="G18" s="9">
        <f>2+2+2+2+2+2+2+2+2+2+2+2+2+2+2+0+2+0</f>
        <v>32</v>
      </c>
      <c r="H18" s="19"/>
      <c r="I18" s="19">
        <f>G18/(G3*0.1865)</f>
        <v>0.657401415467423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1.5+1.5+1.5+1.5+1.5+1.5+1.5+1.5+1.5+1.5+1.5+1.5+1.5+1.5+1.5+0+1.5+0</f>
        <v>24</v>
      </c>
      <c r="H19" s="19"/>
      <c r="I19" s="19">
        <f>G19/(G3*0.1865)</f>
        <v>0.493051061600567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4</v>
      </c>
      <c r="D20" s="6">
        <v>6</v>
      </c>
      <c r="E20" s="9">
        <f t="shared" si="1"/>
        <v>10</v>
      </c>
      <c r="F20" s="9" t="s">
        <v>34</v>
      </c>
      <c r="G20" s="9">
        <f>4+11+5+11+4+2+5+7+5+10+16+8+2+14+6+12+4+11+2+2+10+8+8+6+4+10</f>
        <v>187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685</v>
      </c>
      <c r="D22" s="6">
        <v>639</v>
      </c>
      <c r="E22" s="9">
        <f>D22+C22</f>
        <v>1324</v>
      </c>
      <c r="F22" s="9" t="s">
        <v>25</v>
      </c>
      <c r="G22" s="9">
        <f>1276+1300+1297+872+627+109+1294+610+1102+1148+1033+670+1344+1215+831+1250+1210+471+640+798+366+625+1365+1335+651+980+1324</f>
        <v>25743</v>
      </c>
      <c r="H22" s="20"/>
      <c r="I22" s="9">
        <f>E22/M22</f>
        <v>55.1666666666667</v>
      </c>
      <c r="J22" s="21" t="s">
        <v>39</v>
      </c>
      <c r="K22" s="9">
        <f>24+24+24+16+10.5+24+11+24+24+18.5+12+24+22+15+24+24+9+12.5+10.5+5.5+10+24+24+10.5+16.5+24</f>
        <v>467.5</v>
      </c>
      <c r="L22" s="9">
        <f>G22/K22</f>
        <v>55.0652406417112</v>
      </c>
      <c r="M22" s="9">
        <v>24</v>
      </c>
    </row>
    <row r="23" s="1" customFormat="1" ht="29" customHeight="1" spans="1:13">
      <c r="A23" s="6">
        <v>18</v>
      </c>
      <c r="B23" s="7" t="s">
        <v>40</v>
      </c>
      <c r="C23" s="6">
        <v>859</v>
      </c>
      <c r="D23" s="6">
        <v>801</v>
      </c>
      <c r="E23" s="9">
        <f>D23+C23</f>
        <v>1660</v>
      </c>
      <c r="F23" s="9" t="s">
        <v>25</v>
      </c>
      <c r="G23" s="9">
        <f>1599+1727+1633+1108+754+203+1480+725+1293+1315+1177+875+1631+1537+1027+1580+1561+550+688+728+223+814+1724+1735+771+1155+1660</f>
        <v>31273</v>
      </c>
      <c r="H23" s="19"/>
      <c r="I23" s="19">
        <f>E23/M22</f>
        <v>69.1666666666667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30.3</v>
      </c>
      <c r="D24" s="6">
        <v>27.27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157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160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5.22+7.46+30.36+0+0+0</f>
        <v>43.04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</v>
      </c>
      <c r="D32" s="9">
        <v>6.36</v>
      </c>
      <c r="E32" s="9">
        <f t="shared" si="2"/>
        <v>12.66</v>
      </c>
      <c r="F32" s="9" t="s">
        <v>25</v>
      </c>
      <c r="G32" s="9">
        <f>0+12.54+14.61+8.83+8.25+6.31+12.75+12.64+14.64+6.6+16.71+17.89+12.77+12.73+12.79+12.62+12.52+12.65+12.7+12.64+12.54+12.66</f>
        <v>258.39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21</v>
      </c>
      <c r="D33" s="9">
        <v>0</v>
      </c>
      <c r="E33" s="9">
        <f t="shared" si="2"/>
        <v>21</v>
      </c>
      <c r="F33" s="9" t="s">
        <v>25</v>
      </c>
      <c r="G33" s="9">
        <f>12+6+7+7+7+7+7+12+6+7+3+7+6+11+5+5+5+5+16+2+2+68+5+17+15+20+21</f>
        <v>291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0+15.1875+10.8675+8.5455+5.7915+2.484+11.7315+6.6825+12.555+9.963+5.3055+6.129+0+12.0825+0</f>
        <v>107.325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285</v>
      </c>
      <c r="D38" s="9">
        <v>362</v>
      </c>
      <c r="E38" s="9">
        <f t="shared" si="2"/>
        <v>647</v>
      </c>
      <c r="F38" s="9" t="s">
        <v>25</v>
      </c>
      <c r="G38" s="9">
        <f>383+468+416+425+389+535+545+428+465+504+483+415+486+605+649+600+635+619+588+540+500+585+544+539+490+586+647</f>
        <v>14069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0+0+0+0+0</f>
        <v>0</v>
      </c>
      <c r="H40" s="19"/>
      <c r="I40" s="6">
        <v>1020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0+0+0+0+0</f>
        <v>0</v>
      </c>
      <c r="H41" s="19"/>
      <c r="I41" s="6">
        <v>152.005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1</v>
      </c>
      <c r="D42" s="6">
        <v>0</v>
      </c>
      <c r="E42" s="9">
        <f>D42+C42</f>
        <v>1</v>
      </c>
      <c r="F42" s="9" t="s">
        <v>34</v>
      </c>
      <c r="G42" s="9">
        <f>0+1+1+1+1+2+1+1+2+3+2+2+2+3+1+2+1+2+3+2+1</f>
        <v>34</v>
      </c>
      <c r="H42" s="19"/>
      <c r="I42" s="9">
        <v>16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70" zoomScaleNormal="70" topLeftCell="A17" workbookViewId="0">
      <selection activeCell="C26" sqref="C26:L2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161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6.5</v>
      </c>
      <c r="D3" s="8">
        <v>8.5</v>
      </c>
      <c r="E3" s="9">
        <f t="shared" ref="E3:E12" si="0">C3+D3</f>
        <v>15</v>
      </c>
      <c r="F3" s="9" t="s">
        <v>14</v>
      </c>
      <c r="G3" s="9">
        <f>7.5+15.5+13.5+13+6+3+5+10.5+9+8+12.5+9.5+13+17+8.5+13+14.5+9.5+0.5+7.5+4.5+4+8.5+16.5+12.5+6+12.5+15</f>
        <v>276</v>
      </c>
      <c r="H3" s="9">
        <v>284</v>
      </c>
      <c r="I3" s="9">
        <f>H3-G3</f>
        <v>8</v>
      </c>
      <c r="J3" s="9"/>
      <c r="K3" s="9"/>
      <c r="L3" s="9"/>
      <c r="M3" s="9">
        <f>I3/3</f>
        <v>2.66666666666667</v>
      </c>
    </row>
    <row r="4" s="1" customFormat="1" ht="56" customHeight="1" spans="1:13">
      <c r="A4" s="10">
        <v>2</v>
      </c>
      <c r="B4" s="7" t="s">
        <v>15</v>
      </c>
      <c r="C4" s="8">
        <v>12</v>
      </c>
      <c r="D4" s="8"/>
      <c r="E4" s="9">
        <f t="shared" si="0"/>
        <v>12</v>
      </c>
      <c r="F4" s="9" t="s">
        <v>14</v>
      </c>
      <c r="G4" s="9">
        <f>8+8+20+10+16+2+4+4+10+10+8+12+10+12+18+10+12+16+6+2+12+4+8+16+14+4+12</f>
        <v>268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196+187+205+143+90+157+39+147+136+138+70+179+197+113+192+190+53+83+96+44+129+0+0+0+0</f>
        <v>2784</v>
      </c>
      <c r="H5" s="9">
        <v>4250</v>
      </c>
      <c r="I5" s="9">
        <f>H5-G5-G7-G6</f>
        <v>623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12</v>
      </c>
      <c r="D7" s="9">
        <v>0</v>
      </c>
      <c r="E7" s="9">
        <f t="shared" si="0"/>
        <v>12</v>
      </c>
      <c r="F7" s="9" t="s">
        <v>14</v>
      </c>
      <c r="G7" s="9">
        <f>3+1+21+36+3+8+1+8+4+15+72+151+62+108+147+191+12</f>
        <v>843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0</v>
      </c>
      <c r="D9" s="11"/>
      <c r="E9" s="9">
        <f t="shared" si="0"/>
        <v>0</v>
      </c>
      <c r="F9" s="11" t="s">
        <v>14</v>
      </c>
      <c r="G9" s="9">
        <f>61.26+31.08+30.92+30.89+30.92+30.94+31.43+30.47+31.06+30.95+30.96+32.98+31.24+30.86+31.12+30.88+31.16+31.14+30.67+0+0</f>
        <v>620.93</v>
      </c>
      <c r="H9" s="11">
        <v>4.6</v>
      </c>
      <c r="I9" s="11">
        <f>H9-K10</f>
        <v>-0.702931000000001</v>
      </c>
      <c r="J9" s="16" t="s">
        <v>145</v>
      </c>
      <c r="K9" s="11">
        <v>2</v>
      </c>
      <c r="L9" s="11">
        <v>0</v>
      </c>
      <c r="M9" s="17"/>
    </row>
    <row r="10" s="1" customFormat="1" ht="25" customHeight="1" spans="1:13">
      <c r="A10" s="6">
        <v>5</v>
      </c>
      <c r="B10" s="7" t="s">
        <v>22</v>
      </c>
      <c r="C10" s="9">
        <v>2.9835</v>
      </c>
      <c r="D10" s="9">
        <v>2.727</v>
      </c>
      <c r="E10" s="9">
        <f t="shared" si="0"/>
        <v>5.7105</v>
      </c>
      <c r="F10" s="9" t="s">
        <v>14</v>
      </c>
      <c r="G10" s="9">
        <f>2.916+5.9805+9.315+5.1705+5.103+3.1455+4.0095+7.9245+5.697+5.5215+6.8715+3.1185+6.0885+8.0865+8.4915+3.429+3.753+4.05+8.0595+8.0865+5.13+7.749+8.964+7.83+5.7105</f>
        <v>150.201</v>
      </c>
      <c r="H10" s="9"/>
      <c r="I10" s="9">
        <f>G10/(G3*0.1865)</f>
        <v>2.91799743559855</v>
      </c>
      <c r="J10" s="16" t="s">
        <v>146</v>
      </c>
      <c r="K10" s="12">
        <f>0.545214+0.267288+0.265912+0.262565+0.253544+0.26299+0.273441+0.258995+0.26401+0.263075+0.27864+0.283628+0.278036+0.26231+0.26452+0.250128+0.26486+0.255348+0.248427+0+0</f>
        <v>5.302931</v>
      </c>
      <c r="L10" s="9"/>
      <c r="M10" s="9">
        <f>C9*L9/100</f>
        <v>0</v>
      </c>
    </row>
    <row r="11" s="1" customFormat="1" ht="25" customHeight="1" spans="1:13">
      <c r="A11" s="6">
        <v>6</v>
      </c>
      <c r="B11" s="7" t="s">
        <v>23</v>
      </c>
      <c r="C11" s="9">
        <v>12.9168</v>
      </c>
      <c r="D11" s="9">
        <v>0</v>
      </c>
      <c r="E11" s="9">
        <f t="shared" si="0"/>
        <v>12.9168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16.5048+12.9536+15.7688+13.2296+12.0336+14.9592+15.7136+9.844+8.8688+13.0272+11.7392+11.4264+17.204+6.348+15.9896+10.2488+7.6728+6.8448+7.636+10.764+10.3408+15.5112+20.4424+3.772+12.9168</f>
        <v>301.76</v>
      </c>
      <c r="H11" s="9"/>
      <c r="I11" s="9">
        <f>G11/(G3*0.1865)</f>
        <v>5.86237712243074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290</v>
      </c>
      <c r="D12" s="9">
        <v>26</v>
      </c>
      <c r="E12" s="9">
        <f t="shared" si="0"/>
        <v>316</v>
      </c>
      <c r="F12" s="9"/>
      <c r="G12" s="9">
        <f>539+277+276+257+154+476+448+237+48+398+415+377+224+494+568+256+510+544+302+167+339+24+221+490+543+438+123+496+316</f>
        <v>9957</v>
      </c>
      <c r="H12" s="9">
        <f>G12*1.05</f>
        <v>10454.85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227</v>
      </c>
      <c r="D13" s="9">
        <v>77</v>
      </c>
      <c r="E13" s="9">
        <f t="shared" ref="E13:E20" si="1">D13+C13</f>
        <v>304</v>
      </c>
      <c r="F13" s="9" t="s">
        <v>25</v>
      </c>
      <c r="G13" s="9">
        <f>327+448+439+411+191+63+175+227+366+299+330+194+432+512+259+438+385+195+96+264+17+142+373+503+420+66+417+304</f>
        <v>8293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454.19</v>
      </c>
      <c r="D14" s="9">
        <v>226.12</v>
      </c>
      <c r="E14" s="9">
        <f t="shared" si="1"/>
        <v>680.31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924.88+887.37+839.4+726.66+157.66+466.35+447.5+573.16+853.34+975.93+1104.21+1085.13+757.19+1048.54+778.88+914.25+840.09+207+653.79+361.5+555.75+1127.19+1061.54+1025.65+758.03+366.91+882.66+680.31</f>
        <v>21060.87</v>
      </c>
      <c r="H14" s="9"/>
      <c r="I14" s="9"/>
      <c r="J14" s="16" t="s">
        <v>147</v>
      </c>
      <c r="K14" s="9">
        <v>3.58</v>
      </c>
      <c r="L14" s="9">
        <v>3.12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2.5044003+2.8297459+2.6826627+2.2986316+0.5076652+1.4199265+1.285962+1.7736691+2.3821937+2.6333799+3.3155793+3.115421+2.2531203+3.3063268+2.4512202+2.987732+2.8309653+0.621+2.007521+1.117035+1.6505775+2.9127365+2.9332291+2.8747537+2.1828779+1.1117373+2.5494261+2.3314946</f>
        <v>62.8709905</v>
      </c>
      <c r="L15" s="9"/>
      <c r="M15" s="9">
        <f>(C14*K14+L14*D14)/1000</f>
        <v>2.3314946</v>
      </c>
    </row>
    <row r="16" s="1" customFormat="1" ht="25" customHeight="1" spans="1:13">
      <c r="A16" s="6">
        <v>11</v>
      </c>
      <c r="B16" s="7" t="s">
        <v>29</v>
      </c>
      <c r="C16" s="9">
        <v>19</v>
      </c>
      <c r="D16" s="9">
        <v>9</v>
      </c>
      <c r="E16" s="9">
        <f t="shared" si="1"/>
        <v>28</v>
      </c>
      <c r="F16" s="9" t="s">
        <v>14</v>
      </c>
      <c r="G16" s="9">
        <f>24+36+33+32+12+7+12+18+27+21+27+18+33+39+22+33+28+18+7+18+6+9+27+39+30+7+33+28</f>
        <v>644</v>
      </c>
      <c r="H16" s="9"/>
      <c r="I16" s="9">
        <f>G16/(G3*0.1865)</f>
        <v>12.5111706881144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0+0.15+0.15+0.2+0.15+0.15+0.2+0.15+0.15+0+0+0+0.15+0</f>
        <v>1.45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2+2+2+2+2+2+2+2+2+2+2+2+2+2+2+0+2+0+2</f>
        <v>34</v>
      </c>
      <c r="H18" s="19"/>
      <c r="I18" s="19">
        <f>G18/(G3*0.1865)</f>
        <v>0.660527645024673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1.5+1.5+1.5+1.5+1.5+1.5+1.5+1.5+1.5+1.5+1.5+1.5+1.5+1.5+1.5+0+1.5+0+1.5</f>
        <v>25.5</v>
      </c>
      <c r="H19" s="19"/>
      <c r="I19" s="19">
        <f>G19/(G3*0.1865)</f>
        <v>0.495395733768505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1</v>
      </c>
      <c r="D20" s="6">
        <v>3</v>
      </c>
      <c r="E20" s="9">
        <f t="shared" si="1"/>
        <v>4</v>
      </c>
      <c r="F20" s="9" t="s">
        <v>34</v>
      </c>
      <c r="G20" s="9">
        <f>4+11+5+11+4+2+5+7+5+10+16+8+2+14+6+12+4+11+2+2+10+8+8+6+4+10+4</f>
        <v>191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137</v>
      </c>
      <c r="D22" s="6">
        <v>163</v>
      </c>
      <c r="E22" s="9">
        <f>D22+C22</f>
        <v>300</v>
      </c>
      <c r="F22" s="9" t="s">
        <v>25</v>
      </c>
      <c r="G22" s="9">
        <f>1276+1300+1297+872+627+109+1294+610+1102+1148+1033+670+1344+1215+831+1250+1210+471+640+798+366+625+1365+1335+651+980+1324+300</f>
        <v>26043</v>
      </c>
      <c r="H22" s="20"/>
      <c r="I22" s="9">
        <f>E22/M22</f>
        <v>120</v>
      </c>
      <c r="J22" s="21" t="s">
        <v>39</v>
      </c>
      <c r="K22" s="9">
        <f>24+24+24+16+10.5+24+11+24+24+18.5+12+24+22+15+24+24+9+12.5+10.5+5.5+10+24+24+10.5+16.5+24+2.5</f>
        <v>470</v>
      </c>
      <c r="L22" s="9">
        <f>G22/K22</f>
        <v>55.4106382978723</v>
      </c>
      <c r="M22" s="9">
        <v>2.5</v>
      </c>
    </row>
    <row r="23" s="1" customFormat="1" ht="29" customHeight="1" spans="1:13">
      <c r="A23" s="6">
        <v>18</v>
      </c>
      <c r="B23" s="7" t="s">
        <v>40</v>
      </c>
      <c r="C23" s="6">
        <v>89</v>
      </c>
      <c r="D23" s="6">
        <v>357</v>
      </c>
      <c r="E23" s="9">
        <f>D23+C23</f>
        <v>446</v>
      </c>
      <c r="F23" s="9" t="s">
        <v>25</v>
      </c>
      <c r="G23" s="9">
        <f>1599+1727+1633+1108+754+203+1480+725+1293+1315+1177+875+1631+1537+1027+1580+1561+550+688+728+223+814+1724+1735+771+1155+1660+446</f>
        <v>31719</v>
      </c>
      <c r="H23" s="19"/>
      <c r="I23" s="19">
        <f>E23/M22</f>
        <v>178.4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27.68</v>
      </c>
      <c r="D24" s="6">
        <v>0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162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163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164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5.22+7.46+30.36+0+0+0+0</f>
        <v>43.04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</v>
      </c>
      <c r="D32" s="9">
        <v>6.27</v>
      </c>
      <c r="E32" s="9">
        <f t="shared" si="2"/>
        <v>12.57</v>
      </c>
      <c r="F32" s="9" t="s">
        <v>25</v>
      </c>
      <c r="G32" s="9">
        <f>0+12.54+14.61+8.83+8.25+6.31+12.75+12.64+14.64+6.6+16.71+17.89+12.77+12.73+12.79+12.62+12.52+12.65+12.7+12.64+12.54+12.66+12.57</f>
        <v>270.96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14</v>
      </c>
      <c r="D33" s="9">
        <v>0</v>
      </c>
      <c r="E33" s="9">
        <f t="shared" si="2"/>
        <v>14</v>
      </c>
      <c r="F33" s="9" t="s">
        <v>25</v>
      </c>
      <c r="G33" s="9">
        <f>12+6+7+7+7+7+7+12+6+7+3+7+6+11+5+5+5+5+16+2+2+68+5+17+15+20+21+14</f>
        <v>305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0+15.1875+10.8675+8.5455+5.7915+2.484+11.7315+6.6825+12.555+9.963+5.3055+6.129+0+12.0825+0+0</f>
        <v>107.325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0+4+305+340+403+80+81+0+0+0+0+0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257</v>
      </c>
      <c r="D38" s="9">
        <v>271</v>
      </c>
      <c r="E38" s="9">
        <f t="shared" si="2"/>
        <v>528</v>
      </c>
      <c r="F38" s="9" t="s">
        <v>25</v>
      </c>
      <c r="G38" s="9">
        <f>383+468+416+425+389+535+545+428+465+504+483+415+486+605+649+600+635+619+588+540+500+585+544+539+490+586+647+528</f>
        <v>14597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0+0+0+0+0+0</f>
        <v>0</v>
      </c>
      <c r="H40" s="19"/>
      <c r="I40" s="6">
        <v>1020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0+0+0+0+0+0</f>
        <v>0</v>
      </c>
      <c r="H41" s="19"/>
      <c r="I41" s="6">
        <v>152.005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3</v>
      </c>
      <c r="D42" s="6">
        <v>3</v>
      </c>
      <c r="E42" s="9">
        <f>D42+C42</f>
        <v>6</v>
      </c>
      <c r="F42" s="9" t="s">
        <v>34</v>
      </c>
      <c r="G42" s="9">
        <f>0+1+1+1+1+2+1+1+2+3+2+2+2+3+1+2+1+2+3+2+1+6</f>
        <v>40</v>
      </c>
      <c r="H42" s="19"/>
      <c r="I42" s="9">
        <v>22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70" zoomScaleNormal="70" topLeftCell="A25" workbookViewId="0">
      <selection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165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0</v>
      </c>
      <c r="D3" s="8">
        <v>0</v>
      </c>
      <c r="E3" s="9">
        <f t="shared" ref="E3:E12" si="0">C3+D3</f>
        <v>0</v>
      </c>
      <c r="F3" s="9" t="s">
        <v>14</v>
      </c>
      <c r="G3" s="9">
        <f>7.5+15.5+13.5+13+6+3+5+10.5+9+8+12.5+9.5+13+17+8.5+13+14.5+9.5+0.5+7.5+4.5+4+8.5+16.5+12.5+6+12.5+15+0</f>
        <v>276</v>
      </c>
      <c r="H3" s="9">
        <v>284</v>
      </c>
      <c r="I3" s="9">
        <f>H3-G3</f>
        <v>8</v>
      </c>
      <c r="J3" s="9"/>
      <c r="K3" s="9"/>
      <c r="L3" s="9"/>
      <c r="M3" s="9">
        <f>I3/2</f>
        <v>4</v>
      </c>
    </row>
    <row r="4" s="1" customFormat="1" ht="56" customHeight="1" spans="1:13">
      <c r="A4" s="10">
        <v>2</v>
      </c>
      <c r="B4" s="7" t="s">
        <v>15</v>
      </c>
      <c r="C4" s="8">
        <v>14</v>
      </c>
      <c r="D4" s="8"/>
      <c r="E4" s="9">
        <f t="shared" si="0"/>
        <v>14</v>
      </c>
      <c r="F4" s="9" t="s">
        <v>14</v>
      </c>
      <c r="G4" s="9">
        <f>8+8+20+10+16+2+4+4+10+10+8+12+10+12+18+10+12+16+6+2+12+4+8+16+14+4+12+14</f>
        <v>282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196+187+205+143+90+157+39+147+136+138+70+179+197+113+192+190+53+83+96+44+129+0+0+0+0+0</f>
        <v>2784</v>
      </c>
      <c r="H5" s="9">
        <v>4250</v>
      </c>
      <c r="I5" s="9">
        <f>H5-G5-G7-G6</f>
        <v>517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106</v>
      </c>
      <c r="E7" s="9">
        <f t="shared" si="0"/>
        <v>106</v>
      </c>
      <c r="F7" s="9" t="s">
        <v>14</v>
      </c>
      <c r="G7" s="9">
        <f>3+1+21+36+3+8+1+8+4+15+72+151+62+108+147+191+12+106</f>
        <v>949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0</v>
      </c>
      <c r="D9" s="11"/>
      <c r="E9" s="9">
        <f t="shared" si="0"/>
        <v>0</v>
      </c>
      <c r="F9" s="11" t="s">
        <v>14</v>
      </c>
      <c r="G9" s="9">
        <f>61.26+31.08+30.92+30.89+30.92+30.94+31.43+30.47+31.06+30.95+30.96+32.98+31.24+30.86+31.12+30.88+31.16+31.14+30.67+0+0+0</f>
        <v>620.93</v>
      </c>
      <c r="H9" s="11">
        <v>4.6</v>
      </c>
      <c r="I9" s="11">
        <f>H9-K10</f>
        <v>-0.702931000000001</v>
      </c>
      <c r="J9" s="16" t="s">
        <v>145</v>
      </c>
      <c r="K9" s="11">
        <v>2</v>
      </c>
      <c r="L9" s="11">
        <v>0</v>
      </c>
      <c r="M9" s="17"/>
    </row>
    <row r="10" s="1" customFormat="1" ht="25" customHeight="1" spans="1:13">
      <c r="A10" s="6">
        <v>5</v>
      </c>
      <c r="B10" s="7" t="s">
        <v>22</v>
      </c>
      <c r="C10" s="9">
        <v>4.7925</v>
      </c>
      <c r="D10" s="9">
        <v>0</v>
      </c>
      <c r="E10" s="9">
        <f t="shared" si="0"/>
        <v>4.7925</v>
      </c>
      <c r="F10" s="9" t="s">
        <v>14</v>
      </c>
      <c r="G10" s="9">
        <f>2.916+5.9805+9.315+5.1705+5.103+3.1455+4.0095+7.9245+5.697+5.5215+6.8715+3.1185+6.0885+8.0865+8.4915+3.429+3.753+4.05+8.0595+8.0865+5.13+7.749+8.964+7.83+5.7105+4.7925</f>
        <v>154.9935</v>
      </c>
      <c r="H10" s="9"/>
      <c r="I10" s="9">
        <f>G10/(G3*0.1865)</f>
        <v>3.01110269262152</v>
      </c>
      <c r="J10" s="16" t="s">
        <v>146</v>
      </c>
      <c r="K10" s="12">
        <f>0.545214+0.267288+0.265912+0.262565+0.253544+0.26299+0.273441+0.258995+0.26401+0.263075+0.27864+0.283628+0.278036+0.26231+0.26452+0.250128+0.26486+0.255348+0.248427+0+0+0</f>
        <v>5.302931</v>
      </c>
      <c r="L10" s="9"/>
      <c r="M10" s="9">
        <f>C9*L9/100</f>
        <v>0</v>
      </c>
    </row>
    <row r="11" s="1" customFormat="1" ht="25" customHeight="1" spans="1:13">
      <c r="A11" s="6">
        <v>6</v>
      </c>
      <c r="B11" s="7" t="s">
        <v>23</v>
      </c>
      <c r="C11" s="9">
        <v>15.548</v>
      </c>
      <c r="D11" s="9">
        <v>0</v>
      </c>
      <c r="E11" s="9">
        <f t="shared" si="0"/>
        <v>15.548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16.5048+12.9536+15.7688+13.2296+12.0336+14.9592+15.7136+9.844+8.8688+13.0272+11.7392+11.4264+17.204+6.348+15.9896+10.2488+7.6728+6.8448+7.636+10.764+10.3408+15.5112+20.4424+3.772+12.9168+15.548</f>
        <v>317.308</v>
      </c>
      <c r="H11" s="9"/>
      <c r="I11" s="9">
        <f>G11/(G3*0.1865)</f>
        <v>6.16443252904379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73</v>
      </c>
      <c r="D12" s="9">
        <v>45</v>
      </c>
      <c r="E12" s="9">
        <f t="shared" si="0"/>
        <v>118</v>
      </c>
      <c r="F12" s="9"/>
      <c r="G12" s="9">
        <f>539+277+276+257+154+476+448+237+48+398+415+377+224+494+568+256+510+544+302+167+339+24+221+490+543+438+123+496+316+118</f>
        <v>10075</v>
      </c>
      <c r="H12" s="9">
        <f>G12*1.05</f>
        <v>10578.75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0</v>
      </c>
      <c r="D13" s="9">
        <v>0</v>
      </c>
      <c r="E13" s="9">
        <f t="shared" ref="E13:E20" si="1">D13+C13</f>
        <v>0</v>
      </c>
      <c r="F13" s="9" t="s">
        <v>25</v>
      </c>
      <c r="G13" s="9">
        <f>327+448+439+411+191+63+175+227+366+299+330+194+432+512+259+438+385+195+96+264+17+142+373+503+420+66+417+304+0</f>
        <v>8293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261.03</v>
      </c>
      <c r="D14" s="9">
        <v>386.53</v>
      </c>
      <c r="E14" s="9">
        <f t="shared" si="1"/>
        <v>647.56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924.88+887.37+839.4+726.66+157.66+466.35+447.5+573.16+853.34+975.93+1104.21+1085.13+757.19+1048.54+778.88+914.25+840.09+207+653.79+361.5+555.75+1127.19+1061.54+1025.65+758.03+366.91+882.66+680.31+647.56</f>
        <v>21708.43</v>
      </c>
      <c r="H14" s="9"/>
      <c r="I14" s="9"/>
      <c r="J14" s="16" t="s">
        <v>147</v>
      </c>
      <c r="K14" s="9">
        <v>3.22</v>
      </c>
      <c r="L14" s="9">
        <v>2.93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+2.5494261+2.3314946+1.9730495</f>
        <v>64.84404</v>
      </c>
      <c r="L15" s="9"/>
      <c r="M15" s="9">
        <f>(C14*K14+L14*D14)/1000</f>
        <v>1.9730495</v>
      </c>
    </row>
    <row r="16" s="1" customFormat="1" ht="25" customHeight="1" spans="1:13">
      <c r="A16" s="6">
        <v>11</v>
      </c>
      <c r="B16" s="7" t="s">
        <v>29</v>
      </c>
      <c r="C16" s="9">
        <v>0</v>
      </c>
      <c r="D16" s="9">
        <v>0</v>
      </c>
      <c r="E16" s="9">
        <f t="shared" si="1"/>
        <v>0</v>
      </c>
      <c r="F16" s="9" t="s">
        <v>14</v>
      </c>
      <c r="G16" s="9">
        <f>24+36+33+32+12+7+12+18+27+21+27+18+33+39+22+33+28+18+7+18+6+9+27+39+30+7+33+28+0</f>
        <v>644</v>
      </c>
      <c r="H16" s="9"/>
      <c r="I16" s="9">
        <f>G16/(G3*0.1865)</f>
        <v>12.5111706881144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0+0.15+0.15+0.2+0.15+0.15+0.2+0.15+0.15+0+0+0+0.15+0+0</f>
        <v>1.45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2+2+2+2+2+2+2+2+2+2+2+2+2+2+2+0+2+0+2+2</f>
        <v>36</v>
      </c>
      <c r="H18" s="19"/>
      <c r="I18" s="19">
        <f>G18/(G3*0.1865)</f>
        <v>0.699382212379065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1.5+1.5+1.5+1.5+1.5+1.5+1.5+1.5+1.5+1.5+1.5+1.5+1.5+1.5+1.5+0+1.5+0+1.5+1.5</f>
        <v>27</v>
      </c>
      <c r="H19" s="19"/>
      <c r="I19" s="19">
        <f>G19/(G3*0.1865)</f>
        <v>0.524536659284299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9</v>
      </c>
      <c r="D20" s="6">
        <v>5</v>
      </c>
      <c r="E20" s="9">
        <f t="shared" si="1"/>
        <v>14</v>
      </c>
      <c r="F20" s="9" t="s">
        <v>34</v>
      </c>
      <c r="G20" s="9">
        <f>4+11+5+11+4+2+5+7+5+10+16+8+2+14+6+12+4+11+2+2+10+8+8+6+4+10+4+14</f>
        <v>205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191</v>
      </c>
      <c r="D22" s="6">
        <v>676</v>
      </c>
      <c r="E22" s="9">
        <f>D22+C22</f>
        <v>867</v>
      </c>
      <c r="F22" s="9" t="s">
        <v>25</v>
      </c>
      <c r="G22" s="9">
        <f>1276+1300+1297+872+627+109+1294+610+1102+1148+1033+670+1344+1215+831+1250+1210+471+640+798+366+625+1365+1335+651+980+1324+300+867</f>
        <v>26910</v>
      </c>
      <c r="H22" s="20"/>
      <c r="I22" s="9">
        <f>E22/M22</f>
        <v>59.7931034482759</v>
      </c>
      <c r="J22" s="21" t="s">
        <v>39</v>
      </c>
      <c r="K22" s="9">
        <f>24+24+24+16+10.5+24+11+24+24+18.5+12+24+22+15+24+24+9+12.5+10.5+5.5+10+24+24+10.5+16.5+24+2.5+14.5</f>
        <v>484.5</v>
      </c>
      <c r="L22" s="9">
        <f>G22/K22</f>
        <v>55.5417956656347</v>
      </c>
      <c r="M22" s="9">
        <v>14.5</v>
      </c>
    </row>
    <row r="23" s="1" customFormat="1" ht="29" customHeight="1" spans="1:13">
      <c r="A23" s="6">
        <v>18</v>
      </c>
      <c r="B23" s="7" t="s">
        <v>40</v>
      </c>
      <c r="C23" s="6">
        <v>388</v>
      </c>
      <c r="D23" s="6">
        <v>677</v>
      </c>
      <c r="E23" s="9">
        <f>D23+C23</f>
        <v>1065</v>
      </c>
      <c r="F23" s="9" t="s">
        <v>25</v>
      </c>
      <c r="G23" s="9">
        <f>1599+1727+1633+1108+754+203+1480+725+1293+1315+1177+875+1631+1537+1027+1580+1561+550+688+728+223+814+1724+1735+771+1155+1660+446+1065</f>
        <v>32784</v>
      </c>
      <c r="H23" s="19"/>
      <c r="I23" s="19">
        <f>E23/M22</f>
        <v>73.448275862069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0</v>
      </c>
      <c r="D24" s="6">
        <v>27.85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/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157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166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9.98</v>
      </c>
      <c r="E31" s="9">
        <f t="shared" ref="E31:E39" si="2">D31+C31</f>
        <v>9.98</v>
      </c>
      <c r="F31" s="9" t="s">
        <v>25</v>
      </c>
      <c r="G31" s="9">
        <f>5.22+7.46+30.36+0+0+0+0+9.98</f>
        <v>53.02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6.33</v>
      </c>
      <c r="D32" s="9">
        <v>6.34</v>
      </c>
      <c r="E32" s="9">
        <f t="shared" si="2"/>
        <v>12.67</v>
      </c>
      <c r="F32" s="9" t="s">
        <v>25</v>
      </c>
      <c r="G32" s="9">
        <f>0+12.54+14.61+8.83+8.25+6.31+12.75+12.64+14.64+6.6+16.71+17.89+12.77+12.73+12.79+12.62+12.52+12.65+12.7+12.64+12.54+12.66+12.57+12.67</f>
        <v>283.63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0</v>
      </c>
      <c r="D33" s="9">
        <v>23</v>
      </c>
      <c r="E33" s="9">
        <f t="shared" si="2"/>
        <v>23</v>
      </c>
      <c r="F33" s="9" t="s">
        <v>25</v>
      </c>
      <c r="G33" s="9">
        <f>12+6+7+7+7+7+7+12+6+7+3+7+6+11+5+5+5+5+16+2+2+68+5+17+15+20+21+14+23</f>
        <v>328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6.1965</v>
      </c>
      <c r="D35" s="9">
        <v>0</v>
      </c>
      <c r="E35" s="9">
        <f t="shared" si="2"/>
        <v>6.1965</v>
      </c>
      <c r="F35" s="9" t="s">
        <v>14</v>
      </c>
      <c r="G35" s="9">
        <f>0+15.1875+10.8675+8.5455+5.7915+2.484+11.7315+6.6825+12.555+9.963+5.3055+6.129+0+12.0825+0+0+6.1965</f>
        <v>113.5215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0+4+305+340+403+80+81+0+0+0+0+0+0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253</v>
      </c>
      <c r="D38" s="9">
        <v>264</v>
      </c>
      <c r="E38" s="9">
        <f t="shared" si="2"/>
        <v>517</v>
      </c>
      <c r="F38" s="9" t="s">
        <v>25</v>
      </c>
      <c r="G38" s="9">
        <f>383+468+416+425+389+535+545+428+465+504+483+415+486+605+649+600+635+619+588+540+500+585+544+539+490+586+647+528+517</f>
        <v>15114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0+0+0+0+0+0+0</f>
        <v>0</v>
      </c>
      <c r="H40" s="19"/>
      <c r="I40" s="6">
        <v>345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0+0+0+0+0+0+0</f>
        <v>0</v>
      </c>
      <c r="H41" s="19"/>
      <c r="I41" s="6">
        <v>145.0562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2</v>
      </c>
      <c r="D42" s="6">
        <v>0</v>
      </c>
      <c r="E42" s="9">
        <f>D42+C42</f>
        <v>2</v>
      </c>
      <c r="F42" s="9" t="s">
        <v>34</v>
      </c>
      <c r="G42" s="9">
        <f>0+1+1+1+1+2+1+1+2+3+2+2+2+3+1+2+1+2+3+2+1+6+2</f>
        <v>42</v>
      </c>
      <c r="H42" s="19"/>
      <c r="I42" s="9">
        <v>24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16" workbookViewId="0">
      <selection activeCell="C25" sqref="C25:L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167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3</v>
      </c>
      <c r="D3" s="8">
        <v>5</v>
      </c>
      <c r="E3" s="9">
        <f t="shared" ref="E3:E12" si="0">C3+D3</f>
        <v>8</v>
      </c>
      <c r="F3" s="9" t="s">
        <v>14</v>
      </c>
      <c r="G3" s="9">
        <f>7.5+15.5+13.5+13+6+3+5+10.5+9+8+12.5+9.5+13+17+8.5+13+14.5+9.5+0.5+7.5+4.5+4+8.5+16.5+12.5+6+12.5+15+0+8</f>
        <v>284</v>
      </c>
      <c r="H3" s="9">
        <v>284</v>
      </c>
      <c r="I3" s="9">
        <f>H3-G3</f>
        <v>0</v>
      </c>
      <c r="J3" s="9"/>
      <c r="K3" s="9"/>
      <c r="L3" s="9"/>
      <c r="M3" s="9">
        <f>I3/1</f>
        <v>0</v>
      </c>
    </row>
    <row r="4" s="1" customFormat="1" ht="56" customHeight="1" spans="1:13">
      <c r="A4" s="10">
        <v>2</v>
      </c>
      <c r="B4" s="7" t="s">
        <v>15</v>
      </c>
      <c r="C4" s="8">
        <v>2</v>
      </c>
      <c r="D4" s="8"/>
      <c r="E4" s="9">
        <f t="shared" si="0"/>
        <v>2</v>
      </c>
      <c r="F4" s="9" t="s">
        <v>14</v>
      </c>
      <c r="G4" s="9">
        <f>8+8+20+10+16+2+4+4+10+10+8+12+10+12+18+10+12+16+6+2+12+4+8+16+14+4+12+14+2</f>
        <v>284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33</v>
      </c>
      <c r="D5" s="9">
        <v>0</v>
      </c>
      <c r="E5" s="9">
        <f t="shared" si="0"/>
        <v>33</v>
      </c>
      <c r="F5" s="9" t="s">
        <v>14</v>
      </c>
      <c r="G5" s="9">
        <f>196+187+205+143+90+157+39+147+136+138+70+179+197+113+192+190+53+83+96+44+129+0+0+0+0+0+33</f>
        <v>2817</v>
      </c>
      <c r="H5" s="9">
        <v>4250</v>
      </c>
      <c r="I5" s="9">
        <f>H5-G5-G7-G6</f>
        <v>335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0+0+0+0+0+0+0+0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72</v>
      </c>
      <c r="D7" s="9">
        <v>77</v>
      </c>
      <c r="E7" s="9">
        <f t="shared" si="0"/>
        <v>149</v>
      </c>
      <c r="F7" s="9" t="s">
        <v>14</v>
      </c>
      <c r="G7" s="9">
        <f>3+1+21+36+3+8+1+8+4+15+72+151+62+108+147+191+12+106+149</f>
        <v>1098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1+2+1+1+0+0+0+0+0+0+0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0</v>
      </c>
      <c r="D9" s="11"/>
      <c r="E9" s="9">
        <f t="shared" si="0"/>
        <v>0</v>
      </c>
      <c r="F9" s="11" t="s">
        <v>14</v>
      </c>
      <c r="G9" s="9">
        <f>61.26+31.08+30.92+30.89+30.92+30.94+31.43+30.47+31.06+30.95+30.96+32.98+31.24+30.86+31.12+30.88+31.16+31.14+30.67+0+0+0+0</f>
        <v>620.93</v>
      </c>
      <c r="H9" s="11">
        <v>4.6</v>
      </c>
      <c r="I9" s="11">
        <f>H9-K10</f>
        <v>-0.702931000000001</v>
      </c>
      <c r="J9" s="16" t="s">
        <v>145</v>
      </c>
      <c r="K9" s="11">
        <v>4</v>
      </c>
      <c r="L9" s="11">
        <v>0</v>
      </c>
      <c r="M9" s="17"/>
    </row>
    <row r="10" s="1" customFormat="1" ht="25" customHeight="1" spans="1:13">
      <c r="A10" s="6">
        <v>5</v>
      </c>
      <c r="B10" s="7" t="s">
        <v>22</v>
      </c>
      <c r="C10" s="9">
        <v>3.6855</v>
      </c>
      <c r="D10" s="9">
        <v>0</v>
      </c>
      <c r="E10" s="9">
        <f t="shared" si="0"/>
        <v>3.6855</v>
      </c>
      <c r="F10" s="9" t="s">
        <v>14</v>
      </c>
      <c r="G10" s="9">
        <f>2.916+5.9805+9.315+5.1705+5.103+3.1455+4.0095+7.9245+5.697+5.5215+6.8715+3.1185+6.0885+8.0865+8.4915+3.429+3.753+4.05+8.0595+8.0865+5.13+7.749+8.964+7.83+5.7105+4.7925+3.6855</f>
        <v>158.679</v>
      </c>
      <c r="H10" s="9"/>
      <c r="I10" s="9">
        <f>G10/(G3*0.1865)</f>
        <v>2.99586527206132</v>
      </c>
      <c r="J10" s="16" t="s">
        <v>146</v>
      </c>
      <c r="K10" s="12">
        <f>0.545214+0.267288+0.265912+0.262565+0.253544+0.26299+0.273441+0.258995+0.26401+0.263075+0.27864+0.283628+0.278036+0.26231+0.26452+0.250128+0.26486+0.255348+0.248427+0+0+0+0</f>
        <v>5.302931</v>
      </c>
      <c r="L10" s="9"/>
      <c r="M10" s="9">
        <f>C9*L9/100</f>
        <v>0</v>
      </c>
    </row>
    <row r="11" s="1" customFormat="1" ht="25" customHeight="1" spans="1:13">
      <c r="A11" s="6">
        <v>6</v>
      </c>
      <c r="B11" s="7" t="s">
        <v>23</v>
      </c>
      <c r="C11" s="9">
        <v>4.0664</v>
      </c>
      <c r="D11" s="9">
        <v>0</v>
      </c>
      <c r="E11" s="9">
        <f t="shared" si="0"/>
        <v>4.0664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16.5048+12.9536+15.7688+13.2296+12.0336+14.9592+15.7136+9.844+8.8688+13.0272+11.7392+11.4264+17.204+6.348+15.9896+10.2488+7.6728+6.8448+7.636+10.764+10.3408+15.5112+20.4424+3.772+12.9168+15.548+4.0664</f>
        <v>321.3744</v>
      </c>
      <c r="H11" s="9"/>
      <c r="I11" s="9">
        <f>G11/(G3*0.1865)</f>
        <v>6.06756032171582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260</v>
      </c>
      <c r="D12" s="9">
        <v>298</v>
      </c>
      <c r="E12" s="9">
        <f t="shared" si="0"/>
        <v>558</v>
      </c>
      <c r="F12" s="9"/>
      <c r="G12" s="9">
        <f>539+277+276+257+154+476+448+237+48+398+415+377+224+494+568+256+510+544+302+167+339+24+221+490+543+438+123+496+316+118+558</f>
        <v>10633</v>
      </c>
      <c r="H12" s="9">
        <f>G12*1.05</f>
        <v>11164.65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169</v>
      </c>
      <c r="D13" s="9">
        <v>238</v>
      </c>
      <c r="E13" s="9">
        <f t="shared" ref="E13:E20" si="1">D13+C13</f>
        <v>407</v>
      </c>
      <c r="F13" s="9" t="s">
        <v>25</v>
      </c>
      <c r="G13" s="9">
        <f>327+448+439+411+191+63+175+227+366+299+330+194+432+512+259+438+385+195+96+264+17+142+373+503+420+66+417+304+0+407</f>
        <v>8700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74.63</v>
      </c>
      <c r="D14" s="9">
        <v>415.09</v>
      </c>
      <c r="E14" s="9">
        <f t="shared" si="1"/>
        <v>489.72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924.88+887.37+839.4+726.66+157.66+466.35+447.5+573.16+853.34+975.93+1104.21+1085.13+757.19+1048.54+778.88+914.25+840.09+207+653.79+361.5+555.75+1127.19+1061.54+1025.65+758.03+366.91+882.66+680.31+647.56+489.72</f>
        <v>22198.15</v>
      </c>
      <c r="H14" s="9"/>
      <c r="I14" s="9"/>
      <c r="J14" s="16" t="s">
        <v>147</v>
      </c>
      <c r="K14" s="9">
        <v>3</v>
      </c>
      <c r="L14" s="9">
        <v>3.1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0+0+0+0+0+0+0+0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+2.5494261+2.3314946+1.9730495+1.510669</f>
        <v>66.354709</v>
      </c>
      <c r="L15" s="9"/>
      <c r="M15" s="9">
        <f>(C14*K14+L14*D14)/1000</f>
        <v>1.510669</v>
      </c>
    </row>
    <row r="16" s="1" customFormat="1" ht="25" customHeight="1" spans="1:13">
      <c r="A16" s="6">
        <v>11</v>
      </c>
      <c r="B16" s="7" t="s">
        <v>29</v>
      </c>
      <c r="C16" s="9">
        <v>9</v>
      </c>
      <c r="D16" s="9">
        <v>18</v>
      </c>
      <c r="E16" s="9">
        <f t="shared" si="1"/>
        <v>27</v>
      </c>
      <c r="F16" s="9" t="s">
        <v>14</v>
      </c>
      <c r="G16" s="9">
        <f>24+36+33+32+12+7+12+18+27+21+27+18+33+39+22+33+28+18+7+18+6+9+27+39+30+7+33+28+0+27</f>
        <v>671</v>
      </c>
      <c r="H16" s="9"/>
      <c r="I16" s="9">
        <f>G16/(G3*0.1865)</f>
        <v>12.6685043235283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0.175</v>
      </c>
      <c r="D17" s="6">
        <v>0</v>
      </c>
      <c r="E17" s="9">
        <f t="shared" si="1"/>
        <v>0.175</v>
      </c>
      <c r="F17" s="9" t="s">
        <v>14</v>
      </c>
      <c r="G17" s="9">
        <f>0+0.15+0.15+0.2+0.15+0.15+0.2+0.15+0.15+0+0+0+0.15+0+0+0.175</f>
        <v>1.625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0</v>
      </c>
      <c r="D18" s="6">
        <v>0</v>
      </c>
      <c r="E18" s="9">
        <f t="shared" si="1"/>
        <v>0</v>
      </c>
      <c r="F18" s="9" t="s">
        <v>14</v>
      </c>
      <c r="G18" s="9">
        <f>2+2+2+2+2+2+2+2+2+2+2+2+2+2+2+0+2+0+2+2+0</f>
        <v>36</v>
      </c>
      <c r="H18" s="19"/>
      <c r="I18" s="19">
        <f>G18/(G3*0.1865)</f>
        <v>0.679681304988106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0</v>
      </c>
      <c r="D19" s="6">
        <v>0</v>
      </c>
      <c r="E19" s="9">
        <f t="shared" si="1"/>
        <v>0</v>
      </c>
      <c r="F19" s="9" t="s">
        <v>14</v>
      </c>
      <c r="G19" s="9">
        <f>1.5+1.5+1.5+1.5+1.5+1.5+1.5+1.5+1.5+1.5+1.5+1.5+1.5+1.5+1.5+0+1.5+0+1.5+1.5+0</f>
        <v>27</v>
      </c>
      <c r="H19" s="19"/>
      <c r="I19" s="19">
        <f>G19/(G3*0.1865)</f>
        <v>0.509760978741079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3</v>
      </c>
      <c r="D20" s="6">
        <v>0</v>
      </c>
      <c r="E20" s="9">
        <f t="shared" si="1"/>
        <v>3</v>
      </c>
      <c r="F20" s="9" t="s">
        <v>34</v>
      </c>
      <c r="G20" s="9">
        <f>4+11+5+11+4+2+5+7+5+10+16+8+2+14+6+12+4+11+2+2+10+8+8+6+4+10+4+14+3</f>
        <v>208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0+0+0+0+0+0+0+0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690</v>
      </c>
      <c r="D22" s="6">
        <v>566</v>
      </c>
      <c r="E22" s="9">
        <f>D22+C22</f>
        <v>1256</v>
      </c>
      <c r="F22" s="9" t="s">
        <v>25</v>
      </c>
      <c r="G22" s="9">
        <f>1276+1300+1297+872+627+109+1294+610+1102+1148+1033+670+1344+1215+831+1250+1210+471+640+798+366+625+1365+1335+651+980+1324+300+867+1256</f>
        <v>28166</v>
      </c>
      <c r="H22" s="20"/>
      <c r="I22" s="9">
        <f>E22/M22</f>
        <v>57.0909090909091</v>
      </c>
      <c r="J22" s="21" t="s">
        <v>39</v>
      </c>
      <c r="K22" s="9">
        <f>24+24+24+16+10.5+24+11+24+24+18.5+12+24+22+15+24+24+9+12.5+10.5+5.5+10+24+24+10.5+16.5+24+2.5+14.5+22</f>
        <v>506.5</v>
      </c>
      <c r="L22" s="9">
        <f>G22/K22</f>
        <v>55.609081934847</v>
      </c>
      <c r="M22" s="9">
        <v>22</v>
      </c>
    </row>
    <row r="23" s="1" customFormat="1" ht="29" customHeight="1" spans="1:13">
      <c r="A23" s="6">
        <v>18</v>
      </c>
      <c r="B23" s="7" t="s">
        <v>40</v>
      </c>
      <c r="C23" s="6">
        <v>871</v>
      </c>
      <c r="D23" s="6">
        <v>704</v>
      </c>
      <c r="E23" s="9">
        <f>D23+C23</f>
        <v>1575</v>
      </c>
      <c r="F23" s="9" t="s">
        <v>25</v>
      </c>
      <c r="G23" s="9">
        <f>1599+1727+1633+1108+754+203+1480+725+1293+1315+1177+875+1631+1537+1027+1580+1561+550+688+728+223+814+1724+1735+771+1155+1660+446+1065+1575</f>
        <v>34359</v>
      </c>
      <c r="H23" s="19"/>
      <c r="I23" s="19">
        <f>E23/M22</f>
        <v>71.5909090909091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31.15</v>
      </c>
      <c r="D24" s="6">
        <v>26.79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 t="s">
        <v>168</v>
      </c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169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170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171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5.22+7.46+30.36+0+0+0+0+9.98+0</f>
        <v>53.02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6.25</v>
      </c>
      <c r="D32" s="9">
        <v>6.3</v>
      </c>
      <c r="E32" s="9">
        <f t="shared" si="2"/>
        <v>12.55</v>
      </c>
      <c r="F32" s="9" t="s">
        <v>25</v>
      </c>
      <c r="G32" s="9">
        <f>0+12.54+14.61+8.83+8.25+6.31+12.75+12.64+14.64+6.6+16.71+17.89+12.77+12.73+12.79+12.62+12.52+12.65+12.7+12.64+12.54+12.66+12.57+12.67+12.55</f>
        <v>296.18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38</v>
      </c>
      <c r="D33" s="9">
        <v>5</v>
      </c>
      <c r="E33" s="9">
        <f t="shared" si="2"/>
        <v>43</v>
      </c>
      <c r="F33" s="9" t="s">
        <v>25</v>
      </c>
      <c r="G33" s="9">
        <f>12+6+7+7+7+7+7+12+6+7+3+7+6+11+5+5+5+5+16+2+2+68+5+17+15+20+21+14+23+43</f>
        <v>371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0+0+0+0+0+0+0+0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0</v>
      </c>
      <c r="D35" s="9">
        <v>0</v>
      </c>
      <c r="E35" s="9">
        <f t="shared" si="2"/>
        <v>0</v>
      </c>
      <c r="F35" s="9" t="s">
        <v>14</v>
      </c>
      <c r="G35" s="9">
        <f>0+15.1875+10.8675+8.5455+5.7915+2.484+11.7315+6.6825+12.555+9.963+5.3055+6.129+0+12.0825+0+0+6.1965+0</f>
        <v>113.5215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0+7.0104+7.5072+0+0+0+0+0+0+0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0</v>
      </c>
      <c r="E37" s="9">
        <f t="shared" si="2"/>
        <v>0</v>
      </c>
      <c r="F37" s="9" t="s">
        <v>25</v>
      </c>
      <c r="G37" s="9">
        <f>0+4+305+340+403+80+81+0+0+0+0+0+0+0</f>
        <v>1213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294</v>
      </c>
      <c r="D38" s="9">
        <v>300</v>
      </c>
      <c r="E38" s="9">
        <f t="shared" si="2"/>
        <v>594</v>
      </c>
      <c r="F38" s="9" t="s">
        <v>25</v>
      </c>
      <c r="G38" s="9">
        <f>383+468+416+425+389+535+545+428+465+504+483+415+486+605+649+600+635+619+588+540+500+585+544+539+490+586+647+528+517+594</f>
        <v>15708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0+0+0+0+0+0+0+0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0+0+0+0+0+0+0+0</f>
        <v>0</v>
      </c>
      <c r="H40" s="19"/>
      <c r="I40" s="6">
        <v>1095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0+0+0+0+0+0+0+0</f>
        <v>0</v>
      </c>
      <c r="H41" s="19"/>
      <c r="I41" s="6">
        <v>139.8446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3</v>
      </c>
      <c r="D42" s="6">
        <v>0</v>
      </c>
      <c r="E42" s="9">
        <f>D42+C42</f>
        <v>3</v>
      </c>
      <c r="F42" s="9" t="s">
        <v>34</v>
      </c>
      <c r="G42" s="9">
        <f>0+1+1+1+1+2+1+1+2+3+2+2+2+3+1+2+1+2+3+2+1+6+2+3</f>
        <v>45</v>
      </c>
      <c r="H42" s="19"/>
      <c r="I42" s="9">
        <v>27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abSelected="1" zoomScale="85" zoomScaleNormal="85" workbookViewId="0">
      <selection activeCell="K41" sqref="K41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4" t="s">
        <v>172</v>
      </c>
    </row>
    <row r="2" s="1" customFormat="1" ht="25" customHeight="1" spans="1:1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</row>
    <row r="3" s="1" customFormat="1" ht="47" customHeight="1" spans="1:13">
      <c r="A3" s="6">
        <v>1</v>
      </c>
      <c r="B3" s="7" t="s">
        <v>13</v>
      </c>
      <c r="C3" s="8">
        <v>2.5</v>
      </c>
      <c r="D3" s="8">
        <v>10</v>
      </c>
      <c r="E3" s="9">
        <f t="shared" ref="E3:E12" si="0">C3+D3</f>
        <v>12.5</v>
      </c>
      <c r="F3" s="9" t="s">
        <v>14</v>
      </c>
      <c r="G3" s="9">
        <f>7.5+15.5+13.5+13+6+3+5+10.5+9+8+12.5+9.5+13+17+8.5+13+14.5+9.5+0.5+7.5+4.5+4+8.5+16.5+12.5+6+12.5+15+0+8+12.5</f>
        <v>296.5</v>
      </c>
      <c r="H3" s="9">
        <v>284</v>
      </c>
      <c r="I3" s="9">
        <f>H3-G3</f>
        <v>-12.5</v>
      </c>
      <c r="J3" s="9"/>
      <c r="K3" s="9"/>
      <c r="L3" s="9"/>
      <c r="M3" s="9"/>
    </row>
    <row r="4" s="1" customFormat="1" ht="56" customHeight="1" spans="1:13">
      <c r="A4" s="10">
        <v>2</v>
      </c>
      <c r="B4" s="7" t="s">
        <v>15</v>
      </c>
      <c r="C4" s="8">
        <v>6</v>
      </c>
      <c r="D4" s="8"/>
      <c r="E4" s="9">
        <f t="shared" si="0"/>
        <v>6</v>
      </c>
      <c r="F4" s="9" t="s">
        <v>14</v>
      </c>
      <c r="G4" s="9">
        <f>8+8+20+10+16+2+4+4+10+10+8+12+10+12+18+10+12+16+6+2+12+4+8+16+14+4+12+14+2+6</f>
        <v>290</v>
      </c>
      <c r="H4" s="11"/>
      <c r="I4" s="11"/>
      <c r="J4" s="9"/>
      <c r="K4" s="9"/>
      <c r="L4" s="9"/>
      <c r="M4" s="9"/>
    </row>
    <row r="5" s="1" customFormat="1" ht="56" customHeight="1" spans="1:13">
      <c r="A5" s="10">
        <v>3</v>
      </c>
      <c r="B5" s="7" t="s">
        <v>16</v>
      </c>
      <c r="C5" s="9">
        <v>0</v>
      </c>
      <c r="D5" s="9">
        <v>0</v>
      </c>
      <c r="E5" s="9">
        <f t="shared" si="0"/>
        <v>0</v>
      </c>
      <c r="F5" s="9" t="s">
        <v>14</v>
      </c>
      <c r="G5" s="9">
        <f>196+187+205+143+90+157+39+147+136+138+70+179+197+113+192+190+53+83+96+44+129+0+0+0+0+0+33+0</f>
        <v>2817</v>
      </c>
      <c r="H5" s="9">
        <v>4250</v>
      </c>
      <c r="I5" s="9">
        <f>H5-G5-G7-G6</f>
        <v>335</v>
      </c>
      <c r="J5" s="12"/>
      <c r="K5" s="9"/>
      <c r="L5" s="9"/>
      <c r="M5" s="9"/>
    </row>
    <row r="6" s="1" customFormat="1" ht="45" customHeight="1" spans="1:13">
      <c r="A6" s="13"/>
      <c r="B6" s="7" t="s">
        <v>17</v>
      </c>
      <c r="C6" s="9">
        <v>0</v>
      </c>
      <c r="D6" s="9">
        <v>0</v>
      </c>
      <c r="E6" s="9">
        <f t="shared" si="0"/>
        <v>0</v>
      </c>
      <c r="F6" s="9" t="s">
        <v>14</v>
      </c>
      <c r="G6" s="9">
        <f>0+0+0+0+0+0+0+0+0</f>
        <v>0</v>
      </c>
      <c r="H6" s="13"/>
      <c r="I6" s="13"/>
      <c r="J6" s="9"/>
      <c r="K6" s="9"/>
      <c r="L6" s="9"/>
      <c r="M6" s="9"/>
    </row>
    <row r="7" s="1" customFormat="1" ht="45" customHeight="1" spans="1:13">
      <c r="A7" s="13"/>
      <c r="B7" s="7" t="s">
        <v>18</v>
      </c>
      <c r="C7" s="9">
        <v>0</v>
      </c>
      <c r="D7" s="9">
        <v>0</v>
      </c>
      <c r="E7" s="9">
        <f t="shared" si="0"/>
        <v>0</v>
      </c>
      <c r="F7" s="9" t="s">
        <v>14</v>
      </c>
      <c r="G7" s="9">
        <f>3+1+21+36+3+8+1+8+4+15+72+151+62+108+147+191+12+106+149+0</f>
        <v>1098</v>
      </c>
      <c r="H7" s="13"/>
      <c r="I7" s="13"/>
      <c r="J7" s="9"/>
      <c r="K7" s="9"/>
      <c r="L7" s="9"/>
      <c r="M7" s="9"/>
    </row>
    <row r="8" s="1" customFormat="1" ht="52" customHeight="1" spans="1:13">
      <c r="A8" s="13"/>
      <c r="B8" s="7" t="s">
        <v>19</v>
      </c>
      <c r="C8" s="9">
        <v>0</v>
      </c>
      <c r="D8" s="9">
        <v>0</v>
      </c>
      <c r="E8" s="9">
        <f t="shared" si="0"/>
        <v>0</v>
      </c>
      <c r="F8" s="9" t="s">
        <v>14</v>
      </c>
      <c r="G8" s="9">
        <f>1+2+1+1+0+0+0+0+0+0+0+0</f>
        <v>5</v>
      </c>
      <c r="H8" s="14"/>
      <c r="I8" s="14"/>
      <c r="J8" s="9"/>
      <c r="K8" s="9"/>
      <c r="L8" s="9"/>
      <c r="M8" s="9"/>
    </row>
    <row r="9" s="1" customFormat="1" ht="35" customHeight="1" spans="1:13">
      <c r="A9" s="10">
        <v>4</v>
      </c>
      <c r="B9" s="15" t="s">
        <v>20</v>
      </c>
      <c r="C9" s="11">
        <v>0</v>
      </c>
      <c r="D9" s="11"/>
      <c r="E9" s="9">
        <f t="shared" si="0"/>
        <v>0</v>
      </c>
      <c r="F9" s="11" t="s">
        <v>14</v>
      </c>
      <c r="G9" s="9">
        <f>61.26+31.08+30.92+30.89+30.92+30.94+31.43+30.47+31.06+30.95+30.96+32.98+31.24+30.86+31.12+30.88+31.16+31.14+30.67+0+0+0+0+0</f>
        <v>620.93</v>
      </c>
      <c r="H9" s="11">
        <v>4.6</v>
      </c>
      <c r="I9" s="11">
        <f>H9-K10</f>
        <v>-0.702931000000001</v>
      </c>
      <c r="J9" s="16" t="s">
        <v>145</v>
      </c>
      <c r="K9" s="11">
        <v>4</v>
      </c>
      <c r="L9" s="11">
        <v>0</v>
      </c>
      <c r="M9" s="17"/>
    </row>
    <row r="10" s="1" customFormat="1" ht="25" customHeight="1" spans="1:13">
      <c r="A10" s="6">
        <v>5</v>
      </c>
      <c r="B10" s="7" t="s">
        <v>22</v>
      </c>
      <c r="C10" s="9">
        <v>8.991</v>
      </c>
      <c r="D10" s="9">
        <v>0</v>
      </c>
      <c r="E10" s="9">
        <f t="shared" si="0"/>
        <v>8.991</v>
      </c>
      <c r="F10" s="9" t="s">
        <v>14</v>
      </c>
      <c r="G10" s="9">
        <f>2.916+5.9805+9.315+5.1705+5.103+3.1455+4.0095+7.9245+5.697+5.5215+6.8715+3.1185+6.0885+8.0865+8.4915+3.429+3.753+4.05+8.0595+8.0865+5.13+7.749+8.964+7.83+5.7105+4.7925+3.6855+8.991</f>
        <v>167.67</v>
      </c>
      <c r="H10" s="9"/>
      <c r="I10" s="9">
        <f>G10/(G3*0.1865)</f>
        <v>3.03215801870798</v>
      </c>
      <c r="J10" s="16" t="s">
        <v>146</v>
      </c>
      <c r="K10" s="12">
        <f>0.545214+0.267288+0.265912+0.262565+0.253544+0.26299+0.273441+0.258995+0.26401+0.263075+0.27864+0.283628+0.278036+0.26231+0.26452+0.250128+0.26486+0.255348+0.248427+0+0+0+0+0</f>
        <v>5.302931</v>
      </c>
      <c r="L10" s="9"/>
      <c r="M10" s="9">
        <f>C9*L9/100</f>
        <v>0</v>
      </c>
    </row>
    <row r="11" s="1" customFormat="1" ht="25" customHeight="1" spans="1:13">
      <c r="A11" s="6">
        <v>6</v>
      </c>
      <c r="B11" s="7" t="s">
        <v>23</v>
      </c>
      <c r="C11" s="9">
        <v>13.5608</v>
      </c>
      <c r="D11" s="9">
        <v>0</v>
      </c>
      <c r="E11" s="9">
        <f t="shared" si="0"/>
        <v>13.5608</v>
      </c>
      <c r="F11" s="9" t="s">
        <v>14</v>
      </c>
      <c r="G11" s="9">
        <f>16.5048+12.9536+15.7688+13.2296+12.0336+14.9592+15.7136+9.844+8.8688+13.0272+11.7392+11.4264+17.204+6.348+15.9896+10.2488+7.6728+6.8448+7.636+10.764+10.3408+15.5112+20.4424+3.772+12.9168+15.548+4.0664+13.5608</f>
        <v>334.9352</v>
      </c>
      <c r="H11" s="9"/>
      <c r="I11" s="9">
        <f>G11/(G3*0.1865)</f>
        <v>6.05699560104707</v>
      </c>
      <c r="J11" s="9"/>
      <c r="K11" s="9"/>
      <c r="L11" s="9"/>
      <c r="M11" s="18"/>
    </row>
    <row r="12" s="1" customFormat="1" ht="25" customHeight="1" spans="1:13">
      <c r="A12" s="6">
        <v>7</v>
      </c>
      <c r="B12" s="7" t="s">
        <v>70</v>
      </c>
      <c r="C12" s="9">
        <v>191</v>
      </c>
      <c r="D12" s="9">
        <v>5</v>
      </c>
      <c r="E12" s="9">
        <f t="shared" si="0"/>
        <v>196</v>
      </c>
      <c r="F12" s="9"/>
      <c r="G12" s="9">
        <f>539+277+276+257+154+476+448+237+48+398+415+377+224+494+568+256+510+544+302+167+339+24+221+490+543+438+123+496+316+118+558+196</f>
        <v>10829</v>
      </c>
      <c r="H12" s="9">
        <f>G12*1.05</f>
        <v>11370.45</v>
      </c>
      <c r="I12" s="9"/>
      <c r="J12" s="9"/>
      <c r="K12" s="9"/>
      <c r="L12" s="9"/>
      <c r="M12" s="18"/>
    </row>
    <row r="13" s="1" customFormat="1" ht="30" customHeight="1" spans="1:13">
      <c r="A13" s="6">
        <v>8</v>
      </c>
      <c r="B13" s="7" t="s">
        <v>24</v>
      </c>
      <c r="C13" s="9">
        <v>200</v>
      </c>
      <c r="D13" s="9">
        <v>39</v>
      </c>
      <c r="E13" s="9">
        <f t="shared" ref="E13:E20" si="1">D13+C13</f>
        <v>239</v>
      </c>
      <c r="F13" s="9" t="s">
        <v>25</v>
      </c>
      <c r="G13" s="9">
        <f>327+448+439+411+191+63+175+227+366+299+330+194+432+512+259+438+385+195+96+264+17+142+373+503+420+66+417+304+0+407+239</f>
        <v>8939</v>
      </c>
      <c r="H13" s="9"/>
      <c r="I13" s="9"/>
      <c r="J13" s="12"/>
      <c r="K13" s="9"/>
      <c r="L13" s="9"/>
      <c r="M13" s="9"/>
    </row>
    <row r="14" s="1" customFormat="1" ht="25" customHeight="1" spans="1:13">
      <c r="A14" s="6">
        <v>9</v>
      </c>
      <c r="B14" s="7" t="s">
        <v>26</v>
      </c>
      <c r="C14" s="9">
        <v>463.66</v>
      </c>
      <c r="D14" s="9">
        <v>470.31</v>
      </c>
      <c r="E14" s="9">
        <f t="shared" si="1"/>
        <v>933.97</v>
      </c>
      <c r="F14" s="9" t="s">
        <v>25</v>
      </c>
      <c r="G14" s="9">
        <f>924.88+887.37+839.4+726.66+157.66+466.35+447.5+573.16+853.34+975.93+1104.21+1085.13+757.19+1048.54+778.88+914.25+840.09+207+653.79+361.5+555.75+1127.19+1061.54+1025.65+758.03+366.91+882.66+680.31+647.56+489.72+933.97</f>
        <v>23132.12</v>
      </c>
      <c r="H14" s="9"/>
      <c r="I14" s="9"/>
      <c r="J14" s="16" t="s">
        <v>147</v>
      </c>
      <c r="K14" s="9">
        <v>3.1</v>
      </c>
      <c r="L14" s="9">
        <v>2.84</v>
      </c>
      <c r="M14" s="9"/>
    </row>
    <row r="15" s="1" customFormat="1" ht="25" customHeight="1" spans="1:13">
      <c r="A15" s="6">
        <v>10</v>
      </c>
      <c r="B15" s="7" t="s">
        <v>27</v>
      </c>
      <c r="C15" s="9">
        <v>0</v>
      </c>
      <c r="D15" s="9">
        <v>0</v>
      </c>
      <c r="E15" s="9">
        <f t="shared" si="1"/>
        <v>0</v>
      </c>
      <c r="F15" s="9" t="s">
        <v>14</v>
      </c>
      <c r="G15" s="9">
        <f>0+0+0+0+0+0+0+0+0</f>
        <v>0</v>
      </c>
      <c r="H15" s="9"/>
      <c r="I15" s="9"/>
      <c r="J15" s="16" t="s">
        <v>148</v>
      </c>
      <c r="K15" s="12">
        <f>2.5044003+2.8297459+2.6826627+2.2986316+0.5076652+1.4199265+1.285962+1.7736691+2.3821937+2.6333799+3.3155793+3.115421+2.2531203+3.3063268+2.4512202+2.987732+2.8309653+0.621+2.007521+1.117035+1.6505775+2.9127365+2.9332291+2.8747537+2.1828779+1.1117373+2.5494261+2.3314946+1.9730495+1.510669+2.7730264</f>
        <v>69.1277354</v>
      </c>
      <c r="L15" s="9"/>
      <c r="M15" s="9">
        <f>(C14*K14+L14*D14)/1000</f>
        <v>2.7730264</v>
      </c>
    </row>
    <row r="16" s="1" customFormat="1" ht="25" customHeight="1" spans="1:13">
      <c r="A16" s="6">
        <v>11</v>
      </c>
      <c r="B16" s="7" t="s">
        <v>29</v>
      </c>
      <c r="C16" s="9">
        <v>12</v>
      </c>
      <c r="D16" s="9">
        <v>9</v>
      </c>
      <c r="E16" s="9">
        <f t="shared" si="1"/>
        <v>21</v>
      </c>
      <c r="F16" s="9" t="s">
        <v>14</v>
      </c>
      <c r="G16" s="9">
        <f>24+36+33+32+12+7+12+18+27+21+27+18+33+39+22+33+28+18+7+18+6+9+27+39+30+7+33+28+0+27+21</f>
        <v>692</v>
      </c>
      <c r="H16" s="9"/>
      <c r="I16" s="9">
        <f>G16/(G3*0.1865)</f>
        <v>12.5141847017709</v>
      </c>
      <c r="J16" s="9"/>
      <c r="K16" s="9"/>
      <c r="L16" s="9"/>
      <c r="M16" s="19"/>
    </row>
    <row r="17" s="1" customFormat="1" ht="29" customHeight="1" spans="1:13">
      <c r="A17" s="6">
        <v>12</v>
      </c>
      <c r="B17" s="7" t="s">
        <v>30</v>
      </c>
      <c r="C17" s="6">
        <v>0</v>
      </c>
      <c r="D17" s="6">
        <v>0</v>
      </c>
      <c r="E17" s="9">
        <f t="shared" si="1"/>
        <v>0</v>
      </c>
      <c r="F17" s="9" t="s">
        <v>14</v>
      </c>
      <c r="G17" s="9">
        <f>0+0.15+0.15+0.2+0.15+0.15+0.2+0.15+0.15+0+0+0+0.15+0+0+0.175+0</f>
        <v>1.625</v>
      </c>
      <c r="H17" s="19"/>
      <c r="I17" s="19"/>
      <c r="J17" s="19"/>
      <c r="K17" s="19"/>
      <c r="L17" s="19"/>
      <c r="M17" s="9"/>
    </row>
    <row r="18" s="1" customFormat="1" ht="29" customHeight="1" spans="1:13">
      <c r="A18" s="6">
        <v>13</v>
      </c>
      <c r="B18" s="7" t="s">
        <v>31</v>
      </c>
      <c r="C18" s="9">
        <v>2</v>
      </c>
      <c r="D18" s="6">
        <v>0</v>
      </c>
      <c r="E18" s="9">
        <f t="shared" si="1"/>
        <v>2</v>
      </c>
      <c r="F18" s="9" t="s">
        <v>14</v>
      </c>
      <c r="G18" s="9">
        <f>2+2+2+2+2+2+2+2+2+2+2+2+2+2+2+0+2+0+2+2+0+2</f>
        <v>38</v>
      </c>
      <c r="H18" s="19"/>
      <c r="I18" s="19">
        <f>G18/(G3*0.1865)</f>
        <v>0.68719511368106</v>
      </c>
      <c r="J18" s="19"/>
      <c r="K18" s="19"/>
      <c r="L18" s="19"/>
      <c r="M18" s="9"/>
    </row>
    <row r="19" s="1" customFormat="1" ht="29" customHeight="1" spans="1:13">
      <c r="A19" s="6">
        <v>14</v>
      </c>
      <c r="B19" s="7" t="s">
        <v>32</v>
      </c>
      <c r="C19" s="9">
        <v>1.5</v>
      </c>
      <c r="D19" s="6">
        <v>0</v>
      </c>
      <c r="E19" s="9">
        <f t="shared" si="1"/>
        <v>1.5</v>
      </c>
      <c r="F19" s="9" t="s">
        <v>14</v>
      </c>
      <c r="G19" s="9">
        <f>1.5+1.5+1.5+1.5+1.5+1.5+1.5+1.5+1.5+1.5+1.5+1.5+1.5+1.5+1.5+0+1.5+0+1.5+1.5+0+1.5</f>
        <v>28.5</v>
      </c>
      <c r="H19" s="19"/>
      <c r="I19" s="19">
        <f>G19/(G3*0.1865)</f>
        <v>0.515396335260795</v>
      </c>
      <c r="J19" s="19"/>
      <c r="K19" s="19"/>
      <c r="L19" s="19"/>
      <c r="M19" s="9"/>
    </row>
    <row r="20" s="1" customFormat="1" ht="29" customHeight="1" spans="1:13">
      <c r="A20" s="6">
        <v>15</v>
      </c>
      <c r="B20" s="7" t="s">
        <v>33</v>
      </c>
      <c r="C20" s="9">
        <v>0</v>
      </c>
      <c r="D20" s="6">
        <v>0</v>
      </c>
      <c r="E20" s="9">
        <f t="shared" si="1"/>
        <v>0</v>
      </c>
      <c r="F20" s="9" t="s">
        <v>34</v>
      </c>
      <c r="G20" s="9">
        <f>4+11+5+11+4+2+5+7+5+10+16+8+2+14+6+12+4+11+2+2+10+8+8+6+4+10+4+14+3+0</f>
        <v>208</v>
      </c>
      <c r="H20" s="19"/>
      <c r="I20" s="19"/>
      <c r="J20" s="19"/>
      <c r="K20" s="19"/>
      <c r="L20" s="19"/>
      <c r="M20" s="9"/>
    </row>
    <row r="21" s="1" customFormat="1" ht="29" customHeight="1" spans="1:13">
      <c r="A21" s="6">
        <v>16</v>
      </c>
      <c r="B21" s="7" t="s">
        <v>35</v>
      </c>
      <c r="C21" s="6">
        <v>0</v>
      </c>
      <c r="D21" s="6">
        <v>0</v>
      </c>
      <c r="E21" s="9">
        <v>0</v>
      </c>
      <c r="F21" s="9" t="s">
        <v>34</v>
      </c>
      <c r="G21" s="9">
        <f>0+0+0+0+0+0+0+0+0</f>
        <v>0</v>
      </c>
      <c r="H21" s="19"/>
      <c r="I21" s="19"/>
      <c r="J21" s="12"/>
      <c r="K21" s="19"/>
      <c r="L21" s="19"/>
      <c r="M21" s="9"/>
    </row>
    <row r="22" s="1" customFormat="1" ht="29" customHeight="1" spans="1:13">
      <c r="A22" s="6">
        <v>17</v>
      </c>
      <c r="B22" s="7" t="s">
        <v>38</v>
      </c>
      <c r="C22" s="6">
        <v>80</v>
      </c>
      <c r="D22" s="6">
        <v>53</v>
      </c>
      <c r="E22" s="9">
        <f>D22+C22</f>
        <v>133</v>
      </c>
      <c r="F22" s="9" t="s">
        <v>25</v>
      </c>
      <c r="G22" s="9">
        <f>1276+1300+1297+872+627+109+1294+610+1102+1148+1033+670+1344+1215+831+1250+1210+471+640+798+366+625+1365+1335+651+980+1324+300+867+1256+133</f>
        <v>28299</v>
      </c>
      <c r="H22" s="20"/>
      <c r="I22" s="9" t="e">
        <f>E22/M22</f>
        <v>#DIV/0!</v>
      </c>
      <c r="J22" s="21" t="s">
        <v>39</v>
      </c>
      <c r="K22" s="9">
        <f>24+24+24+16+10.5+24+11+24+24+18.5+12+24+22+15+24+24+9+12.5+10.5+5.5+10+24+24+10.5+16.5+24+2.5+14.5+22+0</f>
        <v>506.5</v>
      </c>
      <c r="L22" s="9">
        <f>G22/K22</f>
        <v>55.8716683119447</v>
      </c>
      <c r="M22" s="9">
        <v>0</v>
      </c>
    </row>
    <row r="23" s="1" customFormat="1" ht="29" customHeight="1" spans="1:13">
      <c r="A23" s="6">
        <v>18</v>
      </c>
      <c r="B23" s="7" t="s">
        <v>40</v>
      </c>
      <c r="C23" s="6">
        <v>0</v>
      </c>
      <c r="D23" s="6">
        <v>235</v>
      </c>
      <c r="E23" s="9">
        <f>D23+C23</f>
        <v>235</v>
      </c>
      <c r="F23" s="9" t="s">
        <v>25</v>
      </c>
      <c r="G23" s="9">
        <f>1599+1727+1633+1108+754+203+1480+725+1293+1315+1177+875+1631+1537+1027+1580+1561+550+688+728+223+814+1724+1735+771+1155+1660+446+1065+1575+235</f>
        <v>34594</v>
      </c>
      <c r="H23" s="19"/>
      <c r="I23" s="19" t="e">
        <f>E23/M22</f>
        <v>#DIV/0!</v>
      </c>
      <c r="J23" s="19"/>
      <c r="K23" s="19"/>
      <c r="L23" s="19"/>
      <c r="M23" s="9"/>
    </row>
    <row r="24" s="1" customFormat="1" ht="29" customHeight="1" spans="1:13">
      <c r="A24" s="6">
        <v>19</v>
      </c>
      <c r="B24" s="7" t="s">
        <v>41</v>
      </c>
      <c r="C24" s="6">
        <v>0</v>
      </c>
      <c r="D24" s="6">
        <v>0</v>
      </c>
      <c r="E24" s="9"/>
      <c r="F24" s="9" t="s">
        <v>42</v>
      </c>
      <c r="G24" s="9"/>
      <c r="H24" s="19"/>
      <c r="I24" s="19"/>
      <c r="J24" s="19"/>
      <c r="K24" s="19"/>
      <c r="L24" s="19"/>
      <c r="M24" s="9"/>
    </row>
    <row r="25" s="1" customFormat="1" ht="149" customHeight="1" spans="1:13">
      <c r="A25" s="6">
        <v>20</v>
      </c>
      <c r="B25" s="22" t="s">
        <v>43</v>
      </c>
      <c r="C25" s="23" t="s">
        <v>168</v>
      </c>
      <c r="D25" s="24"/>
      <c r="E25" s="24"/>
      <c r="F25" s="24"/>
      <c r="G25" s="24"/>
      <c r="H25" s="24"/>
      <c r="I25" s="24"/>
      <c r="J25" s="24"/>
      <c r="K25" s="24"/>
      <c r="L25" s="25"/>
      <c r="M25" s="23"/>
    </row>
    <row r="26" s="1" customFormat="1" ht="130" customHeight="1" spans="1:13">
      <c r="A26" s="6">
        <v>21</v>
      </c>
      <c r="B26" s="26" t="s">
        <v>45</v>
      </c>
      <c r="C26" s="23" t="s">
        <v>127</v>
      </c>
      <c r="D26" s="24"/>
      <c r="E26" s="24"/>
      <c r="F26" s="24"/>
      <c r="G26" s="24"/>
      <c r="H26" s="24"/>
      <c r="I26" s="24"/>
      <c r="J26" s="24"/>
      <c r="K26" s="24"/>
      <c r="L26" s="25"/>
      <c r="M26" s="26"/>
    </row>
    <row r="27" s="1" customFormat="1" ht="130" customHeight="1" spans="1:13">
      <c r="A27" s="6">
        <v>22</v>
      </c>
      <c r="B27" s="26" t="s">
        <v>47</v>
      </c>
      <c r="C27" s="27" t="s">
        <v>173</v>
      </c>
      <c r="D27" s="24"/>
      <c r="E27" s="24"/>
      <c r="F27" s="24"/>
      <c r="G27" s="24"/>
      <c r="H27" s="24"/>
      <c r="I27" s="24"/>
      <c r="J27" s="24"/>
      <c r="K27" s="24"/>
      <c r="L27" s="25"/>
      <c r="M27" s="26"/>
    </row>
    <row r="28" s="1" customFormat="1" ht="14" customHeight="1" spans="1:13">
      <c r="C28" s="28"/>
      <c r="D28" s="28"/>
    </row>
    <row r="29" s="1" customFormat="1" ht="25" customHeight="1" spans="1:13">
      <c r="A29" s="4" t="s">
        <v>174</v>
      </c>
    </row>
    <row r="30" s="1" customFormat="1" ht="25" customHeight="1" spans="1:13">
      <c r="A30" s="5" t="s">
        <v>50</v>
      </c>
      <c r="B30" s="5" t="s">
        <v>51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7</v>
      </c>
      <c r="I30" s="5" t="s">
        <v>8</v>
      </c>
      <c r="J30" s="5" t="s">
        <v>9</v>
      </c>
      <c r="K30" s="5" t="s">
        <v>10</v>
      </c>
      <c r="L30" s="5" t="s">
        <v>11</v>
      </c>
      <c r="M30" s="5" t="s">
        <v>12</v>
      </c>
    </row>
    <row r="31" s="1" customFormat="1" ht="25" customHeight="1" spans="1:13">
      <c r="A31" s="6">
        <v>1</v>
      </c>
      <c r="B31" s="7" t="s">
        <v>52</v>
      </c>
      <c r="C31" s="9">
        <v>0</v>
      </c>
      <c r="D31" s="9">
        <v>0</v>
      </c>
      <c r="E31" s="9">
        <f t="shared" ref="E31:E39" si="2">D31+C31</f>
        <v>0</v>
      </c>
      <c r="F31" s="9" t="s">
        <v>25</v>
      </c>
      <c r="G31" s="9">
        <f>5.22+7.46+30.36+0+0+0+0+9.98+0+0</f>
        <v>53.02</v>
      </c>
      <c r="H31" s="9"/>
      <c r="I31" s="9"/>
      <c r="J31" s="19"/>
      <c r="K31" s="19"/>
      <c r="L31" s="19"/>
      <c r="M31" s="9"/>
    </row>
    <row r="32" s="1" customFormat="1" ht="25" customHeight="1" spans="1:13">
      <c r="A32" s="6">
        <v>2</v>
      </c>
      <c r="B32" s="7" t="s">
        <v>53</v>
      </c>
      <c r="C32" s="9">
        <v>6.27</v>
      </c>
      <c r="D32" s="9">
        <v>9.42</v>
      </c>
      <c r="E32" s="9">
        <f t="shared" si="2"/>
        <v>15.69</v>
      </c>
      <c r="F32" s="9" t="s">
        <v>25</v>
      </c>
      <c r="G32" s="9">
        <f>0+12.54+14.61+8.83+8.25+6.31+12.75+12.64+14.64+6.6+16.71+17.89+12.77+12.73+12.79+12.62+12.52+12.65+12.7+12.64+12.54+12.66+12.57+12.67+12.55+15.69</f>
        <v>311.87</v>
      </c>
      <c r="H32" s="9"/>
      <c r="I32" s="9"/>
      <c r="J32" s="19"/>
      <c r="K32" s="19"/>
      <c r="L32" s="19"/>
      <c r="M32" s="18"/>
    </row>
    <row r="33" s="1" customFormat="1" ht="25" customHeight="1" spans="1:13">
      <c r="A33" s="6">
        <v>3</v>
      </c>
      <c r="B33" s="7" t="s">
        <v>54</v>
      </c>
      <c r="C33" s="9">
        <v>28</v>
      </c>
      <c r="D33" s="9">
        <v>0</v>
      </c>
      <c r="E33" s="9">
        <f t="shared" si="2"/>
        <v>28</v>
      </c>
      <c r="F33" s="9" t="s">
        <v>25</v>
      </c>
      <c r="G33" s="9">
        <f>12+6+7+7+7+7+7+12+6+7+3+7+6+11+5+5+5+5+16+2+2+68+5+17+15+20+21+14+23+43+28</f>
        <v>399</v>
      </c>
      <c r="H33" s="9"/>
      <c r="I33" s="9"/>
      <c r="J33" s="19"/>
      <c r="K33" s="19"/>
      <c r="L33" s="19"/>
      <c r="M33" s="18"/>
    </row>
    <row r="34" s="1" customFormat="1" ht="25" customHeight="1" spans="1:13">
      <c r="A34" s="6">
        <v>4</v>
      </c>
      <c r="B34" s="7" t="s">
        <v>55</v>
      </c>
      <c r="C34" s="9">
        <v>0</v>
      </c>
      <c r="D34" s="9">
        <v>0</v>
      </c>
      <c r="E34" s="9">
        <f t="shared" si="2"/>
        <v>0</v>
      </c>
      <c r="F34" s="9" t="s">
        <v>25</v>
      </c>
      <c r="G34" s="9">
        <f>0+0+0+0+0+0+0+0+0</f>
        <v>0</v>
      </c>
      <c r="H34" s="9"/>
      <c r="I34" s="9"/>
      <c r="J34" s="19"/>
      <c r="K34" s="19"/>
      <c r="L34" s="19"/>
      <c r="M34" s="18"/>
    </row>
    <row r="35" s="1" customFormat="1" ht="25" customHeight="1" spans="1:13">
      <c r="A35" s="6">
        <v>5</v>
      </c>
      <c r="B35" s="7" t="s">
        <v>22</v>
      </c>
      <c r="C35" s="9">
        <v>13.797</v>
      </c>
      <c r="D35" s="9">
        <v>0</v>
      </c>
      <c r="E35" s="9">
        <f t="shared" si="2"/>
        <v>13.797</v>
      </c>
      <c r="F35" s="9" t="s">
        <v>14</v>
      </c>
      <c r="G35" s="9">
        <f>0+15.1875+10.8675+8.5455+5.7915+2.484+11.7315+6.6825+12.555+9.963+5.3055+6.129+0+12.0825+0+0+6.1965+0+13.797</f>
        <v>127.3185</v>
      </c>
      <c r="H35" s="9"/>
      <c r="J35" s="19"/>
      <c r="K35" s="19"/>
      <c r="L35" s="19"/>
      <c r="M35" s="19"/>
    </row>
    <row r="36" s="1" customFormat="1" ht="25" customHeight="1" spans="1:13">
      <c r="A36" s="6">
        <v>6</v>
      </c>
      <c r="B36" s="7" t="s">
        <v>23</v>
      </c>
      <c r="C36" s="9">
        <v>0</v>
      </c>
      <c r="D36" s="9">
        <v>0</v>
      </c>
      <c r="E36" s="9">
        <f t="shared" si="2"/>
        <v>0</v>
      </c>
      <c r="F36" s="9" t="s">
        <v>14</v>
      </c>
      <c r="G36" s="9">
        <f>0+7.0104+7.5072+0+0+0+0+0+0+0+0</f>
        <v>14.5176</v>
      </c>
      <c r="H36" s="9"/>
      <c r="I36" s="9"/>
      <c r="J36" s="12"/>
      <c r="K36" s="19"/>
      <c r="L36" s="19"/>
      <c r="M36" s="19"/>
    </row>
    <row r="37" s="1" customFormat="1" ht="25" customHeight="1" spans="1:13">
      <c r="A37" s="6">
        <v>7</v>
      </c>
      <c r="B37" s="7" t="s">
        <v>57</v>
      </c>
      <c r="C37" s="9">
        <v>0</v>
      </c>
      <c r="D37" s="9">
        <v>52</v>
      </c>
      <c r="E37" s="9">
        <f t="shared" si="2"/>
        <v>52</v>
      </c>
      <c r="F37" s="9" t="s">
        <v>25</v>
      </c>
      <c r="G37" s="9">
        <f>0+4+305+340+403+80+81+0+0+0+0+0+0+0+52</f>
        <v>1265</v>
      </c>
      <c r="H37" s="9"/>
      <c r="I37" s="9"/>
      <c r="J37" s="29"/>
      <c r="K37" s="19"/>
      <c r="L37" s="9"/>
      <c r="M37" s="19"/>
    </row>
    <row r="38" s="1" customFormat="1" ht="27" customHeight="1" spans="1:13">
      <c r="A38" s="6">
        <v>8</v>
      </c>
      <c r="B38" s="7" t="s">
        <v>58</v>
      </c>
      <c r="C38" s="9">
        <v>296</v>
      </c>
      <c r="D38" s="9">
        <v>286</v>
      </c>
      <c r="E38" s="9">
        <f t="shared" si="2"/>
        <v>582</v>
      </c>
      <c r="F38" s="9" t="s">
        <v>25</v>
      </c>
      <c r="G38" s="9">
        <f>383+468+416+425+389+535+545+428+465+504+483+415+486+605+649+600+635+619+588+540+500+585+544+539+490+586+647+528+517+594+582</f>
        <v>16290</v>
      </c>
      <c r="H38" s="9"/>
      <c r="I38" s="9"/>
      <c r="J38" s="30"/>
      <c r="K38" s="19"/>
      <c r="L38" s="9"/>
      <c r="M38" s="19"/>
    </row>
    <row r="39" s="1" customFormat="1" ht="25" customHeight="1" spans="1:13">
      <c r="A39" s="6">
        <v>9</v>
      </c>
      <c r="B39" s="7" t="s">
        <v>59</v>
      </c>
      <c r="C39" s="9">
        <v>0</v>
      </c>
      <c r="D39" s="9">
        <v>0</v>
      </c>
      <c r="E39" s="31">
        <f t="shared" si="2"/>
        <v>0</v>
      </c>
      <c r="F39" s="9" t="s">
        <v>25</v>
      </c>
      <c r="G39" s="9">
        <f>0+0+0+0+0+0+0+0+0</f>
        <v>0</v>
      </c>
      <c r="H39" s="9"/>
      <c r="I39" s="9"/>
      <c r="J39" s="30"/>
      <c r="K39" s="32"/>
      <c r="L39" s="9"/>
      <c r="M39" s="19"/>
    </row>
    <row r="40" s="1" customFormat="1" ht="25" customHeight="1" spans="1:13">
      <c r="A40" s="6">
        <v>10</v>
      </c>
      <c r="B40" s="7" t="s">
        <v>60</v>
      </c>
      <c r="C40" s="9">
        <v>0</v>
      </c>
      <c r="D40" s="9">
        <v>0</v>
      </c>
      <c r="E40" s="9">
        <f>C40+D40</f>
        <v>0</v>
      </c>
      <c r="F40" s="9" t="s">
        <v>25</v>
      </c>
      <c r="G40" s="9">
        <f>0+0+0+0+0+0+0+0+0</f>
        <v>0</v>
      </c>
      <c r="H40" s="19"/>
      <c r="I40" s="6">
        <v>847.5</v>
      </c>
      <c r="J40" s="12"/>
      <c r="K40" s="33"/>
      <c r="L40" s="23"/>
      <c r="M40" s="34"/>
    </row>
    <row r="41" s="1" customFormat="1" ht="25" customHeight="1" spans="1:13">
      <c r="A41" s="6">
        <v>11</v>
      </c>
      <c r="B41" s="7" t="s">
        <v>61</v>
      </c>
      <c r="C41" s="9">
        <v>0</v>
      </c>
      <c r="D41" s="9">
        <v>0</v>
      </c>
      <c r="E41" s="9">
        <f>C41+D41</f>
        <v>0</v>
      </c>
      <c r="F41" s="9" t="s">
        <v>25</v>
      </c>
      <c r="G41" s="9">
        <f>0+0+0+0+0+0+0+0+0</f>
        <v>0</v>
      </c>
      <c r="H41" s="19"/>
      <c r="I41" s="6">
        <v>134.633</v>
      </c>
      <c r="J41" s="23"/>
      <c r="K41" s="33"/>
      <c r="L41" s="23"/>
      <c r="M41" s="34"/>
    </row>
    <row r="42" s="1" customFormat="1" ht="25" customHeight="1" spans="1:13">
      <c r="A42" s="6">
        <v>12</v>
      </c>
      <c r="B42" s="7" t="s">
        <v>62</v>
      </c>
      <c r="C42" s="6">
        <v>3</v>
      </c>
      <c r="D42" s="6">
        <v>0</v>
      </c>
      <c r="E42" s="9">
        <f>D42+C42</f>
        <v>3</v>
      </c>
      <c r="F42" s="9" t="s">
        <v>34</v>
      </c>
      <c r="G42" s="9">
        <f>0+1+1+1+1+2+1+1+2+3+2+2+2+3+1+2+1+2+3+2+1+6+2+3+3</f>
        <v>48</v>
      </c>
      <c r="H42" s="19"/>
      <c r="I42" s="9">
        <v>20</v>
      </c>
      <c r="J42" s="23"/>
      <c r="K42" s="23"/>
      <c r="L42" s="23"/>
      <c r="M42" s="34"/>
    </row>
    <row r="43" s="1" customFormat="1" ht="78" customHeight="1" spans="1:13">
      <c r="A43" s="6">
        <v>13</v>
      </c>
      <c r="B43" s="35" t="s">
        <v>47</v>
      </c>
      <c r="C43" s="36" t="s">
        <v>119</v>
      </c>
      <c r="D43" s="37"/>
      <c r="E43" s="37"/>
      <c r="F43" s="37"/>
      <c r="G43" s="37"/>
      <c r="H43" s="37"/>
      <c r="I43" s="37"/>
      <c r="J43" s="37"/>
      <c r="K43" s="37"/>
      <c r="L43" s="38"/>
      <c r="M43" s="39"/>
    </row>
    <row r="44" s="1" customFormat="1" spans="1:13">
      <c r="A44" s="34" t="s">
        <v>64</v>
      </c>
      <c r="B44" s="40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="1" customFormat="1" spans="1:13">
      <c r="A45" s="13"/>
      <c r="B45" s="41"/>
      <c r="M45" s="42"/>
    </row>
    <row r="46" s="1" customFormat="1" spans="1:13">
      <c r="A46" s="13"/>
      <c r="B46" s="41"/>
      <c r="M46" s="42"/>
    </row>
    <row r="47" s="1" customFormat="1" spans="1:13">
      <c r="A47" s="13"/>
      <c r="B47" s="41"/>
      <c r="M47" s="42"/>
    </row>
    <row r="48" s="1" customFormat="1" spans="1:13">
      <c r="A48" s="13"/>
      <c r="B48" s="41"/>
      <c r="M48" s="42"/>
    </row>
    <row r="49" s="1" customFormat="1" spans="1:13">
      <c r="A49" s="13"/>
      <c r="B49" s="41"/>
      <c r="M49" s="42"/>
    </row>
    <row r="50" s="1" customFormat="1" spans="1:13">
      <c r="A50" s="13"/>
      <c r="B50" s="41"/>
      <c r="M50" s="42"/>
    </row>
    <row r="51" s="1" customFormat="1" spans="1:13">
      <c r="A51" s="13"/>
      <c r="B51" s="41"/>
      <c r="M51" s="42"/>
    </row>
    <row r="52" s="1" customFormat="1" ht="12" customHeight="1" spans="1:13">
      <c r="A52" s="13"/>
      <c r="B52" s="41"/>
      <c r="M52" s="42"/>
    </row>
    <row r="53" s="1" customFormat="1" hidden="1" spans="1:13">
      <c r="A53" s="13"/>
      <c r="B53" s="41"/>
      <c r="M53" s="42"/>
    </row>
    <row r="54" s="1" customFormat="1" hidden="1" spans="1:13">
      <c r="A54" s="13"/>
      <c r="B54" s="41"/>
      <c r="M54" s="42"/>
    </row>
    <row r="55" spans="1:13">
      <c r="A55" s="14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</row>
    <row r="63" s="1" customFormat="1" spans="1:13">
      <c r="C63" s="28"/>
      <c r="D63" s="28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2.28</vt:lpstr>
      <vt:lpstr>3.01</vt:lpstr>
      <vt:lpstr>3.02</vt:lpstr>
      <vt:lpstr>3.03</vt:lpstr>
      <vt:lpstr>3.04</vt:lpstr>
      <vt:lpstr>3.05</vt:lpstr>
      <vt:lpstr>3.06</vt:lpstr>
      <vt:lpstr>3.07</vt:lpstr>
      <vt:lpstr>3.08</vt:lpstr>
      <vt:lpstr>3.09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  <vt:lpstr>3.24</vt:lpstr>
      <vt:lpstr>3.25</vt:lpstr>
      <vt:lpstr>3.26</vt:lpstr>
      <vt:lpstr>3.27</vt:lpstr>
      <vt:lpstr>3.28</vt:lpstr>
      <vt:lpstr>3.29</vt:lpstr>
      <vt:lpstr>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2026-03-31T06:21:51Z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DF9232FFD43A4997B82771964E172AA3_13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