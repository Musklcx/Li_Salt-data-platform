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睿勤统计员\1_生产报表\2026\8月\"/>
    </mc:Choice>
  </mc:AlternateContent>
  <bookViews>
    <workbookView windowWidth="28800" windowHeight="12375" firstSheet="11" activeTab="30"/>
  </bookViews>
  <sheets>
    <sheet name="7.31" sheetId="1" r:id="rId1"/>
    <sheet name="8.1" sheetId="2" r:id="rId2"/>
    <sheet name="8.2" sheetId="3" r:id="rId3"/>
    <sheet name="8.3" sheetId="4" r:id="rId4"/>
    <sheet name="8.4" sheetId="5" r:id="rId5"/>
    <sheet name="8.5" sheetId="6" r:id="rId6"/>
    <sheet name="8.6" sheetId="7" r:id="rId7"/>
    <sheet name="8.7" sheetId="8" r:id="rId8"/>
    <sheet name="8.8" sheetId="9" r:id="rId9"/>
    <sheet name="8.9" sheetId="10" r:id="rId10"/>
    <sheet name="8.10" sheetId="11" r:id="rId11"/>
    <sheet name="8.11" sheetId="12" r:id="rId12"/>
    <sheet name="8.12" sheetId="13" r:id="rId13"/>
    <sheet name="8.13" sheetId="14" r:id="rId14"/>
    <sheet name="8.14" sheetId="15" r:id="rId15"/>
    <sheet name="8.15" sheetId="16" r:id="rId16"/>
    <sheet name="8.16" sheetId="17" r:id="rId17"/>
    <sheet name="8.17" sheetId="18" r:id="rId18"/>
    <sheet name="8.18" sheetId="19" r:id="rId19"/>
    <sheet name="8.19" sheetId="20" r:id="rId20"/>
    <sheet name="8.20" sheetId="21" r:id="rId21"/>
    <sheet name="8.21" sheetId="22" r:id="rId22"/>
    <sheet name="8.22" sheetId="23" r:id="rId23"/>
    <sheet name="8.23" sheetId="24" r:id="rId24"/>
    <sheet name="8.24" sheetId="25" r:id="rId25"/>
    <sheet name="8.25" sheetId="26" r:id="rId26"/>
    <sheet name="8.26" sheetId="27" r:id="rId27"/>
    <sheet name="8.27" sheetId="28" r:id="rId28"/>
    <sheet name="8.28" sheetId="29" r:id="rId29"/>
    <sheet name="8.29" sheetId="30" r:id="rId30"/>
    <sheet name="8.30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3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3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sharedStrings.xml><?xml version="1.0" encoding="utf-8"?>
<sst xmlns="http://schemas.openxmlformats.org/spreadsheetml/2006/main" count="3533" uniqueCount="216">
  <si>
    <t>103车间7月30日生产情况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</si>
  <si>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</si>
  <si>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</si>
  <si>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</si>
  <si>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</si>
  <si>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</si>
  <si>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</si>
  <si>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</si>
  <si>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</si>
  <si>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</si>
  <si>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</si>
  <si>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</si>
  <si>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</si>
  <si>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</si>
  <si>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</si>
  <si>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碳酸锂(入库数量)</t>
  </si>
  <si>
    <t>硫酸钠（干料）</t>
  </si>
  <si>
    <t>硫酸钠（湿料）</t>
  </si>
  <si>
    <t>硫酸钠杂质料</t>
  </si>
  <si>
    <t>硫酸钠落地料</t>
  </si>
  <si>
    <t>外售磷酸锂母液</t>
  </si>
  <si>
    <t>外售硫酸锂</t>
  </si>
  <si>
    <t>剩余硫酸锂量（吨）：</t>
  </si>
  <si>
    <t>液碱</t>
  </si>
  <si>
    <t>累计外卖硫酸锂金属量：</t>
  </si>
  <si>
    <t>硫酸</t>
  </si>
  <si>
    <t>除杂退料</t>
  </si>
  <si>
    <t>m³</t>
  </si>
  <si>
    <t>合成前液</t>
  </si>
  <si>
    <t>接102气浮除油后液</t>
  </si>
  <si>
    <t>气浮除油锂金属量：</t>
  </si>
  <si>
    <t>碳酸钠</t>
  </si>
  <si>
    <t>累计接料锂金属量：</t>
  </si>
  <si>
    <t>偏铝酸钠</t>
  </si>
  <si>
    <t>磷酸三钠</t>
  </si>
  <si>
    <t>除氟剂</t>
  </si>
  <si>
    <t>活性炭</t>
  </si>
  <si>
    <t>活性炭渣</t>
  </si>
  <si>
    <t>包</t>
  </si>
  <si>
    <t>冷凝水</t>
  </si>
  <si>
    <t>蒸发累计时长\平均蒸发量：</t>
  </si>
  <si>
    <t>蒸发前液进料累计量</t>
  </si>
  <si>
    <t>二效氯离子量</t>
  </si>
  <si>
    <t>g/L</t>
  </si>
  <si>
    <t>昨日设备维护完成情况（白班）</t>
  </si>
  <si>
    <t>压榨水区域清理</t>
  </si>
  <si>
    <t>已完成</t>
  </si>
  <si>
    <t>今日设备维护计划（白班）</t>
  </si>
  <si>
    <t>法兰保护罩安装、纯水区域卫生</t>
  </si>
  <si>
    <t>昨日设备维护完成情况（夜班）</t>
  </si>
  <si>
    <t>一楼罐区清理</t>
  </si>
  <si>
    <t>未完成</t>
  </si>
  <si>
    <t>今日设备维护计划（夜班）</t>
  </si>
  <si>
    <t>法兰保护罩安装、一楼罐区清理</t>
  </si>
  <si>
    <t>工作安排</t>
  </si>
  <si>
    <t>1、正常生产，消防设施点检；
2、研究磷酸锂母液管道改造;
2、安全隐患整改；
3、夜班加强管道巡检，做好岗位卫生。</t>
  </si>
  <si>
    <t>需协调事项</t>
  </si>
  <si>
    <t>1、车间需确定元明粉出干料的日期。</t>
  </si>
  <si>
    <t>104车间7月30日生产情况</t>
  </si>
  <si>
    <t>序号</t>
  </si>
  <si>
    <t>内容</t>
  </si>
  <si>
    <t>接102废液</t>
  </si>
  <si>
    <t>接102返镁液</t>
  </si>
  <si>
    <t>接生活废水</t>
  </si>
  <si>
    <t>使用自来水</t>
  </si>
  <si>
    <t>外排水</t>
  </si>
  <si>
    <t>雨水池处理量</t>
  </si>
  <si>
    <t>除COD池处理量</t>
  </si>
  <si>
    <t>磷酸锂包数：</t>
  </si>
  <si>
    <t>钴渣产出</t>
  </si>
  <si>
    <t>104剩余渣总数：</t>
  </si>
  <si>
    <t>计划情况</t>
  </si>
  <si>
    <t>1、下雨应急水池关闭，外排打开；
2、104正常处理废水；</t>
  </si>
  <si>
    <t>103车间8月1日生产情况</t>
  </si>
  <si>
    <t>一次浆洗C、D釜清理</t>
  </si>
  <si>
    <t>一次浆洗A、B釜清理</t>
  </si>
  <si>
    <t>1、正常生产；
2、检查螺丝抹黄油情况；
3、夜班加强管道巡检，做好岗位卫生。</t>
  </si>
  <si>
    <t>104车间8月1日生产情况</t>
  </si>
  <si>
    <t>103车间8月2日生产情况</t>
  </si>
  <si>
    <t>除氟A、B、C釜</t>
  </si>
  <si>
    <t>二次浆洗C、D釜</t>
  </si>
  <si>
    <t>1、正常生产；
2、检查螺丝抹黄油情况；
3、硫酸锂管道改造；
4、注意安全，成品岗位注意观察产品情况。</t>
  </si>
  <si>
    <t>104车间8月2日生产情况</t>
  </si>
  <si>
    <t>103车间8月3日生产情况</t>
  </si>
  <si>
    <t>除氟D、E、F釜</t>
  </si>
  <si>
    <t>1、正常生产，尽快往后赶；
2、磷酸锂母液往雨水池放，放完后将磷酸锂合成釜料压走；
3、氯根高退外卖硫酸锂；
4、注意防暑，做好责任区卫生。</t>
  </si>
  <si>
    <t>104车间8月3日生产情况</t>
  </si>
  <si>
    <t>103车间8月4日生产情况</t>
  </si>
  <si>
    <t>除杂罐螺丝抹黄油不合格</t>
  </si>
  <si>
    <t>纯水处5个罐卫生</t>
  </si>
  <si>
    <t>1、正常生产；
2、注意纯水、刷漆；
3、注意卫生、纪律、安全，防止中暑。</t>
  </si>
  <si>
    <t>104车间8月4日生产情况</t>
  </si>
  <si>
    <t>103车间8月5日生产情况</t>
  </si>
  <si>
    <t>除杂罐螺丝抹黄油</t>
  </si>
  <si>
    <t>卸渣区内外清理，包括袋子及杂物</t>
  </si>
  <si>
    <t>4.5米层中间管顶卫生</t>
  </si>
  <si>
    <t>1、纯水托盘送走；
2、正常生产；
3、关注离心机下料；
4、注意安全、卫生加强，防止中暑。</t>
  </si>
  <si>
    <t>104车间8月5日生产情况</t>
  </si>
  <si>
    <t>103车间8月6日生产情况</t>
  </si>
  <si>
    <t>除重D,除氟C压滤机</t>
  </si>
  <si>
    <t>合成A、B、C釜</t>
  </si>
  <si>
    <t>1、正常生产；
2、车间内施工监护；
3、班组安全、区域内6S整理；
4、夜班加强巡检，遵守劳动纪律。</t>
  </si>
  <si>
    <t>104车间8月6日生产情况</t>
  </si>
  <si>
    <t>103车间8月7日生产情况</t>
  </si>
  <si>
    <t>室外锂酸锂压滤机清理</t>
  </si>
  <si>
    <t>班组压滤机清理、卸渣区卫生清理</t>
  </si>
  <si>
    <t>1、正常生产；
2、压滤机卫生，卸渣区卫生；
3、岗位设备点检、记录；
4、夜班加强巡检，做好记录。</t>
  </si>
  <si>
    <t>104车间8月7日生产情况</t>
  </si>
  <si>
    <t>103车间8月8日生产情况</t>
  </si>
  <si>
    <t>一次洗液、碳酸钠渣浆化槽</t>
  </si>
  <si>
    <t>9m层整理</t>
  </si>
  <si>
    <t>1、正常生产；
2、岗位设备点检、记录；
3、夜班加强巡检，做好记录。</t>
  </si>
  <si>
    <t>104车间8月8日生产情况</t>
  </si>
  <si>
    <t>103车间8月9日生产情况</t>
  </si>
  <si>
    <t>8m层西侧地面清理</t>
  </si>
  <si>
    <t>清洗蒸发前液储槽</t>
  </si>
  <si>
    <t>1、正常生产，夜班没料停蒸发；
2、岗位设备点检、记录；
3、夜班加强巡检，做好记录。</t>
  </si>
  <si>
    <t>104车间8月9日生产情况</t>
  </si>
  <si>
    <t>103车间8月10日生产情况</t>
  </si>
  <si>
    <t>清洗预热器、一效、二效</t>
  </si>
  <si>
    <t>1、蒸发停机清洗；
2、岗位设备点检、记录；
3、夜班加强巡检，做好记录。</t>
  </si>
  <si>
    <t>104车间8月10日生产情况</t>
  </si>
  <si>
    <t>103车间8月11日生产情况</t>
  </si>
  <si>
    <t>更换滤布、清洗碳酸锂母液储槽</t>
  </si>
  <si>
    <t>班长巡检设备</t>
  </si>
  <si>
    <t>1、车间停产；
2、更换滤布，碳酸锂母液储槽清洗；
3、夜班加强巡检。</t>
  </si>
  <si>
    <t>104车间8月11日生产情况</t>
  </si>
  <si>
    <t>103车间8月12日生产情况</t>
  </si>
  <si>
    <t>作业监护、巡检</t>
  </si>
  <si>
    <t>巡检</t>
  </si>
  <si>
    <t>1、车间停产；
2、旋液分离器管路对接；
3、地坑去除氟A管道、翻板液去地坑管道对接、除重E母液管道和蒸发预调D进料管道更换。</t>
  </si>
  <si>
    <t>104车间8月12日生产情况</t>
  </si>
  <si>
    <t>103车间8月13日生产情况</t>
  </si>
  <si>
    <t>1、合成D、E釜进料盘管清理；
2、旋液分离器管路对接；
3、维修碳酸钠投料区上方蒸汽管道法兰处漏；
4、MVR处防腐贴砖、硫酸钠离心机处防腐、203沸腾床及包装设备除锈刷漆；
5、60t蒸发二楼元明粉离心机管道固定。</t>
  </si>
  <si>
    <t>104车间8月13日生产情况</t>
  </si>
  <si>
    <t>1、下雨应急水池关闭，外排打开。</t>
  </si>
  <si>
    <t>103车间8月14日生产情况</t>
  </si>
  <si>
    <t>1、纯水罐废水泵出口安装阀门；
2、合成E釜气动底阀维修；
3、MVR处防腐贴砖、硫酸钠离心机处防腐、203沸腾床及包装设备除锈刷漆。</t>
  </si>
  <si>
    <t>104车间8月14日生产情况</t>
  </si>
  <si>
    <t>103车间8月15日生产情况</t>
  </si>
  <si>
    <t>1、MVR处防腐贴砖、硫酸钠离心机处防腐、203沸腾床及包装设备除锈刷漆；
2、硫酸泵进口塑料管道拆除。</t>
  </si>
  <si>
    <t>104车间8月15日生产情况</t>
  </si>
  <si>
    <t>103车间8月16日生产情况</t>
  </si>
  <si>
    <t>管道设施试漏，准备生产</t>
  </si>
  <si>
    <t>清理卫生、正常生产</t>
  </si>
  <si>
    <t>1、MVR碰头管道口、新安旋液分离器管路试漏，没问题后MVR开始升温；
2、纯水泵，冷凝水泵启停及管路试漏，纯水系统开车，新纯水罐制水；
3、其它泵维修、管道焊接碰口处及尾气系统试漏；
4、硫酸钠离心机处防腐、203沸腾床及包装设备除锈刷漆。</t>
  </si>
  <si>
    <t>104车间8月16日生产情况</t>
  </si>
  <si>
    <t>103车间8月17日生产情况</t>
  </si>
  <si>
    <t>现场检查，正常生产</t>
  </si>
  <si>
    <t>清洁卫生、正常生产</t>
  </si>
  <si>
    <t>1、尾气疏水阀需拆开检查，温度上不来；
2、尾气液位和气动调节阀连锁，尾气溢流管去地坑恢复；
3、停机时二效循环泵机封漏需更换；
4、MVR冷却塔需增加冷凝水补水管路自来水停水时好补充，避免停机漆；
5、旋流器清液法兰漏液。</t>
  </si>
  <si>
    <t>104车间8月17日生产情况</t>
  </si>
  <si>
    <t>103车间8月18日生产情况</t>
  </si>
  <si>
    <t>MVR三楼新设备、旋液分离器螺丝抹黄油</t>
  </si>
  <si>
    <t>MVR罐区管道，设备螺丝黄油</t>
  </si>
  <si>
    <t>1、沸腾床压床问题查找；
2、正常生产,抓紧往后倒料追产量；
3、班组责任区域清理；
4、夜班加强巡检.遵守劳动纪律。</t>
  </si>
  <si>
    <t>104车间8月18日生产情况</t>
  </si>
  <si>
    <t>103车间8月19日生产情况</t>
  </si>
  <si>
    <t>9米层清理</t>
  </si>
  <si>
    <t>1、正常生产,抓紧往后倒料追产量；
2、203尾气进料管道维修，尾气先加冷凝水；
3、注意高温中暑，身体不适及时到休息室休息；
4、夜班加强巡检，及时发现设备问题。</t>
  </si>
  <si>
    <t>104车间8月19日生产情况</t>
  </si>
  <si>
    <t>103车间8月20日生产情况</t>
  </si>
  <si>
    <t>103自来水制纯水</t>
  </si>
  <si>
    <t>203尾气设备卫生清理</t>
  </si>
  <si>
    <t>调酸槽区域设备清理</t>
  </si>
  <si>
    <t>1、正常生产,抓紧往后倒料追产量；
2、冷凝水过多及时排掉；
3、夜班加强巡检，及时发现设备问题；
4、遵守劳动纪律，严禁睡岗。</t>
  </si>
  <si>
    <t>104车间8月20日生产情况</t>
  </si>
  <si>
    <t>103车间8月21日生产情况</t>
  </si>
  <si>
    <t>103制水的自来水</t>
  </si>
  <si>
    <t>元明粉区域卫生清理</t>
  </si>
  <si>
    <t>处理纯水区域积水</t>
  </si>
  <si>
    <t>1、正常生产,抓紧倒料；
2、北侧冷凝水罐往南侧抽；
3、夜班加强巡检，遵守劳动纪律；
4、清理卫生，处理纯水区域积水。</t>
  </si>
  <si>
    <t>104车间8月21日生产情况</t>
  </si>
  <si>
    <t>103车间8月22日生产情况</t>
  </si>
  <si>
    <t>MVR二楼硫酸钠离心机区域卫生清理</t>
  </si>
  <si>
    <t>203尾气区域清理、原沉锂泵除锈刷漆</t>
  </si>
  <si>
    <t>104车间8月22日生产情况</t>
  </si>
  <si>
    <t>103车间8月23日生产情况</t>
  </si>
  <si>
    <t>MVR区域前、后卫生清理</t>
  </si>
  <si>
    <t>4.5米区域当担区卫生</t>
  </si>
  <si>
    <t>1、正常生产,合成B搅拌；
2、注意前液PH，二效氯根；
3、注意安全卫生；
4、夜班加强巡检，关注元明粉比重。</t>
  </si>
  <si>
    <t>104车间8月23日生产情况</t>
  </si>
  <si>
    <t>103车间8月24日生产情况</t>
  </si>
  <si>
    <t>出料区域垃圾清理干净</t>
  </si>
  <si>
    <t>1、白班停机,沸腾床更换温度计、进口打散器孔洞焊上；
2、元明粉收尘下料口接管道进引风机主管路，查找收尘喷吹没劲问题；
3、盘干机有一根杆子的三个耙子需要调角度；
4、冷凝水泵联轴器需维修；
5、夜班正常生产，注意安全防暑和6S管理。</t>
  </si>
  <si>
    <t>104车间8月24日生产情况</t>
  </si>
  <si>
    <t>103车间8月25日生产情况</t>
  </si>
  <si>
    <t>纯水滤袋更换</t>
  </si>
  <si>
    <t>8米层压缩机卫生清理</t>
  </si>
  <si>
    <t>1、正常生产；
2、配合维修小风机冷凝水泵、元明粉拉板机、合成A搅拌；
3、夜班正常生产，发元明粉巡查图片并观察；
4、注意防暑，纪律卫生；
5、遵守劳动纪律，严禁睡岗。</t>
  </si>
  <si>
    <t>104车间8月25日生产情况</t>
  </si>
  <si>
    <t>103车间8月26日生产情况</t>
  </si>
  <si>
    <t>所有灭火器卫生及当担区域卫生</t>
  </si>
  <si>
    <t>当担区域卫生及合成前液盲板</t>
  </si>
  <si>
    <t>1、正常生产，关注元明粉和外排水氨氮；
2、持续给101送钴镍渣（每班10袋）；
3、注意防暑，做好安全、卫生；
4、遵守劳动纪律，严禁玩手机、睡岗。</t>
  </si>
  <si>
    <t>104车间8月26日生产情况</t>
  </si>
  <si>
    <t>1、下雨应急水池关闭，外排打开；
2、104正常处理废水；
3、关注外排水氨氮。</t>
  </si>
  <si>
    <t>103车间8月27日生产情况</t>
  </si>
  <si>
    <t>卸渣区外袋子及垃圾清理；尾气回水阀维修</t>
  </si>
  <si>
    <t>司泵泵卫生</t>
  </si>
  <si>
    <t>1、退完加料，循环2小时后退气浮；
2、等前液5米或冷凝水2米再开机；
3、夜班够条件开车；
4、注意安全，遵守纪律，做好卫生。</t>
  </si>
  <si>
    <t>104车间8月27日生产情况</t>
  </si>
  <si>
    <t>103车间8月28日生产情况</t>
  </si>
  <si>
    <t>一楼卫生、东楼梯刷漆</t>
  </si>
  <si>
    <t>4.5米卫生</t>
  </si>
  <si>
    <t>1、正常生产；
2、等前液5米或冷凝水2米再开机；
3、关注PH、元明粉杂质；
4、做好交接班，遵守纪律，安全卫生。</t>
  </si>
  <si>
    <t>104车间8月28日生产情况</t>
  </si>
  <si>
    <t>103车间8月29日生产情况</t>
  </si>
  <si>
    <t>班组责任区内灭火器箱、 消火栓清理</t>
  </si>
  <si>
    <t>1、正常生产；
2、关注PH、元明粉杂质
3、做好交接班，遵守纪律，安全卫生。</t>
  </si>
  <si>
    <t>104车间8月29日生产情况</t>
  </si>
  <si>
    <t>103车间8月30日生产情况</t>
  </si>
  <si>
    <t>除杂压滤机、浆洗CD卫生</t>
  </si>
  <si>
    <t>东侧楼梯刷漆、封闭</t>
  </si>
  <si>
    <t>1、车间盘点，夜班正常生产；
2、除杂B压滤机检查
3、关注元明粉杂质
4、遵守纪律，做好交接班、安全和卫生。</t>
  </si>
  <si>
    <t>104车间8月30日生产情况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</si>
</sst>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3" borderId="14">
      <alignment vertical="center"/>
    </xf>
    <xf numFmtId="0" fontId="18" fillId="4" borderId="15">
      <alignment vertical="center"/>
    </xf>
    <xf numFmtId="0" fontId="19" fillId="4" borderId="14">
      <alignment vertical="center"/>
    </xf>
    <xf numFmtId="0" fontId="20" fillId="5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4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3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49" fontId="4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0" fillId="0" borderId="6" xfId="0" applyBorder="1" applyAlignment="1"/>
    <xf numFmtId="0" fontId="0" fillId="0" borderId="7" xfId="0" applyBorder="1" applyAlignment="1"/>
    <xf numFmtId="0" fontId="7" fillId="0" borderId="8" xfId="0" applyFont="1" applyBorder="1" applyAlignment="1">
      <alignment horizontal="left" vertical="center" wrapText="1"/>
    </xf>
    <xf numFmtId="0" fontId="0" fillId="0" borderId="9" xfId="0" applyBorder="1" applyAlignment="1"/>
    <xf numFmtId="0" fontId="0" fillId="0" borderId="10" xfId="0" applyBorder="1" applyAlignment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</v>
      </c>
      <c r="D3" s="9">
        <v>8</v>
      </c>
      <c r="E3" s="10">
        <f t="shared" ref="E3:E13" si="0">C3+D3</f>
        <v>12</v>
      </c>
      <c r="F3" s="10" t="s">
        <v>14</v>
      </c>
      <c r="G3" s="10">
        <f>12</f>
        <v>12</v>
      </c>
      <c r="H3" s="10">
        <v>209</v>
      </c>
      <c r="I3" s="10">
        <f>H3-G3</f>
        <v>197</v>
      </c>
      <c r="J3" s="11"/>
      <c r="K3" s="10"/>
      <c r="L3" s="10"/>
      <c r="M3" s="10">
        <f>I3/30</f>
        <v>6.56666666666667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</f>
        <v>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</f>
        <v>0</v>
      </c>
      <c r="H5" s="10">
        <v>3120</v>
      </c>
      <c r="I5" s="10">
        <f>H5-G5-G7-G6</f>
        <v>2939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91</v>
      </c>
      <c r="D6" s="10">
        <v>90</v>
      </c>
      <c r="E6" s="10">
        <f t="shared" si="0"/>
        <v>181</v>
      </c>
      <c r="F6" s="10" t="s">
        <v>14</v>
      </c>
      <c r="G6" s="10">
        <f>181</f>
        <v>181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</f>
        <v>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</f>
        <v>0</v>
      </c>
      <c r="H10" s="13">
        <v>3.86</v>
      </c>
      <c r="I10" s="13">
        <f>H10-K11</f>
        <v>3.86</v>
      </c>
      <c r="J10" s="19" t="s">
        <v>22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7.83</v>
      </c>
      <c r="D11" s="10">
        <v>2.7135</v>
      </c>
      <c r="E11" s="10">
        <f t="shared" si="0"/>
        <v>10.5435</v>
      </c>
      <c r="F11" s="10" t="s">
        <v>14</v>
      </c>
      <c r="G11" s="10">
        <f>10.5435</f>
        <v>10.5435</v>
      </c>
      <c r="H11" s="10"/>
      <c r="I11" s="10">
        <f>G11/(G3*0.1865)</f>
        <v>4.71112600536193</v>
      </c>
      <c r="J11" s="19" t="s">
        <v>24</v>
      </c>
      <c r="K11" s="20">
        <f>0</f>
        <v>0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18.4368</v>
      </c>
      <c r="D12" s="10">
        <v>0</v>
      </c>
      <c r="E12" s="10">
        <f t="shared" si="0"/>
        <v>18.4368</v>
      </c>
      <c r="F12" s="10" t="s">
        <v>14</v>
      </c>
      <c r="G12" s="10">
        <f>18.4368</f>
        <v>18.4368</v>
      </c>
      <c r="H12" s="10"/>
      <c r="I12" s="10">
        <f>G12/(G3*0.1865)</f>
        <v>8.23806970509384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268</v>
      </c>
      <c r="D13" s="10">
        <v>203</v>
      </c>
      <c r="E13" s="10">
        <f t="shared" si="0"/>
        <v>471</v>
      </c>
      <c r="F13" s="10" t="s">
        <v>27</v>
      </c>
      <c r="G13" s="10">
        <f>471</f>
        <v>471</v>
      </c>
      <c r="H13" s="10">
        <f>G13*1.05</f>
        <v>494.55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215</v>
      </c>
      <c r="D14" s="10">
        <v>164</v>
      </c>
      <c r="E14" s="10">
        <f t="shared" ref="E14:E23" si="1">D14+C14</f>
        <v>379</v>
      </c>
      <c r="F14" s="10" t="s">
        <v>27</v>
      </c>
      <c r="G14" s="10">
        <f>379</f>
        <v>379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338.28</v>
      </c>
      <c r="D15" s="10">
        <v>421.28</v>
      </c>
      <c r="E15" s="10">
        <f t="shared" si="1"/>
        <v>759.56</v>
      </c>
      <c r="F15" s="10" t="s">
        <v>27</v>
      </c>
      <c r="G15" s="10">
        <f>759.56</f>
        <v>759.56</v>
      </c>
      <c r="H15" s="10"/>
      <c r="I15" s="10"/>
      <c r="J15" s="19" t="s">
        <v>30</v>
      </c>
      <c r="K15" s="10">
        <v>3.36</v>
      </c>
      <c r="L15" s="10">
        <v>2.68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15</v>
      </c>
      <c r="E16" s="10">
        <f t="shared" si="1"/>
        <v>33</v>
      </c>
      <c r="F16" s="10" t="s">
        <v>14</v>
      </c>
      <c r="G16" s="10">
        <f>33</f>
        <v>33</v>
      </c>
      <c r="H16" s="10"/>
      <c r="I16" s="10">
        <f>G16/(G3*0.1865)</f>
        <v>14.745308310992</v>
      </c>
      <c r="J16" s="19" t="s">
        <v>32</v>
      </c>
      <c r="K16" s="20">
        <f>2.2656512</f>
        <v>2.2656512</v>
      </c>
      <c r="L16" s="10"/>
      <c r="M16" s="10">
        <f>(C15*K15+L15*D15)/1000</f>
        <v>2.2656512</v>
      </c>
    </row>
    <row r="17" s="1" customFormat="1" ht="25" customHeight="1" spans="1:13">
      <c r="A17" s="12">
        <v>12</v>
      </c>
      <c r="B17" s="8" t="s">
        <v>33</v>
      </c>
      <c r="C17" s="7">
        <v>0.0875</v>
      </c>
      <c r="D17" s="7">
        <v>0</v>
      </c>
      <c r="E17" s="10">
        <f t="shared" si="1"/>
        <v>0.0875</v>
      </c>
      <c r="F17" s="10" t="s">
        <v>14</v>
      </c>
      <c r="G17" s="10">
        <f>0.0875</f>
        <v>0.0875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0.8</v>
      </c>
      <c r="D18" s="7">
        <v>0.8</v>
      </c>
      <c r="E18" s="10">
        <f t="shared" si="1"/>
        <v>1.6</v>
      </c>
      <c r="F18" s="10" t="s">
        <v>14</v>
      </c>
      <c r="G18" s="10">
        <f>1.6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</f>
        <v>0</v>
      </c>
      <c r="H19" s="22"/>
      <c r="I19" s="10">
        <f>G19/(G3*0.1865)</f>
        <v>0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</f>
        <v>0</v>
      </c>
      <c r="H20" s="22"/>
      <c r="I20" s="10">
        <f>G20/(G3*0.1865)</f>
        <v>0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4</v>
      </c>
      <c r="E21" s="10">
        <f t="shared" si="1"/>
        <v>6</v>
      </c>
      <c r="F21" s="10" t="s">
        <v>38</v>
      </c>
      <c r="G21" s="10">
        <f>6</f>
        <v>6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645</v>
      </c>
      <c r="D22" s="7">
        <v>543</v>
      </c>
      <c r="E22" s="10">
        <f t="shared" si="1"/>
        <v>1188</v>
      </c>
      <c r="F22" s="10" t="s">
        <v>27</v>
      </c>
      <c r="G22" s="10">
        <f>1188</f>
        <v>1188</v>
      </c>
      <c r="H22" s="23"/>
      <c r="I22" s="10">
        <f>E22/M22</f>
        <v>49.5</v>
      </c>
      <c r="J22" s="19" t="s">
        <v>40</v>
      </c>
      <c r="K22" s="10">
        <f>24</f>
        <v>24</v>
      </c>
      <c r="L22" s="10">
        <f>G22/K22</f>
        <v>49.5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861</v>
      </c>
      <c r="D23" s="7">
        <v>708</v>
      </c>
      <c r="E23" s="10">
        <f t="shared" si="1"/>
        <v>1569</v>
      </c>
      <c r="F23" s="10" t="s">
        <v>27</v>
      </c>
      <c r="G23" s="10">
        <f>1569</f>
        <v>1569</v>
      </c>
      <c r="H23" s="22"/>
      <c r="I23" s="10">
        <f>E23/M22</f>
        <v>65.375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32.76</v>
      </c>
      <c r="D24" s="12">
        <v>28.88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45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48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50</v>
      </c>
      <c r="D26" s="29"/>
      <c r="E26" s="29"/>
      <c r="F26" s="29"/>
      <c r="G26" s="29"/>
      <c r="H26" s="30"/>
      <c r="I26" s="27" t="s">
        <v>51</v>
      </c>
      <c r="J26" s="28" t="s">
        <v>52</v>
      </c>
      <c r="K26" s="25" t="s">
        <v>53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25" t="s">
        <v>55</v>
      </c>
      <c r="D27" s="29"/>
      <c r="E27" s="29"/>
      <c r="F27" s="29"/>
      <c r="G27" s="29"/>
      <c r="H27" s="29"/>
      <c r="I27" s="30"/>
      <c r="J27" s="34" t="s">
        <v>56</v>
      </c>
      <c r="K27" s="25" t="s">
        <v>57</v>
      </c>
      <c r="L27" s="29"/>
      <c r="M27" s="30"/>
    </row>
    <row r="28" s="1" customFormat="1" ht="14" customHeight="1" spans="1:13">
      <c r="C28" s="35"/>
      <c r="D28" s="35"/>
      <c r="E28" s="1"/>
      <c r="F28" s="1"/>
      <c r="G28" s="1"/>
      <c r="H28" s="1"/>
      <c r="I28" s="1"/>
      <c r="J28" s="36"/>
    </row>
    <row r="29" s="1" customFormat="1" ht="45" customHeight="1" spans="1:13">
      <c r="A29" s="5" t="s">
        <v>58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6.32</v>
      </c>
      <c r="D32" s="10">
        <v>6.29</v>
      </c>
      <c r="E32" s="10">
        <f t="shared" si="2"/>
        <v>12.61</v>
      </c>
      <c r="F32" s="10" t="s">
        <v>27</v>
      </c>
      <c r="G32" s="10">
        <f>12.61</f>
        <v>12.61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5</v>
      </c>
      <c r="D33" s="10">
        <v>9</v>
      </c>
      <c r="E33" s="10">
        <f t="shared" si="2"/>
        <v>14</v>
      </c>
      <c r="F33" s="10" t="s">
        <v>27</v>
      </c>
      <c r="G33" s="10">
        <f>14</f>
        <v>14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6.615</v>
      </c>
      <c r="D34" s="10">
        <v>0</v>
      </c>
      <c r="E34" s="10">
        <f t="shared" si="2"/>
        <v>6.615</v>
      </c>
      <c r="F34" s="10" t="s">
        <v>14</v>
      </c>
      <c r="G34" s="10">
        <f>6.615</f>
        <v>6.615</v>
      </c>
      <c r="H34" s="10"/>
      <c r="I34" s="1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271</v>
      </c>
      <c r="D36" s="10">
        <v>252</v>
      </c>
      <c r="E36" s="10">
        <f t="shared" si="2"/>
        <v>523</v>
      </c>
      <c r="F36" s="10" t="s">
        <v>27</v>
      </c>
      <c r="G36" s="10">
        <f>523</f>
        <v>523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517</v>
      </c>
      <c r="D37" s="10">
        <v>516</v>
      </c>
      <c r="E37" s="10">
        <f t="shared" si="2"/>
        <v>1033</v>
      </c>
      <c r="F37" s="10" t="s">
        <v>27</v>
      </c>
      <c r="G37" s="10">
        <f>1033</f>
        <v>1033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</f>
        <v>0</v>
      </c>
      <c r="H38" s="22"/>
      <c r="I38" s="7">
        <v>157.5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</f>
        <v>0</v>
      </c>
      <c r="H39" s="22"/>
      <c r="I39" s="7">
        <v>79.0426</v>
      </c>
      <c r="J39" s="37"/>
      <c r="K39" s="39"/>
      <c r="L39" s="19" t="s">
        <v>68</v>
      </c>
      <c r="M39" s="7">
        <v>21</v>
      </c>
    </row>
    <row r="40" s="1" customFormat="1" ht="25" customHeight="1" spans="1:13">
      <c r="A40" s="7">
        <v>10</v>
      </c>
      <c r="B40" s="8" t="s">
        <v>69</v>
      </c>
      <c r="C40" s="7">
        <v>2</v>
      </c>
      <c r="D40" s="7">
        <v>5</v>
      </c>
      <c r="E40" s="10">
        <f>D40+C40</f>
        <v>7</v>
      </c>
      <c r="F40" s="10" t="s">
        <v>38</v>
      </c>
      <c r="G40" s="10">
        <f>7</f>
        <v>7</v>
      </c>
      <c r="H40" s="22"/>
      <c r="I40" s="10"/>
      <c r="J40" s="37"/>
      <c r="K40" s="25"/>
      <c r="L40" s="19" t="s">
        <v>70</v>
      </c>
      <c r="M40" s="7">
        <v>80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73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8</v>
      </c>
      <c r="D3" s="9">
        <v>6</v>
      </c>
      <c r="E3" s="10">
        <f t="shared" ref="E3:E13" si="0">C3+D3</f>
        <v>14</v>
      </c>
      <c r="F3" s="10" t="s">
        <v>14</v>
      </c>
      <c r="G3" s="10">
        <f>12+14</f>
        <v>26</v>
      </c>
      <c r="H3" s="10">
        <v>209</v>
      </c>
      <c r="I3" s="10">
        <f>H3-G3</f>
        <v>183</v>
      </c>
      <c r="J3" s="11"/>
      <c r="K3" s="10"/>
      <c r="L3" s="10"/>
      <c r="M3" s="10">
        <f>I3/29</f>
        <v>6.31034482758621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0+12</f>
        <v>12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</f>
        <v>0</v>
      </c>
      <c r="H5" s="10">
        <v>3120</v>
      </c>
      <c r="I5" s="10">
        <f>H5-G5-G7-G6</f>
        <v>2769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96</v>
      </c>
      <c r="D6" s="10">
        <v>74</v>
      </c>
      <c r="E6" s="10">
        <f t="shared" si="0"/>
        <v>170</v>
      </c>
      <c r="F6" s="10" t="s">
        <v>14</v>
      </c>
      <c r="G6" s="10">
        <f>181+170</f>
        <v>351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</f>
        <v>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61.31</v>
      </c>
      <c r="D10" s="13"/>
      <c r="E10" s="10">
        <f t="shared" si="0"/>
        <v>61.31</v>
      </c>
      <c r="F10" s="13" t="s">
        <v>14</v>
      </c>
      <c r="G10" s="10">
        <f>0+61.31</f>
        <v>61.31</v>
      </c>
      <c r="H10" s="13">
        <v>3.86</v>
      </c>
      <c r="I10" s="13">
        <f>H10-K11</f>
        <v>3.30821</v>
      </c>
      <c r="J10" s="19" t="s">
        <v>22</v>
      </c>
      <c r="K10" s="10">
        <v>120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6.7095</v>
      </c>
      <c r="D11" s="10">
        <v>2.4705</v>
      </c>
      <c r="E11" s="10">
        <f t="shared" si="0"/>
        <v>9.18</v>
      </c>
      <c r="F11" s="10" t="s">
        <v>14</v>
      </c>
      <c r="G11" s="10">
        <f>10.5435+9.18</f>
        <v>19.7235</v>
      </c>
      <c r="H11" s="10"/>
      <c r="I11" s="10">
        <f>G11/(G3*0.1865)</f>
        <v>4.06753969890699</v>
      </c>
      <c r="J11" s="19" t="s">
        <v>24</v>
      </c>
      <c r="K11" s="20">
        <f>0+0.55179</f>
        <v>0.55179</v>
      </c>
      <c r="L11" s="10"/>
      <c r="M11" s="10">
        <f>C10*L10/100</f>
        <v>0.55179</v>
      </c>
    </row>
    <row r="12" s="1" customFormat="1" ht="25" customHeight="1" spans="1:13">
      <c r="A12" s="12">
        <v>7</v>
      </c>
      <c r="B12" s="8" t="s">
        <v>25</v>
      </c>
      <c r="C12" s="10">
        <v>10.1016</v>
      </c>
      <c r="D12" s="10">
        <v>0</v>
      </c>
      <c r="E12" s="10">
        <f t="shared" si="0"/>
        <v>10.1016</v>
      </c>
      <c r="F12" s="10" t="s">
        <v>14</v>
      </c>
      <c r="G12" s="10">
        <f>18.4368+10.1016</f>
        <v>28.5384</v>
      </c>
      <c r="H12" s="10"/>
      <c r="I12" s="10">
        <f>G12/(G3*0.1865)</f>
        <v>5.88541967415962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221</v>
      </c>
      <c r="D13" s="10">
        <v>193</v>
      </c>
      <c r="E13" s="10">
        <f t="shared" si="0"/>
        <v>414</v>
      </c>
      <c r="F13" s="10" t="s">
        <v>27</v>
      </c>
      <c r="G13" s="10">
        <f>471+414</f>
        <v>885</v>
      </c>
      <c r="H13" s="10">
        <f>G13*1.05</f>
        <v>929.25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191</v>
      </c>
      <c r="D14" s="10">
        <v>187</v>
      </c>
      <c r="E14" s="10">
        <f t="shared" ref="E14:E23" si="1">D14+C14</f>
        <v>378</v>
      </c>
      <c r="F14" s="10" t="s">
        <v>27</v>
      </c>
      <c r="G14" s="10">
        <f>379+378</f>
        <v>757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384.77</v>
      </c>
      <c r="D15" s="10">
        <v>414.66</v>
      </c>
      <c r="E15" s="10">
        <f t="shared" si="1"/>
        <v>799.43</v>
      </c>
      <c r="F15" s="10" t="s">
        <v>27</v>
      </c>
      <c r="G15" s="10">
        <f>759.56+799.43</f>
        <v>1558.99</v>
      </c>
      <c r="H15" s="10"/>
      <c r="I15" s="10"/>
      <c r="J15" s="19" t="s">
        <v>30</v>
      </c>
      <c r="K15" s="10">
        <v>3.58</v>
      </c>
      <c r="L15" s="10">
        <v>3.2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15</v>
      </c>
      <c r="E16" s="10">
        <f t="shared" si="1"/>
        <v>30</v>
      </c>
      <c r="F16" s="10" t="s">
        <v>14</v>
      </c>
      <c r="G16" s="10">
        <f>33+30</f>
        <v>63</v>
      </c>
      <c r="H16" s="10"/>
      <c r="I16" s="10">
        <f>G16/(G3*0.1865)</f>
        <v>12.9923695607342</v>
      </c>
      <c r="J16" s="19" t="s">
        <v>32</v>
      </c>
      <c r="K16" s="20">
        <f>2.2656512+2.7043886</f>
        <v>4.9700398</v>
      </c>
      <c r="L16" s="10"/>
      <c r="M16" s="10">
        <f>(C15*K15+L15*D15)/1000</f>
        <v>2.7043886</v>
      </c>
    </row>
    <row r="17" s="1" customFormat="1" ht="25" customHeight="1" spans="1:13">
      <c r="A17" s="12">
        <v>12</v>
      </c>
      <c r="B17" s="8" t="s">
        <v>33</v>
      </c>
      <c r="C17" s="7">
        <v>0.075</v>
      </c>
      <c r="D17" s="7">
        <v>0</v>
      </c>
      <c r="E17" s="10">
        <f t="shared" si="1"/>
        <v>0.075</v>
      </c>
      <c r="F17" s="10" t="s">
        <v>14</v>
      </c>
      <c r="G17" s="10">
        <f>0.0875+0.075</f>
        <v>0.1625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</f>
        <v>2</v>
      </c>
      <c r="H19" s="22"/>
      <c r="I19" s="10">
        <f>G19/(G3*0.1865)</f>
        <v>0.412456176531244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</f>
        <v>2</v>
      </c>
      <c r="H20" s="22"/>
      <c r="I20" s="10">
        <f>G20/(G3*0.1865)</f>
        <v>0.412456176531244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4</v>
      </c>
      <c r="E21" s="10">
        <f t="shared" si="1"/>
        <v>6</v>
      </c>
      <c r="F21" s="10" t="s">
        <v>38</v>
      </c>
      <c r="G21" s="10">
        <f>6+6</f>
        <v>12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526</v>
      </c>
      <c r="D22" s="7">
        <v>533</v>
      </c>
      <c r="E22" s="10">
        <f t="shared" si="1"/>
        <v>1059</v>
      </c>
      <c r="F22" s="10" t="s">
        <v>27</v>
      </c>
      <c r="G22" s="10">
        <f>1188+1059</f>
        <v>2247</v>
      </c>
      <c r="H22" s="23"/>
      <c r="I22" s="10">
        <f>E22/M22</f>
        <v>44.125</v>
      </c>
      <c r="J22" s="19" t="s">
        <v>40</v>
      </c>
      <c r="K22" s="10">
        <f>24+24</f>
        <v>48</v>
      </c>
      <c r="L22" s="10">
        <f>G22/K22</f>
        <v>46.8125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697</v>
      </c>
      <c r="D23" s="7">
        <v>661</v>
      </c>
      <c r="E23" s="10">
        <f t="shared" si="1"/>
        <v>1358</v>
      </c>
      <c r="F23" s="10" t="s">
        <v>27</v>
      </c>
      <c r="G23" s="10">
        <f>1569+1358</f>
        <v>2927</v>
      </c>
      <c r="H23" s="22"/>
      <c r="I23" s="10">
        <f>E23/M22</f>
        <v>56.5833333333333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32.65</v>
      </c>
      <c r="D24" s="12">
        <v>32.5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48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74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53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75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76</v>
      </c>
      <c r="D27" s="32"/>
      <c r="E27" s="32"/>
      <c r="F27" s="32"/>
      <c r="G27" s="32"/>
      <c r="H27" s="32"/>
      <c r="I27" s="33"/>
      <c r="J27" s="34" t="s">
        <v>56</v>
      </c>
      <c r="K27" s="25" t="s">
        <v>57</v>
      </c>
      <c r="L27" s="29"/>
      <c r="M27" s="30"/>
    </row>
    <row r="28" s="1" customFormat="1" ht="14" customHeight="1" spans="1:13">
      <c r="C28" s="35"/>
      <c r="D28" s="35"/>
      <c r="E28" s="1"/>
      <c r="F28" s="1"/>
      <c r="G28" s="1"/>
      <c r="H28" s="1"/>
      <c r="I28" s="1"/>
      <c r="J28" s="36"/>
    </row>
    <row r="29" s="1" customFormat="1" ht="45" customHeight="1" spans="1:13">
      <c r="A29" s="5" t="s">
        <v>77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6.32</v>
      </c>
      <c r="D32" s="10">
        <v>6.25</v>
      </c>
      <c r="E32" s="10">
        <f t="shared" si="2"/>
        <v>12.57</v>
      </c>
      <c r="F32" s="10" t="s">
        <v>27</v>
      </c>
      <c r="G32" s="10">
        <f>12.61+12.57</f>
        <v>25.18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21</v>
      </c>
      <c r="D33" s="10">
        <v>11</v>
      </c>
      <c r="E33" s="10">
        <f t="shared" si="2"/>
        <v>32</v>
      </c>
      <c r="F33" s="10" t="s">
        <v>27</v>
      </c>
      <c r="G33" s="10">
        <f>14+32</f>
        <v>46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8.667</v>
      </c>
      <c r="D34" s="10">
        <v>0</v>
      </c>
      <c r="E34" s="10">
        <f t="shared" si="2"/>
        <v>8.667</v>
      </c>
      <c r="F34" s="10" t="s">
        <v>14</v>
      </c>
      <c r="G34" s="10">
        <f>6.615+8.667</f>
        <v>15.282</v>
      </c>
      <c r="H34" s="10"/>
      <c r="I34" s="1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267</v>
      </c>
      <c r="D36" s="10">
        <v>42</v>
      </c>
      <c r="E36" s="10">
        <f t="shared" si="2"/>
        <v>309</v>
      </c>
      <c r="F36" s="10" t="s">
        <v>27</v>
      </c>
      <c r="G36" s="10">
        <f>523+309</f>
        <v>832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516</v>
      </c>
      <c r="D37" s="10">
        <v>516</v>
      </c>
      <c r="E37" s="10">
        <f t="shared" si="2"/>
        <v>1032</v>
      </c>
      <c r="F37" s="10" t="s">
        <v>27</v>
      </c>
      <c r="G37" s="10">
        <f>1033+1032</f>
        <v>2065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</f>
        <v>0</v>
      </c>
      <c r="H38" s="22"/>
      <c r="I38" s="7">
        <v>1057.5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</f>
        <v>0</v>
      </c>
      <c r="H39" s="22"/>
      <c r="I39" s="7">
        <v>81.6484</v>
      </c>
      <c r="J39" s="37"/>
      <c r="K39" s="39"/>
      <c r="L39" s="19" t="s">
        <v>68</v>
      </c>
      <c r="M39" s="7">
        <v>21</v>
      </c>
    </row>
    <row r="40" s="1" customFormat="1" ht="25" customHeight="1" spans="1:13">
      <c r="A40" s="7">
        <v>10</v>
      </c>
      <c r="B40" s="8" t="s">
        <v>69</v>
      </c>
      <c r="C40" s="7">
        <v>2</v>
      </c>
      <c r="D40" s="7">
        <v>5</v>
      </c>
      <c r="E40" s="10">
        <f>D40+C40</f>
        <v>7</v>
      </c>
      <c r="F40" s="10" t="s">
        <v>38</v>
      </c>
      <c r="G40" s="10">
        <f>7+7</f>
        <v>14</v>
      </c>
      <c r="H40" s="22"/>
      <c r="I40" s="10"/>
      <c r="J40" s="37"/>
      <c r="K40" s="25"/>
      <c r="L40" s="19" t="s">
        <v>70</v>
      </c>
      <c r="M40" s="7">
        <v>87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78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</v>
      </c>
      <c r="D3" s="9">
        <v>6.5</v>
      </c>
      <c r="E3" s="10">
        <f t="shared" ref="E3:E13" si="0">C3+D3</f>
        <v>13.5</v>
      </c>
      <c r="F3" s="10" t="s">
        <v>14</v>
      </c>
      <c r="G3" s="10">
        <f>12+14+13.5</f>
        <v>39.5</v>
      </c>
      <c r="H3" s="10">
        <v>209</v>
      </c>
      <c r="I3" s="10">
        <f>H3-G3</f>
        <v>169.5</v>
      </c>
      <c r="J3" s="11"/>
      <c r="K3" s="10"/>
      <c r="L3" s="10"/>
      <c r="M3" s="10">
        <f>I3/28</f>
        <v>6.05357142857143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0+12+14</f>
        <v>26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</f>
        <v>0</v>
      </c>
      <c r="H5" s="10">
        <v>3120</v>
      </c>
      <c r="I5" s="10">
        <f>H5-G5-G7-G6</f>
        <v>2622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84</v>
      </c>
      <c r="D6" s="10">
        <v>63</v>
      </c>
      <c r="E6" s="10">
        <f t="shared" si="0"/>
        <v>147</v>
      </c>
      <c r="F6" s="10" t="s">
        <v>14</v>
      </c>
      <c r="G6" s="10">
        <f>181+170+147</f>
        <v>498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</f>
        <v>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</f>
        <v>61.31</v>
      </c>
      <c r="H10" s="13">
        <v>3.86</v>
      </c>
      <c r="I10" s="13">
        <f>H10-K11</f>
        <v>3.30821</v>
      </c>
      <c r="J10" s="19" t="s">
        <v>22</v>
      </c>
      <c r="K10" s="10">
        <v>150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5.0625</v>
      </c>
      <c r="D11" s="10">
        <v>2.8215</v>
      </c>
      <c r="E11" s="10">
        <f t="shared" si="0"/>
        <v>7.884</v>
      </c>
      <c r="F11" s="10" t="s">
        <v>14</v>
      </c>
      <c r="G11" s="10">
        <f>10.5435+9.18+7.884</f>
        <v>27.6075</v>
      </c>
      <c r="H11" s="10"/>
      <c r="I11" s="10">
        <f>G11/(G3*0.1865)</f>
        <v>3.74758204092714</v>
      </c>
      <c r="J11" s="19" t="s">
        <v>24</v>
      </c>
      <c r="K11" s="20">
        <f>0+0.55179+0</f>
        <v>0.55179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12.6224</v>
      </c>
      <c r="D12" s="10">
        <v>0</v>
      </c>
      <c r="E12" s="10">
        <f t="shared" si="0"/>
        <v>12.6224</v>
      </c>
      <c r="F12" s="10" t="s">
        <v>14</v>
      </c>
      <c r="G12" s="10">
        <f>18.4368+10.1016+12.6224</f>
        <v>41.1608</v>
      </c>
      <c r="H12" s="10"/>
      <c r="I12" s="10">
        <f>G12/(G3*0.1865)</f>
        <v>5.58737570841959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237</v>
      </c>
      <c r="D13" s="10">
        <v>189</v>
      </c>
      <c r="E13" s="10">
        <f t="shared" si="0"/>
        <v>426</v>
      </c>
      <c r="F13" s="10" t="s">
        <v>27</v>
      </c>
      <c r="G13" s="10">
        <f>471+414+426</f>
        <v>1311</v>
      </c>
      <c r="H13" s="10">
        <f>G13*1.05</f>
        <v>1376.55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165</v>
      </c>
      <c r="D14" s="10">
        <v>180</v>
      </c>
      <c r="E14" s="10">
        <f t="shared" ref="E14:E23" si="1">D14+C14</f>
        <v>345</v>
      </c>
      <c r="F14" s="10" t="s">
        <v>27</v>
      </c>
      <c r="G14" s="10">
        <f>379+378+345</f>
        <v>1102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398.36</v>
      </c>
      <c r="D15" s="10">
        <v>413.33</v>
      </c>
      <c r="E15" s="10">
        <f t="shared" si="1"/>
        <v>811.69</v>
      </c>
      <c r="F15" s="10" t="s">
        <v>27</v>
      </c>
      <c r="G15" s="10">
        <f>759.56+799.43+811.69</f>
        <v>2370.68</v>
      </c>
      <c r="H15" s="10"/>
      <c r="I15" s="10"/>
      <c r="J15" s="19" t="s">
        <v>30</v>
      </c>
      <c r="K15" s="10">
        <v>3.38</v>
      </c>
      <c r="L15" s="10">
        <v>3.32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15</v>
      </c>
      <c r="E16" s="10">
        <f t="shared" si="1"/>
        <v>27</v>
      </c>
      <c r="F16" s="10" t="s">
        <v>14</v>
      </c>
      <c r="G16" s="10">
        <f>33+30+27</f>
        <v>90</v>
      </c>
      <c r="H16" s="10"/>
      <c r="I16" s="10">
        <f>G16/(G3*0.1865)</f>
        <v>12.2170563681406</v>
      </c>
      <c r="J16" s="19" t="s">
        <v>32</v>
      </c>
      <c r="K16" s="20">
        <f>2.2656512+2.7043886+2.7187124</f>
        <v>7.6887522</v>
      </c>
      <c r="L16" s="10"/>
      <c r="M16" s="10">
        <f>(C15*K15+L15*D15)/1000</f>
        <v>2.7187124</v>
      </c>
    </row>
    <row r="17" s="1" customFormat="1" ht="25" customHeight="1" spans="1:13">
      <c r="A17" s="12">
        <v>12</v>
      </c>
      <c r="B17" s="8" t="s">
        <v>33</v>
      </c>
      <c r="C17" s="7">
        <v>0.075</v>
      </c>
      <c r="D17" s="7">
        <v>0.0125</v>
      </c>
      <c r="E17" s="10">
        <f t="shared" si="1"/>
        <v>0.0875</v>
      </c>
      <c r="F17" s="10" t="s">
        <v>14</v>
      </c>
      <c r="G17" s="10">
        <f>0.0875+0.075+0.0875</f>
        <v>0.25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</f>
        <v>2</v>
      </c>
      <c r="H19" s="22"/>
      <c r="I19" s="10">
        <f>G19/(G3*0.1865)</f>
        <v>0.271490141514236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</f>
        <v>2</v>
      </c>
      <c r="H20" s="22"/>
      <c r="I20" s="10">
        <f>G20/(G3*0.1865)</f>
        <v>0.271490141514236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5</v>
      </c>
      <c r="D21" s="7">
        <v>2</v>
      </c>
      <c r="E21" s="10">
        <f t="shared" si="1"/>
        <v>7</v>
      </c>
      <c r="F21" s="10" t="s">
        <v>38</v>
      </c>
      <c r="G21" s="10">
        <f>6+6+7</f>
        <v>19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533</v>
      </c>
      <c r="D22" s="7">
        <v>573</v>
      </c>
      <c r="E22" s="10">
        <f t="shared" si="1"/>
        <v>1106</v>
      </c>
      <c r="F22" s="10" t="s">
        <v>27</v>
      </c>
      <c r="G22" s="10">
        <f>1188+1059+1106</f>
        <v>3353</v>
      </c>
      <c r="H22" s="23"/>
      <c r="I22" s="10">
        <f>E22/M22</f>
        <v>46.0833333333333</v>
      </c>
      <c r="J22" s="19" t="s">
        <v>40</v>
      </c>
      <c r="K22" s="10">
        <f>24+24+24</f>
        <v>72</v>
      </c>
      <c r="L22" s="10">
        <f>G22/K22</f>
        <v>46.5694444444444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722</v>
      </c>
      <c r="D23" s="7">
        <v>616</v>
      </c>
      <c r="E23" s="10">
        <f t="shared" si="1"/>
        <v>1338</v>
      </c>
      <c r="F23" s="10" t="s">
        <v>27</v>
      </c>
      <c r="G23" s="10">
        <f>1569+1358+1338</f>
        <v>4265</v>
      </c>
      <c r="H23" s="22"/>
      <c r="I23" s="10">
        <f>E23/M22</f>
        <v>55.75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34.69</v>
      </c>
      <c r="D24" s="12">
        <v>32.35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74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79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75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80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81</v>
      </c>
      <c r="D27" s="32"/>
      <c r="E27" s="32"/>
      <c r="F27" s="32"/>
      <c r="G27" s="32"/>
      <c r="H27" s="32"/>
      <c r="I27" s="33"/>
      <c r="J27" s="34" t="s">
        <v>56</v>
      </c>
      <c r="K27" s="25" t="s">
        <v>57</v>
      </c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82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6.35</v>
      </c>
      <c r="D32" s="10">
        <v>6.26</v>
      </c>
      <c r="E32" s="10">
        <f t="shared" si="2"/>
        <v>12.61</v>
      </c>
      <c r="F32" s="10" t="s">
        <v>27</v>
      </c>
      <c r="G32" s="10">
        <f>12.61+12.57+12.61</f>
        <v>37.79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9</v>
      </c>
      <c r="D33" s="10">
        <v>12</v>
      </c>
      <c r="E33" s="10">
        <f t="shared" si="2"/>
        <v>21</v>
      </c>
      <c r="F33" s="10" t="s">
        <v>27</v>
      </c>
      <c r="G33" s="10">
        <f>14+32+21</f>
        <v>67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</f>
        <v>15.282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</f>
        <v>832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512</v>
      </c>
      <c r="D37" s="10">
        <v>512</v>
      </c>
      <c r="E37" s="10">
        <f t="shared" si="2"/>
        <v>1024</v>
      </c>
      <c r="F37" s="10" t="s">
        <v>27</v>
      </c>
      <c r="G37" s="10">
        <f>1033+1032+1024</f>
        <v>3089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</f>
        <v>0</v>
      </c>
      <c r="H38" s="22"/>
      <c r="I38" s="7">
        <v>1132.5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</f>
        <v>0</v>
      </c>
      <c r="H39" s="22"/>
      <c r="I39" s="7">
        <v>83.3856</v>
      </c>
      <c r="J39" s="37"/>
      <c r="K39" s="39"/>
      <c r="L39" s="19" t="s">
        <v>68</v>
      </c>
      <c r="M39" s="7">
        <v>21</v>
      </c>
    </row>
    <row r="40" s="1" customFormat="1" ht="25" customHeight="1" spans="1:13">
      <c r="A40" s="7">
        <v>10</v>
      </c>
      <c r="B40" s="8" t="s">
        <v>69</v>
      </c>
      <c r="C40" s="7">
        <v>2</v>
      </c>
      <c r="D40" s="7">
        <v>3</v>
      </c>
      <c r="E40" s="10">
        <f>D40+C40</f>
        <v>5</v>
      </c>
      <c r="F40" s="10" t="s">
        <v>38</v>
      </c>
      <c r="G40" s="10">
        <f>7+7+5</f>
        <v>19</v>
      </c>
      <c r="H40" s="22"/>
      <c r="I40" s="10"/>
      <c r="J40" s="37"/>
      <c r="K40" s="25"/>
      <c r="L40" s="19" t="s">
        <v>70</v>
      </c>
      <c r="M40" s="7">
        <v>72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83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5.5</v>
      </c>
      <c r="D3" s="9">
        <v>7.5</v>
      </c>
      <c r="E3" s="10">
        <f t="shared" ref="E3:E13" si="0">C3+D3</f>
        <v>13</v>
      </c>
      <c r="F3" s="10" t="s">
        <v>14</v>
      </c>
      <c r="G3" s="10">
        <f>12+14+13.5+13</f>
        <v>52.5</v>
      </c>
      <c r="H3" s="10">
        <v>209</v>
      </c>
      <c r="I3" s="10">
        <f>H3-G3</f>
        <v>156.5</v>
      </c>
      <c r="J3" s="11"/>
      <c r="K3" s="10"/>
      <c r="L3" s="10"/>
      <c r="M3" s="10">
        <f>I3/27</f>
        <v>5.7962962962963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0+12+14+14</f>
        <v>40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</f>
        <v>0</v>
      </c>
      <c r="H5" s="10">
        <v>3120</v>
      </c>
      <c r="I5" s="10">
        <f>H5-G5-G7-G6</f>
        <v>2452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65</v>
      </c>
      <c r="D6" s="10">
        <v>104</v>
      </c>
      <c r="E6" s="10">
        <f t="shared" si="0"/>
        <v>169</v>
      </c>
      <c r="F6" s="10" t="s">
        <v>14</v>
      </c>
      <c r="G6" s="10">
        <f>181+170+147+169</f>
        <v>667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0+0+0+1</f>
        <v>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62.15</v>
      </c>
      <c r="D10" s="13"/>
      <c r="E10" s="10">
        <f t="shared" si="0"/>
        <v>62.15</v>
      </c>
      <c r="F10" s="13" t="s">
        <v>14</v>
      </c>
      <c r="G10" s="10">
        <f>0+61.31+0+62.15</f>
        <v>123.46</v>
      </c>
      <c r="H10" s="13">
        <v>3.86</v>
      </c>
      <c r="I10" s="13">
        <f>H10-K11</f>
        <v>2.742645</v>
      </c>
      <c r="J10" s="19" t="s">
        <v>22</v>
      </c>
      <c r="K10" s="10">
        <v>90</v>
      </c>
      <c r="L10" s="10">
        <v>0.91</v>
      </c>
      <c r="M10" s="20"/>
    </row>
    <row r="11" s="1" customFormat="1" ht="25" customHeight="1" spans="1:13">
      <c r="A11" s="12">
        <v>6</v>
      </c>
      <c r="B11" s="8" t="s">
        <v>23</v>
      </c>
      <c r="C11" s="10">
        <v>7.479</v>
      </c>
      <c r="D11" s="10">
        <v>0</v>
      </c>
      <c r="E11" s="10">
        <f t="shared" si="0"/>
        <v>7.479</v>
      </c>
      <c r="F11" s="10" t="s">
        <v>14</v>
      </c>
      <c r="G11" s="10">
        <f>10.5435+9.18+7.884+7.479</f>
        <v>35.0865</v>
      </c>
      <c r="H11" s="10"/>
      <c r="I11" s="10">
        <f>G11/(G3*0.1865)</f>
        <v>3.58345461509</v>
      </c>
      <c r="J11" s="19" t="s">
        <v>24</v>
      </c>
      <c r="K11" s="20">
        <f>0+0.55179+0+0.565565</f>
        <v>1.117355</v>
      </c>
      <c r="L11" s="10"/>
      <c r="M11" s="10">
        <f>C10*L10/100</f>
        <v>0.565565</v>
      </c>
    </row>
    <row r="12" s="1" customFormat="1" ht="25" customHeight="1" spans="1:13">
      <c r="A12" s="12">
        <v>7</v>
      </c>
      <c r="B12" s="8" t="s">
        <v>25</v>
      </c>
      <c r="C12" s="10">
        <v>15.64</v>
      </c>
      <c r="D12" s="10">
        <v>0</v>
      </c>
      <c r="E12" s="10">
        <f t="shared" si="0"/>
        <v>15.64</v>
      </c>
      <c r="F12" s="10" t="s">
        <v>14</v>
      </c>
      <c r="G12" s="10">
        <f>18.4368+10.1016+12.6224+15.64</f>
        <v>56.8008</v>
      </c>
      <c r="H12" s="10"/>
      <c r="I12" s="10">
        <f>G12/(G3*0.1865)</f>
        <v>5.80117962466488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209</v>
      </c>
      <c r="D13" s="10">
        <v>219</v>
      </c>
      <c r="E13" s="10">
        <f t="shared" si="0"/>
        <v>428</v>
      </c>
      <c r="F13" s="10" t="s">
        <v>27</v>
      </c>
      <c r="G13" s="10">
        <f>471+414+426+428</f>
        <v>1739</v>
      </c>
      <c r="H13" s="10">
        <f>G13*1.05</f>
        <v>1825.95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220</v>
      </c>
      <c r="D14" s="10">
        <v>207</v>
      </c>
      <c r="E14" s="10">
        <f t="shared" ref="E14:E23" si="1">D14+C14</f>
        <v>427</v>
      </c>
      <c r="F14" s="10" t="s">
        <v>27</v>
      </c>
      <c r="G14" s="10">
        <f>379+378+345+427</f>
        <v>1529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425.44</v>
      </c>
      <c r="D15" s="10">
        <v>441.44</v>
      </c>
      <c r="E15" s="10">
        <f t="shared" si="1"/>
        <v>866.88</v>
      </c>
      <c r="F15" s="10" t="s">
        <v>27</v>
      </c>
      <c r="G15" s="10">
        <f>759.56+799.43+811.69+866.88</f>
        <v>3237.56</v>
      </c>
      <c r="H15" s="10"/>
      <c r="I15" s="10"/>
      <c r="J15" s="19" t="s">
        <v>30</v>
      </c>
      <c r="K15" s="10">
        <v>3.33</v>
      </c>
      <c r="L15" s="10">
        <v>3.22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15</v>
      </c>
      <c r="E16" s="10">
        <f t="shared" si="1"/>
        <v>30</v>
      </c>
      <c r="F16" s="10" t="s">
        <v>14</v>
      </c>
      <c r="G16" s="10">
        <f>33+30+27+30</f>
        <v>120</v>
      </c>
      <c r="H16" s="10"/>
      <c r="I16" s="10">
        <f>G16/(G3*0.1865)</f>
        <v>12.2558406740712</v>
      </c>
      <c r="J16" s="19" t="s">
        <v>32</v>
      </c>
      <c r="K16" s="20">
        <f>2.2656512+2.7043886+2.7187124+2.838152</f>
        <v>10.5269042</v>
      </c>
      <c r="L16" s="10"/>
      <c r="M16" s="10">
        <f>(C15*K15+L15*D15)/1000</f>
        <v>2.838152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</f>
        <v>0.25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</f>
        <v>4</v>
      </c>
      <c r="H19" s="22"/>
      <c r="I19" s="10">
        <f>G19/(G3*0.1865)</f>
        <v>0.408528022469041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</f>
        <v>4</v>
      </c>
      <c r="H20" s="22"/>
      <c r="I20" s="10">
        <f>G20/(G3*0.1865)</f>
        <v>0.408528022469041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3</v>
      </c>
      <c r="E21" s="10">
        <f t="shared" si="1"/>
        <v>5</v>
      </c>
      <c r="F21" s="10" t="s">
        <v>38</v>
      </c>
      <c r="G21" s="10">
        <f>6+6+7+5</f>
        <v>24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538</v>
      </c>
      <c r="D22" s="7">
        <v>551</v>
      </c>
      <c r="E22" s="10">
        <f t="shared" si="1"/>
        <v>1089</v>
      </c>
      <c r="F22" s="10" t="s">
        <v>27</v>
      </c>
      <c r="G22" s="10">
        <f>1188+1059+1106+1089</f>
        <v>4442</v>
      </c>
      <c r="H22" s="23"/>
      <c r="I22" s="10">
        <f>E22/M22</f>
        <v>45.375</v>
      </c>
      <c r="J22" s="19" t="s">
        <v>40</v>
      </c>
      <c r="K22" s="10">
        <f>24+24+24+24</f>
        <v>96</v>
      </c>
      <c r="L22" s="10">
        <f>G22/K22</f>
        <v>46.2708333333333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670</v>
      </c>
      <c r="D23" s="7">
        <v>728</v>
      </c>
      <c r="E23" s="10">
        <f t="shared" si="1"/>
        <v>1398</v>
      </c>
      <c r="F23" s="10" t="s">
        <v>27</v>
      </c>
      <c r="G23" s="10">
        <f>1569+1358+1338+1398</f>
        <v>5663</v>
      </c>
      <c r="H23" s="22"/>
      <c r="I23" s="10">
        <f>E23/M22</f>
        <v>58.25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30.61</v>
      </c>
      <c r="D24" s="12">
        <v>29.69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79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84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80</v>
      </c>
      <c r="D26" s="29"/>
      <c r="E26" s="29"/>
      <c r="F26" s="29"/>
      <c r="G26" s="29"/>
      <c r="H26" s="30"/>
      <c r="I26" s="27" t="s">
        <v>51</v>
      </c>
      <c r="J26" s="28" t="s">
        <v>52</v>
      </c>
      <c r="K26" s="25" t="s">
        <v>80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85</v>
      </c>
      <c r="D27" s="32"/>
      <c r="E27" s="32"/>
      <c r="F27" s="32"/>
      <c r="G27" s="32"/>
      <c r="H27" s="32"/>
      <c r="I27" s="33"/>
      <c r="J27" s="34" t="s">
        <v>56</v>
      </c>
      <c r="K27" s="25" t="s">
        <v>57</v>
      </c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86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6.34</v>
      </c>
      <c r="D32" s="10">
        <v>6.3</v>
      </c>
      <c r="E32" s="10">
        <f t="shared" si="2"/>
        <v>12.64</v>
      </c>
      <c r="F32" s="10" t="s">
        <v>27</v>
      </c>
      <c r="G32" s="10">
        <f>12.61+12.57+12.61+12.64</f>
        <v>50.43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28.65</v>
      </c>
      <c r="D33" s="10">
        <v>10</v>
      </c>
      <c r="E33" s="10">
        <f t="shared" si="2"/>
        <v>38.65</v>
      </c>
      <c r="F33" s="10" t="s">
        <v>27</v>
      </c>
      <c r="G33" s="10">
        <f>14+32+21+38.65</f>
        <v>105.65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14.8095</v>
      </c>
      <c r="D34" s="10">
        <v>0</v>
      </c>
      <c r="E34" s="10">
        <f t="shared" si="2"/>
        <v>14.8095</v>
      </c>
      <c r="F34" s="10" t="s">
        <v>14</v>
      </c>
      <c r="G34" s="10">
        <f>6.615+8.667+0+14.8095</f>
        <v>30.0915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1</v>
      </c>
      <c r="D36" s="10">
        <v>0</v>
      </c>
      <c r="E36" s="10">
        <f t="shared" si="2"/>
        <v>1</v>
      </c>
      <c r="F36" s="10" t="s">
        <v>27</v>
      </c>
      <c r="G36" s="10">
        <f>523+309+0+1</f>
        <v>833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513</v>
      </c>
      <c r="D37" s="10">
        <v>513</v>
      </c>
      <c r="E37" s="10">
        <f t="shared" si="2"/>
        <v>1026</v>
      </c>
      <c r="F37" s="10" t="s">
        <v>27</v>
      </c>
      <c r="G37" s="10">
        <f>1033+1032+1024+1026</f>
        <v>4115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</f>
        <v>0</v>
      </c>
      <c r="H38" s="22"/>
      <c r="I38" s="7">
        <v>1260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</f>
        <v>0</v>
      </c>
      <c r="H39" s="22"/>
      <c r="I39" s="7">
        <v>83.3856</v>
      </c>
      <c r="J39" s="37"/>
      <c r="K39" s="39"/>
      <c r="L39" s="19" t="s">
        <v>68</v>
      </c>
      <c r="M39" s="7">
        <v>21</v>
      </c>
    </row>
    <row r="40" s="1" customFormat="1" ht="25" customHeight="1" spans="1:13">
      <c r="A40" s="7">
        <v>10</v>
      </c>
      <c r="B40" s="8" t="s">
        <v>69</v>
      </c>
      <c r="C40" s="7">
        <v>3</v>
      </c>
      <c r="D40" s="7">
        <v>3</v>
      </c>
      <c r="E40" s="10">
        <f>D40+C40</f>
        <v>6</v>
      </c>
      <c r="F40" s="10" t="s">
        <v>38</v>
      </c>
      <c r="G40" s="10">
        <f>7+7+5+6</f>
        <v>25</v>
      </c>
      <c r="H40" s="22"/>
      <c r="I40" s="10"/>
      <c r="J40" s="37"/>
      <c r="K40" s="25"/>
      <c r="L40" s="19" t="s">
        <v>70</v>
      </c>
      <c r="M40" s="7">
        <v>39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87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</v>
      </c>
      <c r="D3" s="9">
        <v>7</v>
      </c>
      <c r="E3" s="10">
        <f t="shared" ref="E3:E13" si="0">C3+D3</f>
        <v>12</v>
      </c>
      <c r="F3" s="10" t="s">
        <v>14</v>
      </c>
      <c r="G3" s="10">
        <f>12+14+13.5+13+12</f>
        <v>64.5</v>
      </c>
      <c r="H3" s="10">
        <v>209</v>
      </c>
      <c r="I3" s="10">
        <f>H3-G3</f>
        <v>144.5</v>
      </c>
      <c r="J3" s="11"/>
      <c r="K3" s="10"/>
      <c r="L3" s="10"/>
      <c r="M3" s="10">
        <f>I3/26</f>
        <v>5.55769230769231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0+12+14+14+12</f>
        <v>52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</f>
        <v>0</v>
      </c>
      <c r="H5" s="10">
        <v>3120</v>
      </c>
      <c r="I5" s="10">
        <f>H5-G5-G7-G6</f>
        <v>2266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86</v>
      </c>
      <c r="D6" s="10">
        <v>100</v>
      </c>
      <c r="E6" s="10">
        <f t="shared" si="0"/>
        <v>186</v>
      </c>
      <c r="F6" s="10" t="s">
        <v>14</v>
      </c>
      <c r="G6" s="10">
        <f>181+170+147+169+186</f>
        <v>853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</f>
        <v>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30.98</v>
      </c>
      <c r="D10" s="13"/>
      <c r="E10" s="10">
        <f t="shared" si="0"/>
        <v>30.98</v>
      </c>
      <c r="F10" s="13" t="s">
        <v>14</v>
      </c>
      <c r="G10" s="10">
        <f>0+61.31+0+62.15+30.98</f>
        <v>154.44</v>
      </c>
      <c r="H10" s="13">
        <v>3.86</v>
      </c>
      <c r="I10" s="13">
        <f>H10-K11</f>
        <v>2.466923</v>
      </c>
      <c r="J10" s="19" t="s">
        <v>22</v>
      </c>
      <c r="K10" s="10">
        <v>150</v>
      </c>
      <c r="L10" s="10">
        <v>0.89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7.209</v>
      </c>
      <c r="D11" s="10">
        <v>2.8215</v>
      </c>
      <c r="E11" s="10">
        <f t="shared" si="0"/>
        <v>10.0305</v>
      </c>
      <c r="F11" s="10" t="s">
        <v>14</v>
      </c>
      <c r="G11" s="10">
        <f>10.5435+9.18+7.884+7.479+10.0305</f>
        <v>45.117</v>
      </c>
      <c r="H11" s="10"/>
      <c r="I11" s="10">
        <f>G11/(G3*0.1865)</f>
        <v>3.75060789326018</v>
      </c>
      <c r="J11" s="19" t="s">
        <v>24</v>
      </c>
      <c r="K11" s="20">
        <f>0+0.55179+0+0.565565+0.275722</f>
        <v>1.393077</v>
      </c>
      <c r="L11" s="10"/>
      <c r="M11" s="10">
        <f>C10*L10/100</f>
        <v>0.275722</v>
      </c>
    </row>
    <row r="12" s="1" customFormat="1" ht="25" customHeight="1" spans="1:13">
      <c r="A12" s="12">
        <v>7</v>
      </c>
      <c r="B12" s="8" t="s">
        <v>25</v>
      </c>
      <c r="C12" s="10">
        <v>16.744</v>
      </c>
      <c r="D12" s="10">
        <v>0</v>
      </c>
      <c r="E12" s="10">
        <f t="shared" si="0"/>
        <v>16.744</v>
      </c>
      <c r="F12" s="10" t="s">
        <v>14</v>
      </c>
      <c r="G12" s="10">
        <f>18.4368+10.1016+12.6224+15.64+16.744</f>
        <v>73.5448</v>
      </c>
      <c r="H12" s="10"/>
      <c r="I12" s="10">
        <f>G12/(G3*0.1865)</f>
        <v>6.11383087058628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250</v>
      </c>
      <c r="D13" s="10">
        <v>208</v>
      </c>
      <c r="E13" s="10">
        <f t="shared" si="0"/>
        <v>458</v>
      </c>
      <c r="F13" s="10" t="s">
        <v>27</v>
      </c>
      <c r="G13" s="10">
        <f>471+414+426+428+458</f>
        <v>2197</v>
      </c>
      <c r="H13" s="10">
        <f>G13*1.05</f>
        <v>2306.85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217</v>
      </c>
      <c r="D14" s="10">
        <v>190</v>
      </c>
      <c r="E14" s="10">
        <f t="shared" ref="E14:E23" si="1">D14+C14</f>
        <v>407</v>
      </c>
      <c r="F14" s="10" t="s">
        <v>27</v>
      </c>
      <c r="G14" s="10">
        <f>379+378+345+427+407</f>
        <v>1936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420.45</v>
      </c>
      <c r="D15" s="10">
        <v>465.72</v>
      </c>
      <c r="E15" s="10">
        <f t="shared" si="1"/>
        <v>886.17</v>
      </c>
      <c r="F15" s="10" t="s">
        <v>27</v>
      </c>
      <c r="G15" s="10">
        <f>759.56+799.43+811.69+866.88+886.17</f>
        <v>4123.73</v>
      </c>
      <c r="H15" s="10"/>
      <c r="I15" s="10"/>
      <c r="J15" s="19" t="s">
        <v>30</v>
      </c>
      <c r="K15" s="10">
        <v>3.45</v>
      </c>
      <c r="L15" s="10">
        <v>3.25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15</v>
      </c>
      <c r="E16" s="10">
        <f t="shared" si="1"/>
        <v>33</v>
      </c>
      <c r="F16" s="10" t="s">
        <v>14</v>
      </c>
      <c r="G16" s="10">
        <f>33+30+27+30+33</f>
        <v>153</v>
      </c>
      <c r="H16" s="10"/>
      <c r="I16" s="10">
        <f>G16/(G3*0.1865)</f>
        <v>12.7189974437309</v>
      </c>
      <c r="J16" s="19" t="s">
        <v>32</v>
      </c>
      <c r="K16" s="20">
        <f>2.2656512+2.7043886+2.7187124+2.838152+2.9641425</f>
        <v>13.4910467</v>
      </c>
      <c r="L16" s="10"/>
      <c r="M16" s="10">
        <f>(C15*K15+L15*D15)/1000</f>
        <v>2.9641425</v>
      </c>
    </row>
    <row r="17" s="1" customFormat="1" ht="25" customHeight="1" spans="1:13">
      <c r="A17" s="12">
        <v>12</v>
      </c>
      <c r="B17" s="8" t="s">
        <v>33</v>
      </c>
      <c r="C17" s="7">
        <v>0.0875</v>
      </c>
      <c r="D17" s="7">
        <v>0.025</v>
      </c>
      <c r="E17" s="10">
        <f t="shared" si="1"/>
        <v>0.1125</v>
      </c>
      <c r="F17" s="10" t="s">
        <v>14</v>
      </c>
      <c r="G17" s="10">
        <f>0.0875+0.075+0.0875+0+0.1125</f>
        <v>0.3625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</f>
        <v>4</v>
      </c>
      <c r="H19" s="22"/>
      <c r="I19" s="10">
        <f>G19/(G3*0.1865)</f>
        <v>0.332522808986429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</f>
        <v>4</v>
      </c>
      <c r="H20" s="22"/>
      <c r="I20" s="10">
        <f>G20/(G3*0.1865)</f>
        <v>0.332522808986429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1</v>
      </c>
      <c r="D21" s="7">
        <v>1</v>
      </c>
      <c r="E21" s="10">
        <f t="shared" si="1"/>
        <v>2</v>
      </c>
      <c r="F21" s="10" t="s">
        <v>38</v>
      </c>
      <c r="G21" s="10">
        <f>6+6+7+5+2</f>
        <v>26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551</v>
      </c>
      <c r="D22" s="7">
        <v>564</v>
      </c>
      <c r="E22" s="10">
        <f t="shared" si="1"/>
        <v>1115</v>
      </c>
      <c r="F22" s="10" t="s">
        <v>27</v>
      </c>
      <c r="G22" s="10">
        <f>1188+1059+1106+1089+1115</f>
        <v>5557</v>
      </c>
      <c r="H22" s="23"/>
      <c r="I22" s="10">
        <f>E22/M22</f>
        <v>46.4583333333333</v>
      </c>
      <c r="J22" s="19" t="s">
        <v>40</v>
      </c>
      <c r="K22" s="10">
        <f>24+24+24+24+24</f>
        <v>120</v>
      </c>
      <c r="L22" s="10">
        <f>G22/K22</f>
        <v>46.3083333333333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765</v>
      </c>
      <c r="D23" s="7">
        <v>706</v>
      </c>
      <c r="E23" s="10">
        <f t="shared" si="1"/>
        <v>1471</v>
      </c>
      <c r="F23" s="10" t="s">
        <v>27</v>
      </c>
      <c r="G23" s="10">
        <f>1569+1358+1338+1398+1471</f>
        <v>7134</v>
      </c>
      <c r="H23" s="22"/>
      <c r="I23" s="10">
        <f>E23/M22</f>
        <v>61.2916666666667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31.86</v>
      </c>
      <c r="D24" s="12">
        <v>31.63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84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88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80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89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90</v>
      </c>
      <c r="D27" s="32"/>
      <c r="E27" s="32"/>
      <c r="F27" s="32"/>
      <c r="G27" s="32"/>
      <c r="H27" s="32"/>
      <c r="I27" s="33"/>
      <c r="J27" s="34" t="s">
        <v>56</v>
      </c>
      <c r="K27" s="25" t="s">
        <v>57</v>
      </c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91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</v>
      </c>
      <c r="D32" s="10">
        <v>6.43</v>
      </c>
      <c r="E32" s="10">
        <f t="shared" si="2"/>
        <v>12.73</v>
      </c>
      <c r="F32" s="10" t="s">
        <v>27</v>
      </c>
      <c r="G32" s="10">
        <f>12.61+12.57+12.61+12.64+12.73</f>
        <v>63.16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8</v>
      </c>
      <c r="D33" s="10">
        <v>10</v>
      </c>
      <c r="E33" s="10">
        <f t="shared" si="2"/>
        <v>18</v>
      </c>
      <c r="F33" s="10" t="s">
        <v>27</v>
      </c>
      <c r="G33" s="10">
        <f>14+32+21+38.65+18</f>
        <v>123.65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</f>
        <v>30.0915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</f>
        <v>833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510</v>
      </c>
      <c r="D37" s="10">
        <v>512</v>
      </c>
      <c r="E37" s="10">
        <f t="shared" si="2"/>
        <v>1022</v>
      </c>
      <c r="F37" s="10" t="s">
        <v>27</v>
      </c>
      <c r="G37" s="10">
        <f>1033+1032+1024+1026+1022</f>
        <v>5137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</f>
        <v>0</v>
      </c>
      <c r="H38" s="22"/>
      <c r="I38" s="7">
        <v>525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</f>
        <v>0</v>
      </c>
      <c r="H39" s="22"/>
      <c r="I39" s="7">
        <v>84.2542</v>
      </c>
      <c r="J39" s="37"/>
      <c r="K39" s="39"/>
      <c r="L39" s="19" t="s">
        <v>68</v>
      </c>
      <c r="M39" s="7">
        <v>21</v>
      </c>
    </row>
    <row r="40" s="1" customFormat="1" ht="25" customHeight="1" spans="1:13">
      <c r="A40" s="7">
        <v>10</v>
      </c>
      <c r="B40" s="8" t="s">
        <v>69</v>
      </c>
      <c r="C40" s="7">
        <v>3</v>
      </c>
      <c r="D40" s="7">
        <v>2</v>
      </c>
      <c r="E40" s="10">
        <f>D40+C40</f>
        <v>5</v>
      </c>
      <c r="F40" s="10" t="s">
        <v>38</v>
      </c>
      <c r="G40" s="10">
        <f>7+7+5+6+5</f>
        <v>30</v>
      </c>
      <c r="H40" s="22"/>
      <c r="I40" s="10"/>
      <c r="J40" s="37"/>
      <c r="K40" s="25"/>
      <c r="L40" s="19" t="s">
        <v>70</v>
      </c>
      <c r="M40" s="7">
        <v>24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92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</v>
      </c>
      <c r="D3" s="9">
        <v>5.5</v>
      </c>
      <c r="E3" s="10">
        <f t="shared" ref="E3:E13" si="0">C3+D3</f>
        <v>11.5</v>
      </c>
      <c r="F3" s="10" t="s">
        <v>14</v>
      </c>
      <c r="G3" s="10">
        <f>12+14+13.5+13+12+11.5</f>
        <v>76</v>
      </c>
      <c r="H3" s="10">
        <v>209</v>
      </c>
      <c r="I3" s="10">
        <f>H3-G3</f>
        <v>133</v>
      </c>
      <c r="J3" s="11"/>
      <c r="K3" s="10"/>
      <c r="L3" s="10"/>
      <c r="M3" s="10">
        <f>I3/25</f>
        <v>5.32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0+12+14+14+12+12</f>
        <v>64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</f>
        <v>0</v>
      </c>
      <c r="H5" s="10">
        <v>3120</v>
      </c>
      <c r="I5" s="10">
        <f>H5-G5-G7-G6</f>
        <v>2190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76</v>
      </c>
      <c r="D6" s="10">
        <v>0</v>
      </c>
      <c r="E6" s="10">
        <f t="shared" si="0"/>
        <v>76</v>
      </c>
      <c r="F6" s="10" t="s">
        <v>14</v>
      </c>
      <c r="G6" s="10">
        <f>181+170+147+169+186+76</f>
        <v>929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</f>
        <v>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30.86</v>
      </c>
      <c r="D10" s="13"/>
      <c r="E10" s="10">
        <f t="shared" si="0"/>
        <v>30.86</v>
      </c>
      <c r="F10" s="13" t="s">
        <v>14</v>
      </c>
      <c r="G10" s="10">
        <f>0+61.31+0+62.15+30.98+30.86</f>
        <v>185.3</v>
      </c>
      <c r="H10" s="13">
        <v>3.86</v>
      </c>
      <c r="I10" s="13">
        <f>H10-K11</f>
        <v>2.192269</v>
      </c>
      <c r="J10" s="19" t="s">
        <v>22</v>
      </c>
      <c r="K10" s="10">
        <v>150</v>
      </c>
      <c r="L10" s="10">
        <v>0.89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5.373</v>
      </c>
      <c r="D11" s="10">
        <v>0</v>
      </c>
      <c r="E11" s="10">
        <f t="shared" si="0"/>
        <v>5.373</v>
      </c>
      <c r="F11" s="10" t="s">
        <v>14</v>
      </c>
      <c r="G11" s="10">
        <f>10.5435+9.18+7.884+7.479+10.0305+5.373</f>
        <v>50.49</v>
      </c>
      <c r="H11" s="10"/>
      <c r="I11" s="10">
        <f>G11/(G3*0.1865)</f>
        <v>3.56215606039227</v>
      </c>
      <c r="J11" s="19" t="s">
        <v>24</v>
      </c>
      <c r="K11" s="20">
        <f>0+0.55179+0+0.565565+0.275722+0.274654</f>
        <v>1.667731</v>
      </c>
      <c r="L11" s="10"/>
      <c r="M11" s="10">
        <f>C10*L10/100</f>
        <v>0.274654</v>
      </c>
    </row>
    <row r="12" s="1" customFormat="1" ht="25" customHeight="1" spans="1:13">
      <c r="A12" s="12">
        <v>7</v>
      </c>
      <c r="B12" s="8" t="s">
        <v>25</v>
      </c>
      <c r="C12" s="10">
        <v>13.8</v>
      </c>
      <c r="D12" s="10">
        <v>0</v>
      </c>
      <c r="E12" s="10">
        <f t="shared" si="0"/>
        <v>13.8</v>
      </c>
      <c r="F12" s="10" t="s">
        <v>14</v>
      </c>
      <c r="G12" s="10">
        <f>18.4368+10.1016+12.6224+15.64+16.744+13.8</f>
        <v>87.3448</v>
      </c>
      <c r="H12" s="10"/>
      <c r="I12" s="10">
        <f>G12/(G3*0.1865)</f>
        <v>6.16232538450684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230</v>
      </c>
      <c r="D13" s="10">
        <v>143</v>
      </c>
      <c r="E13" s="10">
        <f t="shared" si="0"/>
        <v>373</v>
      </c>
      <c r="F13" s="10" t="s">
        <v>27</v>
      </c>
      <c r="G13" s="10">
        <f>471+414+426+428+458+373</f>
        <v>2570</v>
      </c>
      <c r="H13" s="10">
        <f>G13*1.05</f>
        <v>2698.5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177</v>
      </c>
      <c r="D14" s="10">
        <v>196</v>
      </c>
      <c r="E14" s="10">
        <f t="shared" ref="E14:E23" si="1">D14+C14</f>
        <v>373</v>
      </c>
      <c r="F14" s="10" t="s">
        <v>27</v>
      </c>
      <c r="G14" s="10">
        <f>379+378+345+427+407+373</f>
        <v>2309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289.59</v>
      </c>
      <c r="D15" s="10">
        <v>391.17</v>
      </c>
      <c r="E15" s="10">
        <f t="shared" si="1"/>
        <v>680.76</v>
      </c>
      <c r="F15" s="10" t="s">
        <v>27</v>
      </c>
      <c r="G15" s="10">
        <f>759.56+799.43+811.69+866.88+886.17+680.76</f>
        <v>4804.49</v>
      </c>
      <c r="H15" s="10"/>
      <c r="I15" s="10"/>
      <c r="J15" s="19" t="s">
        <v>30</v>
      </c>
      <c r="K15" s="10">
        <v>3.36</v>
      </c>
      <c r="L15" s="10">
        <v>3.33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12</v>
      </c>
      <c r="E16" s="10">
        <f t="shared" si="1"/>
        <v>24</v>
      </c>
      <c r="F16" s="10" t="s">
        <v>14</v>
      </c>
      <c r="G16" s="10">
        <f>33+30+27+30+33+24</f>
        <v>177</v>
      </c>
      <c r="H16" s="10"/>
      <c r="I16" s="10">
        <f>G16/(G3*0.1865)</f>
        <v>12.4876534499788</v>
      </c>
      <c r="J16" s="19" t="s">
        <v>32</v>
      </c>
      <c r="K16" s="20">
        <f>2.2656512+2.7043886+2.7187124+2.838152+2.9641425+2.2756185</f>
        <v>15.7666652</v>
      </c>
      <c r="L16" s="10"/>
      <c r="M16" s="10">
        <f>(C15*K15+L15*D15)/1000</f>
        <v>2.2756185</v>
      </c>
    </row>
    <row r="17" s="1" customFormat="1" ht="25" customHeight="1" spans="1:13">
      <c r="A17" s="12">
        <v>12</v>
      </c>
      <c r="B17" s="8" t="s">
        <v>33</v>
      </c>
      <c r="C17" s="7">
        <v>0.0375</v>
      </c>
      <c r="D17" s="7">
        <v>0</v>
      </c>
      <c r="E17" s="10">
        <f t="shared" si="1"/>
        <v>0.0375</v>
      </c>
      <c r="F17" s="10" t="s">
        <v>14</v>
      </c>
      <c r="G17" s="10">
        <f>0.0875+0.075+0.0875+0+0.1125+0.0375</f>
        <v>0.4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</f>
        <v>6</v>
      </c>
      <c r="H19" s="22"/>
      <c r="I19" s="10">
        <f>G19/(G3*0.1865)</f>
        <v>0.42331028643996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</f>
        <v>6</v>
      </c>
      <c r="H20" s="22"/>
      <c r="I20" s="10">
        <f>G20/(G3*0.1865)</f>
        <v>0.42331028643996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3</v>
      </c>
      <c r="D21" s="7">
        <v>4</v>
      </c>
      <c r="E21" s="10">
        <f t="shared" si="1"/>
        <v>7</v>
      </c>
      <c r="F21" s="10" t="s">
        <v>38</v>
      </c>
      <c r="G21" s="10">
        <f>6+6+7+5+2+7</f>
        <v>33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486</v>
      </c>
      <c r="D22" s="7">
        <v>253</v>
      </c>
      <c r="E22" s="10">
        <f t="shared" si="1"/>
        <v>739</v>
      </c>
      <c r="F22" s="10" t="s">
        <v>27</v>
      </c>
      <c r="G22" s="10">
        <f>1188+1059+1106+1089+1115+739</f>
        <v>6296</v>
      </c>
      <c r="H22" s="23"/>
      <c r="I22" s="10">
        <f>E22/M22</f>
        <v>70.3809523809524</v>
      </c>
      <c r="J22" s="19" t="s">
        <v>40</v>
      </c>
      <c r="K22" s="10">
        <f>24+24+24+24+24+10.5</f>
        <v>130.5</v>
      </c>
      <c r="L22" s="10">
        <f>G22/K22</f>
        <v>48.2452107279694</v>
      </c>
      <c r="M22" s="10">
        <v>10.5</v>
      </c>
    </row>
    <row r="23" s="1" customFormat="1" ht="25" customHeight="1" spans="1:13">
      <c r="A23" s="12">
        <v>18</v>
      </c>
      <c r="B23" s="8" t="s">
        <v>41</v>
      </c>
      <c r="C23" s="7">
        <v>611</v>
      </c>
      <c r="D23" s="7">
        <v>341</v>
      </c>
      <c r="E23" s="10">
        <f t="shared" si="1"/>
        <v>952</v>
      </c>
      <c r="F23" s="10" t="s">
        <v>27</v>
      </c>
      <c r="G23" s="10">
        <f>1569+1358+1338+1398+1471+952</f>
        <v>8086</v>
      </c>
      <c r="H23" s="22"/>
      <c r="I23" s="10">
        <f>E23/M22</f>
        <v>90.6666666666667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31.68</v>
      </c>
      <c r="D24" s="12">
        <v>0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93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94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89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95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96</v>
      </c>
      <c r="D27" s="32"/>
      <c r="E27" s="32"/>
      <c r="F27" s="32"/>
      <c r="G27" s="32"/>
      <c r="H27" s="32"/>
      <c r="I27" s="33"/>
      <c r="J27" s="34" t="s">
        <v>56</v>
      </c>
      <c r="K27" s="25" t="s">
        <v>57</v>
      </c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97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6.76</v>
      </c>
      <c r="D32" s="10">
        <v>6.32</v>
      </c>
      <c r="E32" s="10">
        <f t="shared" si="2"/>
        <v>13.08</v>
      </c>
      <c r="F32" s="10" t="s">
        <v>27</v>
      </c>
      <c r="G32" s="10">
        <f>12.61+12.57+12.61+12.64+12.73+13.08</f>
        <v>76.24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0</v>
      </c>
      <c r="D33" s="10">
        <v>15</v>
      </c>
      <c r="E33" s="10">
        <f t="shared" si="2"/>
        <v>15</v>
      </c>
      <c r="F33" s="10" t="s">
        <v>27</v>
      </c>
      <c r="G33" s="10">
        <f>14+32+21+38.65+18+15</f>
        <v>138.65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16.0515</v>
      </c>
      <c r="D34" s="10">
        <v>0</v>
      </c>
      <c r="E34" s="10">
        <f t="shared" si="2"/>
        <v>16.0515</v>
      </c>
      <c r="F34" s="10" t="s">
        <v>14</v>
      </c>
      <c r="G34" s="10">
        <f>6.615+8.667+0+14.8095+0+16.0515</f>
        <v>46.143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104</v>
      </c>
      <c r="D36" s="10">
        <v>0</v>
      </c>
      <c r="E36" s="10">
        <f t="shared" si="2"/>
        <v>104</v>
      </c>
      <c r="F36" s="10" t="s">
        <v>27</v>
      </c>
      <c r="G36" s="10">
        <f>523+309+0+1+0+104</f>
        <v>937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508</v>
      </c>
      <c r="D37" s="10">
        <v>512</v>
      </c>
      <c r="E37" s="10">
        <f t="shared" si="2"/>
        <v>1020</v>
      </c>
      <c r="F37" s="10" t="s">
        <v>27</v>
      </c>
      <c r="G37" s="10">
        <f>1033+1032+1024+1026+1022+1020</f>
        <v>6157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</f>
        <v>0</v>
      </c>
      <c r="H38" s="22"/>
      <c r="I38" s="7">
        <v>1305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</f>
        <v>0</v>
      </c>
      <c r="H39" s="22"/>
      <c r="I39" s="7">
        <v>87.7286</v>
      </c>
      <c r="J39" s="37"/>
      <c r="K39" s="39"/>
      <c r="L39" s="19" t="s">
        <v>68</v>
      </c>
      <c r="M39" s="7">
        <v>21</v>
      </c>
    </row>
    <row r="40" s="1" customFormat="1" ht="25" customHeight="1" spans="1:13">
      <c r="A40" s="7">
        <v>10</v>
      </c>
      <c r="B40" s="8" t="s">
        <v>69</v>
      </c>
      <c r="C40" s="7">
        <v>3</v>
      </c>
      <c r="D40" s="7">
        <v>3</v>
      </c>
      <c r="E40" s="10">
        <f>D40+C40</f>
        <v>6</v>
      </c>
      <c r="F40" s="10" t="s">
        <v>38</v>
      </c>
      <c r="G40" s="10">
        <f>7+7+5+6+5+6</f>
        <v>36</v>
      </c>
      <c r="H40" s="22"/>
      <c r="I40" s="10"/>
      <c r="J40" s="37"/>
      <c r="K40" s="25"/>
      <c r="L40" s="19" t="s">
        <v>70</v>
      </c>
      <c r="M40" s="7">
        <v>4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98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3</v>
      </c>
      <c r="D3" s="9">
        <v>6</v>
      </c>
      <c r="E3" s="10">
        <f t="shared" ref="E3:E13" si="0">C3+D3</f>
        <v>9</v>
      </c>
      <c r="F3" s="10" t="s">
        <v>14</v>
      </c>
      <c r="G3" s="10">
        <f>12+14+13.5+13+12+11.5+9</f>
        <v>85</v>
      </c>
      <c r="H3" s="10">
        <v>209</v>
      </c>
      <c r="I3" s="10">
        <f>H3-G3</f>
        <v>124</v>
      </c>
      <c r="J3" s="11"/>
      <c r="K3" s="10"/>
      <c r="L3" s="10"/>
      <c r="M3" s="10">
        <f>I3/24</f>
        <v>5.16666666666667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0+12+14+14+12+12+12</f>
        <v>76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</f>
        <v>0</v>
      </c>
      <c r="H5" s="10">
        <v>3120</v>
      </c>
      <c r="I5" s="10">
        <f>H5-G5-G7-G6</f>
        <v>1994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110</v>
      </c>
      <c r="D6" s="10">
        <v>86</v>
      </c>
      <c r="E6" s="10">
        <f t="shared" si="0"/>
        <v>196</v>
      </c>
      <c r="F6" s="10" t="s">
        <v>14</v>
      </c>
      <c r="G6" s="10">
        <f>181+170+147+169+186+76+196</f>
        <v>1125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</f>
        <v>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61.55</v>
      </c>
      <c r="D10" s="13"/>
      <c r="E10" s="10">
        <f t="shared" si="0"/>
        <v>61.55</v>
      </c>
      <c r="F10" s="13" t="s">
        <v>14</v>
      </c>
      <c r="G10" s="10">
        <f>0+61.31+0+62.15+30.98+30.86+61.55</f>
        <v>246.85</v>
      </c>
      <c r="H10" s="13">
        <v>3.86</v>
      </c>
      <c r="I10" s="13">
        <f>H10-K11</f>
        <v>1.638319</v>
      </c>
      <c r="J10" s="19" t="s">
        <v>22</v>
      </c>
      <c r="K10" s="10">
        <v>90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7.4925</v>
      </c>
      <c r="D11" s="10">
        <v>3.159</v>
      </c>
      <c r="E11" s="10">
        <f t="shared" si="0"/>
        <v>10.6515</v>
      </c>
      <c r="F11" s="10" t="s">
        <v>14</v>
      </c>
      <c r="G11" s="10">
        <f>10.5435+9.18+7.884+7.479+10.0305+5.373+10.6515</f>
        <v>61.1415</v>
      </c>
      <c r="H11" s="10"/>
      <c r="I11" s="10">
        <f>G11/(G3*0.1865)</f>
        <v>3.85689954265889</v>
      </c>
      <c r="J11" s="19" t="s">
        <v>24</v>
      </c>
      <c r="K11" s="20">
        <f>0+0.55179+0+0.565565+0.275722+0.274654+0.55395</f>
        <v>2.221681</v>
      </c>
      <c r="L11" s="10"/>
      <c r="M11" s="10">
        <f>C10*L10/100</f>
        <v>0.55395</v>
      </c>
    </row>
    <row r="12" s="1" customFormat="1" ht="25" customHeight="1" spans="1:13">
      <c r="A12" s="12">
        <v>7</v>
      </c>
      <c r="B12" s="8" t="s">
        <v>25</v>
      </c>
      <c r="C12" s="10">
        <v>11.0584</v>
      </c>
      <c r="D12" s="10">
        <v>0</v>
      </c>
      <c r="E12" s="10">
        <f t="shared" si="0"/>
        <v>11.0584</v>
      </c>
      <c r="F12" s="10" t="s">
        <v>14</v>
      </c>
      <c r="G12" s="10">
        <f>18.4368+10.1016+12.6224+15.64+16.744+13.8+11.0584</f>
        <v>98.4032</v>
      </c>
      <c r="H12" s="10"/>
      <c r="I12" s="10">
        <f>G12/(G3*0.1865)</f>
        <v>6.20742469642012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105</v>
      </c>
      <c r="D13" s="10">
        <v>227</v>
      </c>
      <c r="E13" s="10">
        <f t="shared" si="0"/>
        <v>332</v>
      </c>
      <c r="F13" s="10" t="s">
        <v>27</v>
      </c>
      <c r="G13" s="10">
        <f>471+414+426+428+458+373+332</f>
        <v>2902</v>
      </c>
      <c r="H13" s="10">
        <f>G13*1.05</f>
        <v>3047.1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49</v>
      </c>
      <c r="D14" s="10">
        <v>233</v>
      </c>
      <c r="E14" s="10">
        <f t="shared" ref="E14:E23" si="1">D14+C14</f>
        <v>282</v>
      </c>
      <c r="F14" s="10" t="s">
        <v>27</v>
      </c>
      <c r="G14" s="10">
        <f>379+378+345+427+407+373+282</f>
        <v>2591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438.07</v>
      </c>
      <c r="D15" s="10">
        <v>448.91</v>
      </c>
      <c r="E15" s="10">
        <f t="shared" si="1"/>
        <v>886.98</v>
      </c>
      <c r="F15" s="10" t="s">
        <v>27</v>
      </c>
      <c r="G15" s="10">
        <f>759.56+799.43+811.69+866.88+886.17+680.76+886.98</f>
        <v>5691.47</v>
      </c>
      <c r="H15" s="10"/>
      <c r="I15" s="10"/>
      <c r="J15" s="19" t="s">
        <v>30</v>
      </c>
      <c r="K15" s="10">
        <v>3.02</v>
      </c>
      <c r="L15" s="10">
        <v>3.04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9</v>
      </c>
      <c r="D16" s="10">
        <v>15</v>
      </c>
      <c r="E16" s="10">
        <f t="shared" si="1"/>
        <v>24</v>
      </c>
      <c r="F16" s="10" t="s">
        <v>14</v>
      </c>
      <c r="G16" s="10">
        <f>33+30+27+30+33+24+24</f>
        <v>201</v>
      </c>
      <c r="H16" s="10"/>
      <c r="I16" s="10">
        <f>G16/(G3*0.1865)</f>
        <v>12.6793881091311</v>
      </c>
      <c r="J16" s="19" t="s">
        <v>32</v>
      </c>
      <c r="K16" s="20">
        <f>2.2656512+2.7043886+2.7187124+2.838152+2.9641425+2.2756185+2.6876578</f>
        <v>18.454323</v>
      </c>
      <c r="L16" s="10"/>
      <c r="M16" s="10">
        <f>(C15*K15+L15*D15)/1000</f>
        <v>2.6876578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</f>
        <v>0.4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</f>
        <v>6</v>
      </c>
      <c r="H19" s="22"/>
      <c r="I19" s="10">
        <f>G19/(G3*0.1865)</f>
        <v>0.378489197287494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</f>
        <v>6</v>
      </c>
      <c r="H20" s="22"/>
      <c r="I20" s="10">
        <f>G20/(G3*0.1865)</f>
        <v>0.378489197287494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1</v>
      </c>
      <c r="D21" s="7">
        <v>2</v>
      </c>
      <c r="E21" s="10">
        <f t="shared" si="1"/>
        <v>3</v>
      </c>
      <c r="F21" s="10" t="s">
        <v>38</v>
      </c>
      <c r="G21" s="10">
        <f>6+6+7+5+2+7+3</f>
        <v>36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583</v>
      </c>
      <c r="D22" s="7">
        <v>607</v>
      </c>
      <c r="E22" s="10">
        <f t="shared" si="1"/>
        <v>1190</v>
      </c>
      <c r="F22" s="10" t="s">
        <v>27</v>
      </c>
      <c r="G22" s="10">
        <f>1188+1059+1106+1089+1115+739+1190</f>
        <v>7486</v>
      </c>
      <c r="H22" s="23"/>
      <c r="I22" s="10">
        <f>E22/M22</f>
        <v>49.5833333333333</v>
      </c>
      <c r="J22" s="19" t="s">
        <v>40</v>
      </c>
      <c r="K22" s="10">
        <f>24+24+24+24+24+10.5+24</f>
        <v>154.5</v>
      </c>
      <c r="L22" s="10">
        <f>G22/K22</f>
        <v>48.453074433657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672</v>
      </c>
      <c r="D23" s="7">
        <v>796</v>
      </c>
      <c r="E23" s="10">
        <f t="shared" si="1"/>
        <v>1468</v>
      </c>
      <c r="F23" s="10" t="s">
        <v>27</v>
      </c>
      <c r="G23" s="10">
        <f>1569+1358+1338+1398+1471+952+1468</f>
        <v>9554</v>
      </c>
      <c r="H23" s="22"/>
      <c r="I23" s="10">
        <f>E23/M22</f>
        <v>61.1666666666667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27.74</v>
      </c>
      <c r="D24" s="12">
        <v>28.73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94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99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95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100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101</v>
      </c>
      <c r="D27" s="32"/>
      <c r="E27" s="32"/>
      <c r="F27" s="32"/>
      <c r="G27" s="32"/>
      <c r="H27" s="32"/>
      <c r="I27" s="33"/>
      <c r="J27" s="34" t="s">
        <v>56</v>
      </c>
      <c r="K27" s="25" t="s">
        <v>57</v>
      </c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102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6.35</v>
      </c>
      <c r="D32" s="10">
        <v>0</v>
      </c>
      <c r="E32" s="10">
        <f t="shared" si="2"/>
        <v>6.35</v>
      </c>
      <c r="F32" s="10" t="s">
        <v>27</v>
      </c>
      <c r="G32" s="10">
        <f>12.61+12.57+12.61+12.64+12.73+13.08+6.35</f>
        <v>82.59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0</v>
      </c>
      <c r="D33" s="10">
        <v>0</v>
      </c>
      <c r="E33" s="10">
        <f t="shared" si="2"/>
        <v>0</v>
      </c>
      <c r="F33" s="10" t="s">
        <v>27</v>
      </c>
      <c r="G33" s="10">
        <f>14+32+21+38.65+18+15+0</f>
        <v>138.65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</f>
        <v>46.143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523+309+0+1+0+104+0</f>
        <v>937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507</v>
      </c>
      <c r="D37" s="10">
        <v>0</v>
      </c>
      <c r="E37" s="10">
        <f t="shared" si="2"/>
        <v>507</v>
      </c>
      <c r="F37" s="10" t="s">
        <v>27</v>
      </c>
      <c r="G37" s="10">
        <f>1033+1032+1024+1026+1022+1020+507</f>
        <v>6664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</f>
        <v>0</v>
      </c>
      <c r="H38" s="22"/>
      <c r="I38" s="7">
        <v>1057.5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</f>
        <v>0</v>
      </c>
      <c r="H39" s="22"/>
      <c r="I39" s="7">
        <v>88.5972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2</v>
      </c>
      <c r="D40" s="7">
        <v>0</v>
      </c>
      <c r="E40" s="10">
        <f>D40+C40</f>
        <v>2</v>
      </c>
      <c r="F40" s="10" t="s">
        <v>38</v>
      </c>
      <c r="G40" s="10">
        <f>7+7+5+6+5+6+2</f>
        <v>38</v>
      </c>
      <c r="H40" s="22"/>
      <c r="I40" s="10"/>
      <c r="J40" s="37"/>
      <c r="K40" s="25"/>
      <c r="L40" s="19" t="s">
        <v>70</v>
      </c>
      <c r="M40" s="7">
        <v>3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103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7.5</v>
      </c>
      <c r="D3" s="9">
        <v>7</v>
      </c>
      <c r="E3" s="10">
        <f t="shared" ref="E3:E13" si="0">C3+D3</f>
        <v>14.5</v>
      </c>
      <c r="F3" s="10" t="s">
        <v>14</v>
      </c>
      <c r="G3" s="10">
        <f>12+14+13.5+13+12+11.5+9+14.5</f>
        <v>99.5</v>
      </c>
      <c r="H3" s="10">
        <v>209</v>
      </c>
      <c r="I3" s="10">
        <f>H3-G3</f>
        <v>109.5</v>
      </c>
      <c r="J3" s="11"/>
      <c r="K3" s="10"/>
      <c r="L3" s="10"/>
      <c r="M3" s="10">
        <f>I3/23</f>
        <v>4.76086956521739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0+12+14+14+12+12+12+10</f>
        <v>86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</f>
        <v>0</v>
      </c>
      <c r="H5" s="10">
        <v>3120</v>
      </c>
      <c r="I5" s="10">
        <f>H5-G5-G7-G6</f>
        <v>1815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100</v>
      </c>
      <c r="D6" s="10">
        <v>79</v>
      </c>
      <c r="E6" s="10">
        <f t="shared" si="0"/>
        <v>179</v>
      </c>
      <c r="F6" s="10" t="s">
        <v>14</v>
      </c>
      <c r="G6" s="10">
        <f>181+170+147+169+186+76+196+179</f>
        <v>1304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</f>
        <v>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62.25</v>
      </c>
      <c r="D10" s="13"/>
      <c r="E10" s="10">
        <f t="shared" si="0"/>
        <v>62.25</v>
      </c>
      <c r="F10" s="13" t="s">
        <v>14</v>
      </c>
      <c r="G10" s="10">
        <f>0+61.31+0+62.15+30.98+30.86+61.55+62.25</f>
        <v>309.1</v>
      </c>
      <c r="H10" s="13">
        <v>3.86</v>
      </c>
      <c r="I10" s="13">
        <f>H10-K11</f>
        <v>1.078069</v>
      </c>
      <c r="J10" s="19" t="s">
        <v>22</v>
      </c>
      <c r="K10" s="10">
        <v>60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7.587</v>
      </c>
      <c r="D11" s="10">
        <v>1.7685</v>
      </c>
      <c r="E11" s="10">
        <f t="shared" si="0"/>
        <v>9.3555</v>
      </c>
      <c r="F11" s="10" t="s">
        <v>14</v>
      </c>
      <c r="G11" s="10">
        <f>10.5435+9.18+7.884+7.479+10.0305+5.373+10.6515+9.3555</f>
        <v>70.497</v>
      </c>
      <c r="H11" s="10"/>
      <c r="I11" s="10">
        <f>G11/(G3*0.1865)</f>
        <v>3.79899497487437</v>
      </c>
      <c r="J11" s="19" t="s">
        <v>24</v>
      </c>
      <c r="K11" s="20">
        <f>0+0.55179+0+0.565565+0.275722+0.274654+0.55395+0.56025</f>
        <v>2.781931</v>
      </c>
      <c r="L11" s="10"/>
      <c r="M11" s="10">
        <f>C10*L10/100</f>
        <v>0.56025</v>
      </c>
    </row>
    <row r="12" s="1" customFormat="1" ht="25" customHeight="1" spans="1:13">
      <c r="A12" s="12">
        <v>7</v>
      </c>
      <c r="B12" s="8" t="s">
        <v>25</v>
      </c>
      <c r="C12" s="10">
        <v>13.0824</v>
      </c>
      <c r="D12" s="10">
        <v>0</v>
      </c>
      <c r="E12" s="10">
        <f t="shared" si="0"/>
        <v>13.0824</v>
      </c>
      <c r="F12" s="10" t="s">
        <v>14</v>
      </c>
      <c r="G12" s="10">
        <f>18.4368+10.1016+12.6224+15.64+16.744+13.8+11.0584+13.0824</f>
        <v>111.4856</v>
      </c>
      <c r="H12" s="10"/>
      <c r="I12" s="10">
        <f>G12/(G3*0.1865)</f>
        <v>6.00781925714363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216</v>
      </c>
      <c r="D13" s="10">
        <v>210</v>
      </c>
      <c r="E13" s="10">
        <f t="shared" si="0"/>
        <v>426</v>
      </c>
      <c r="F13" s="10" t="s">
        <v>27</v>
      </c>
      <c r="G13" s="10">
        <f>471+414+426+428+458+373+332+426</f>
        <v>3328</v>
      </c>
      <c r="H13" s="10">
        <f>G13*1.05</f>
        <v>3494.4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238</v>
      </c>
      <c r="D14" s="10">
        <v>177</v>
      </c>
      <c r="E14" s="10">
        <f t="shared" ref="E14:E23" si="1">D14+C14</f>
        <v>415</v>
      </c>
      <c r="F14" s="10" t="s">
        <v>27</v>
      </c>
      <c r="G14" s="10">
        <f>379+378+345+427+407+373+282+415</f>
        <v>3006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462.41</v>
      </c>
      <c r="D15" s="10">
        <v>408.17</v>
      </c>
      <c r="E15" s="10">
        <f t="shared" si="1"/>
        <v>870.58</v>
      </c>
      <c r="F15" s="10" t="s">
        <v>27</v>
      </c>
      <c r="G15" s="10">
        <f>759.56+799.43+811.69+866.88+886.17+680.76+886.98+870.58</f>
        <v>6562.05</v>
      </c>
      <c r="H15" s="10"/>
      <c r="I15" s="10"/>
      <c r="J15" s="19" t="s">
        <v>30</v>
      </c>
      <c r="K15" s="10">
        <v>3.1</v>
      </c>
      <c r="L15" s="10">
        <v>2.98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15</v>
      </c>
      <c r="E16" s="10">
        <f t="shared" si="1"/>
        <v>33</v>
      </c>
      <c r="F16" s="10" t="s">
        <v>14</v>
      </c>
      <c r="G16" s="10">
        <f>33+30+27+30+33+24+24+33</f>
        <v>234</v>
      </c>
      <c r="H16" s="10"/>
      <c r="I16" s="10">
        <f>G16/(G3*0.1865)</f>
        <v>12.6099667236989</v>
      </c>
      <c r="J16" s="19" t="s">
        <v>32</v>
      </c>
      <c r="K16" s="20">
        <f>2.2656512+2.7043886+2.7187124+2.838152+2.9641425+2.2756185+2.6876578+2.6498176</f>
        <v>21.1041406</v>
      </c>
      <c r="L16" s="10"/>
      <c r="M16" s="10">
        <f>(C15*K15+L15*D15)/1000</f>
        <v>2.6498176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</f>
        <v>0.4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</f>
        <v>6</v>
      </c>
      <c r="H19" s="22"/>
      <c r="I19" s="10">
        <f>G19/(G3*0.1865)</f>
        <v>0.323332480094844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</f>
        <v>6</v>
      </c>
      <c r="H20" s="22"/>
      <c r="I20" s="10">
        <f>G20/(G3*0.1865)</f>
        <v>0.323332480094844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1</v>
      </c>
      <c r="D21" s="7">
        <v>3</v>
      </c>
      <c r="E21" s="10">
        <f t="shared" si="1"/>
        <v>4</v>
      </c>
      <c r="F21" s="10" t="s">
        <v>38</v>
      </c>
      <c r="G21" s="10">
        <f>6+6+7+5+2+7+3+4</f>
        <v>40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585</v>
      </c>
      <c r="D22" s="7">
        <v>575</v>
      </c>
      <c r="E22" s="10">
        <f t="shared" si="1"/>
        <v>1160</v>
      </c>
      <c r="F22" s="10" t="s">
        <v>27</v>
      </c>
      <c r="G22" s="10">
        <f>1188+1059+1106+1089+1115+739+1190+1160</f>
        <v>8646</v>
      </c>
      <c r="H22" s="23"/>
      <c r="I22" s="10">
        <f>E22/M22</f>
        <v>48.3333333333333</v>
      </c>
      <c r="J22" s="19" t="s">
        <v>40</v>
      </c>
      <c r="K22" s="10">
        <f>24+24+24+24+24+10.5+24+24</f>
        <v>178.5</v>
      </c>
      <c r="L22" s="10">
        <f>G22/K22</f>
        <v>48.436974789916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752</v>
      </c>
      <c r="D23" s="7">
        <v>708</v>
      </c>
      <c r="E23" s="10">
        <f t="shared" si="1"/>
        <v>1460</v>
      </c>
      <c r="F23" s="10" t="s">
        <v>27</v>
      </c>
      <c r="G23" s="10">
        <f>1569+1358+1338+1398+1471+952+1468+1460</f>
        <v>11014</v>
      </c>
      <c r="H23" s="22"/>
      <c r="I23" s="10">
        <f>E23/M22</f>
        <v>60.8333333333333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25.71</v>
      </c>
      <c r="D24" s="12">
        <v>29.08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99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104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100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105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106</v>
      </c>
      <c r="D27" s="32"/>
      <c r="E27" s="32"/>
      <c r="F27" s="32"/>
      <c r="G27" s="32"/>
      <c r="H27" s="32"/>
      <c r="I27" s="33"/>
      <c r="J27" s="34" t="s">
        <v>56</v>
      </c>
      <c r="K27" s="25" t="s">
        <v>57</v>
      </c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107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6.32</v>
      </c>
      <c r="D32" s="10">
        <v>6.22</v>
      </c>
      <c r="E32" s="10">
        <f t="shared" si="2"/>
        <v>12.54</v>
      </c>
      <c r="F32" s="10" t="s">
        <v>27</v>
      </c>
      <c r="G32" s="10">
        <f>12.61+12.57+12.61+12.64+12.73+13.08+6.35+12.54</f>
        <v>95.13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31</v>
      </c>
      <c r="D33" s="10">
        <v>12</v>
      </c>
      <c r="E33" s="10">
        <f t="shared" si="2"/>
        <v>43</v>
      </c>
      <c r="F33" s="10" t="s">
        <v>27</v>
      </c>
      <c r="G33" s="10">
        <f>14+32+21+38.65+18+15+0+43</f>
        <v>181.65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</f>
        <v>46.143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236</v>
      </c>
      <c r="D36" s="10">
        <v>290</v>
      </c>
      <c r="E36" s="10">
        <f t="shared" si="2"/>
        <v>526</v>
      </c>
      <c r="F36" s="10" t="s">
        <v>27</v>
      </c>
      <c r="G36" s="10">
        <f>523+309+0+1+0+104+0+526</f>
        <v>1463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516</v>
      </c>
      <c r="D37" s="10">
        <v>515</v>
      </c>
      <c r="E37" s="10">
        <f t="shared" si="2"/>
        <v>1031</v>
      </c>
      <c r="F37" s="10" t="s">
        <v>27</v>
      </c>
      <c r="G37" s="10">
        <f>1033+1032+1024+1026+1022+1020+507+1031</f>
        <v>7695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</f>
        <v>0</v>
      </c>
      <c r="H38" s="22"/>
      <c r="I38" s="7">
        <v>945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</f>
        <v>0</v>
      </c>
      <c r="H39" s="22"/>
      <c r="I39" s="7">
        <v>97.2832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2</v>
      </c>
      <c r="D40" s="7">
        <v>2</v>
      </c>
      <c r="E40" s="10">
        <f>D40+C40</f>
        <v>4</v>
      </c>
      <c r="F40" s="10" t="s">
        <v>38</v>
      </c>
      <c r="G40" s="10">
        <f>7+7+5+6+5+6+2+4</f>
        <v>42</v>
      </c>
      <c r="H40" s="22"/>
      <c r="I40" s="10"/>
      <c r="J40" s="37"/>
      <c r="K40" s="25"/>
      <c r="L40" s="19" t="s">
        <v>70</v>
      </c>
      <c r="M40" s="7">
        <v>11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108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</v>
      </c>
      <c r="D3" s="9">
        <v>6</v>
      </c>
      <c r="E3" s="10">
        <f t="shared" ref="E3:E13" si="0">C3+D3</f>
        <v>12</v>
      </c>
      <c r="F3" s="10" t="s">
        <v>14</v>
      </c>
      <c r="G3" s="10">
        <f>12+14+13.5+13+12+11.5+9+14.5+12</f>
        <v>111.5</v>
      </c>
      <c r="H3" s="10">
        <v>209</v>
      </c>
      <c r="I3" s="10">
        <f>H3-G3</f>
        <v>97.5</v>
      </c>
      <c r="J3" s="11"/>
      <c r="K3" s="10"/>
      <c r="L3" s="10"/>
      <c r="M3" s="10">
        <f>I3/22</f>
        <v>4.43181818181818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0+12+14+14+12+12+12+10+14</f>
        <v>100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</f>
        <v>0</v>
      </c>
      <c r="H5" s="10">
        <v>3120</v>
      </c>
      <c r="I5" s="10">
        <f>H5-G5-G7-G6</f>
        <v>1661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82</v>
      </c>
      <c r="D6" s="10">
        <v>72</v>
      </c>
      <c r="E6" s="10">
        <f t="shared" si="0"/>
        <v>154</v>
      </c>
      <c r="F6" s="10" t="s">
        <v>14</v>
      </c>
      <c r="G6" s="10">
        <f>181+170+147+169+186+76+196+179+154</f>
        <v>1458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</f>
        <v>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31.21</v>
      </c>
      <c r="D10" s="13"/>
      <c r="E10" s="10">
        <f t="shared" si="0"/>
        <v>31.21</v>
      </c>
      <c r="F10" s="13" t="s">
        <v>14</v>
      </c>
      <c r="G10" s="10">
        <f>0+61.31+0+62.15+30.98+30.86+61.55+62.25+31.21</f>
        <v>340.31</v>
      </c>
      <c r="H10" s="13">
        <v>3.86</v>
      </c>
      <c r="I10" s="13">
        <f>H10-K11</f>
        <v>0.797179</v>
      </c>
      <c r="J10" s="19" t="s">
        <v>22</v>
      </c>
      <c r="K10" s="10">
        <v>60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6.588</v>
      </c>
      <c r="D11" s="10">
        <v>0</v>
      </c>
      <c r="E11" s="10">
        <f t="shared" si="0"/>
        <v>6.588</v>
      </c>
      <c r="F11" s="10" t="s">
        <v>14</v>
      </c>
      <c r="G11" s="10">
        <f>10.5435+9.18+7.884+7.479+10.0305+5.373+10.6515+9.3555+6.588</f>
        <v>77.085</v>
      </c>
      <c r="H11" s="10"/>
      <c r="I11" s="10">
        <f>G11/(G3*0.1865)</f>
        <v>3.70694526262638</v>
      </c>
      <c r="J11" s="19" t="s">
        <v>24</v>
      </c>
      <c r="K11" s="20">
        <f>0+0.55179+0+0.565565+0.275722+0.274654+0.55395+0.56025+0.28089</f>
        <v>3.062821</v>
      </c>
      <c r="L11" s="10"/>
      <c r="M11" s="10">
        <f>C10*L10/100</f>
        <v>0.28089</v>
      </c>
    </row>
    <row r="12" s="1" customFormat="1" ht="25" customHeight="1" spans="1:13">
      <c r="A12" s="12">
        <v>7</v>
      </c>
      <c r="B12" s="8" t="s">
        <v>25</v>
      </c>
      <c r="C12" s="10">
        <v>16.5784</v>
      </c>
      <c r="D12" s="10">
        <v>0</v>
      </c>
      <c r="E12" s="10">
        <f t="shared" si="0"/>
        <v>16.5784</v>
      </c>
      <c r="F12" s="10" t="s">
        <v>14</v>
      </c>
      <c r="G12" s="10">
        <f>18.4368+10.1016+12.6224+15.64+16.744+13.8+11.0584+13.0824+16.5784</f>
        <v>128.064</v>
      </c>
      <c r="H12" s="10"/>
      <c r="I12" s="10">
        <f>G12/(G3*0.1865)</f>
        <v>6.15847750033061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193</v>
      </c>
      <c r="D13" s="10">
        <v>172</v>
      </c>
      <c r="E13" s="10">
        <f t="shared" si="0"/>
        <v>365</v>
      </c>
      <c r="F13" s="10" t="s">
        <v>27</v>
      </c>
      <c r="G13" s="10">
        <f>471+414+426+428+458+373+332+426+365</f>
        <v>3693</v>
      </c>
      <c r="H13" s="10">
        <f>G13*1.05</f>
        <v>3877.65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190</v>
      </c>
      <c r="D14" s="10">
        <v>183</v>
      </c>
      <c r="E14" s="10">
        <f t="shared" ref="E14:E23" si="1">D14+C14</f>
        <v>373</v>
      </c>
      <c r="F14" s="10" t="s">
        <v>27</v>
      </c>
      <c r="G14" s="10">
        <f>379+378+345+427+407+373+282+415+373</f>
        <v>3379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426.7</v>
      </c>
      <c r="D15" s="10">
        <v>422.07</v>
      </c>
      <c r="E15" s="10">
        <f t="shared" si="1"/>
        <v>848.77</v>
      </c>
      <c r="F15" s="10" t="s">
        <v>27</v>
      </c>
      <c r="G15" s="10">
        <f>759.56+799.43+811.69+866.88+886.17+680.76+886.98+870.58+848.77</f>
        <v>7410.82</v>
      </c>
      <c r="H15" s="10"/>
      <c r="I15" s="10"/>
      <c r="J15" s="19" t="s">
        <v>30</v>
      </c>
      <c r="K15" s="10">
        <v>3.05</v>
      </c>
      <c r="L15" s="10">
        <v>2.92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9</v>
      </c>
      <c r="E16" s="10">
        <f t="shared" si="1"/>
        <v>24</v>
      </c>
      <c r="F16" s="10" t="s">
        <v>14</v>
      </c>
      <c r="G16" s="10">
        <f>33+30+27+30+33+24+24+33+24</f>
        <v>258</v>
      </c>
      <c r="H16" s="10"/>
      <c r="I16" s="10">
        <f>G16/(G3*0.1865)</f>
        <v>12.4069777227425</v>
      </c>
      <c r="J16" s="19" t="s">
        <v>32</v>
      </c>
      <c r="K16" s="20">
        <f>2.2656512+2.7043886+2.7187124+2.838152+2.9641425+2.2756185+2.6876578+2.6498176+2.5338794</f>
        <v>23.63802</v>
      </c>
      <c r="L16" s="10"/>
      <c r="M16" s="10">
        <f>(C15*K15+L15*D15)/1000</f>
        <v>2.5338794</v>
      </c>
    </row>
    <row r="17" s="1" customFormat="1" ht="25" customHeight="1" spans="1:13">
      <c r="A17" s="12">
        <v>12</v>
      </c>
      <c r="B17" s="8" t="s">
        <v>33</v>
      </c>
      <c r="C17" s="7">
        <v>0.025</v>
      </c>
      <c r="D17" s="7">
        <v>0</v>
      </c>
      <c r="E17" s="10">
        <f t="shared" si="1"/>
        <v>0.025</v>
      </c>
      <c r="F17" s="10" t="s">
        <v>14</v>
      </c>
      <c r="G17" s="10">
        <f>0.0875+0.075+0.0875+0+0.1125+0.0375+0+0+0.025</f>
        <v>0.425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</f>
        <v>8</v>
      </c>
      <c r="H19" s="22"/>
      <c r="I19" s="10">
        <f>G19/(G3*0.1865)</f>
        <v>0.3847124875269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</f>
        <v>8</v>
      </c>
      <c r="H20" s="22"/>
      <c r="I20" s="10">
        <f>G20/(G3*0.1865)</f>
        <v>0.3847124875269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9</v>
      </c>
      <c r="D21" s="7">
        <v>4</v>
      </c>
      <c r="E21" s="10">
        <f t="shared" si="1"/>
        <v>13</v>
      </c>
      <c r="F21" s="10" t="s">
        <v>38</v>
      </c>
      <c r="G21" s="10">
        <f>6+6+7+5+2+7+3+4+13</f>
        <v>53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544</v>
      </c>
      <c r="D22" s="7">
        <v>574</v>
      </c>
      <c r="E22" s="10">
        <f t="shared" si="1"/>
        <v>1118</v>
      </c>
      <c r="F22" s="10" t="s">
        <v>27</v>
      </c>
      <c r="G22" s="10">
        <f>1188+1059+1106+1089+1115+739+1190+1160+1118</f>
        <v>9764</v>
      </c>
      <c r="H22" s="23"/>
      <c r="I22" s="10">
        <f>E22/M22</f>
        <v>46.5833333333333</v>
      </c>
      <c r="J22" s="19" t="s">
        <v>40</v>
      </c>
      <c r="K22" s="10">
        <f>24+24+24+24+24+10.5+24+24+24</f>
        <v>202.5</v>
      </c>
      <c r="L22" s="10">
        <f>G22/K22</f>
        <v>48.2172839506173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664</v>
      </c>
      <c r="D23" s="7">
        <v>645</v>
      </c>
      <c r="E23" s="10">
        <f t="shared" si="1"/>
        <v>1309</v>
      </c>
      <c r="F23" s="10" t="s">
        <v>27</v>
      </c>
      <c r="G23" s="10">
        <f>1569+1358+1338+1398+1471+952+1468+1460+1309</f>
        <v>12323</v>
      </c>
      <c r="H23" s="22"/>
      <c r="I23" s="10">
        <f>E23/M22</f>
        <v>54.5416666666667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30.61</v>
      </c>
      <c r="D24" s="12">
        <v>29.08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104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109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105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110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111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112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6.39</v>
      </c>
      <c r="D32" s="10">
        <v>6.22</v>
      </c>
      <c r="E32" s="10">
        <f t="shared" si="2"/>
        <v>12.61</v>
      </c>
      <c r="F32" s="10" t="s">
        <v>27</v>
      </c>
      <c r="G32" s="10">
        <f>12.61+12.57+12.61+12.64+12.73+13.08+6.35+12.54+12.61</f>
        <v>107.74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12</v>
      </c>
      <c r="D33" s="10">
        <v>13</v>
      </c>
      <c r="E33" s="10">
        <f t="shared" si="2"/>
        <v>25</v>
      </c>
      <c r="F33" s="10" t="s">
        <v>27</v>
      </c>
      <c r="G33" s="10">
        <f>14+32+21+38.65+18+15+0+43+25</f>
        <v>206.65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6.912</v>
      </c>
      <c r="D34" s="10">
        <v>0</v>
      </c>
      <c r="E34" s="10">
        <f t="shared" si="2"/>
        <v>6.912</v>
      </c>
      <c r="F34" s="10" t="s">
        <v>14</v>
      </c>
      <c r="G34" s="10">
        <f>6.615+8.667+0+14.8095+0+16.0515+0+0+6.912</f>
        <v>53.055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293</v>
      </c>
      <c r="D36" s="10">
        <v>295</v>
      </c>
      <c r="E36" s="10">
        <f t="shared" si="2"/>
        <v>588</v>
      </c>
      <c r="F36" s="10" t="s">
        <v>27</v>
      </c>
      <c r="G36" s="10">
        <f>523+309+0+1+0+104+0+526+588</f>
        <v>2051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513</v>
      </c>
      <c r="D37" s="10">
        <v>515</v>
      </c>
      <c r="E37" s="10">
        <f t="shared" si="2"/>
        <v>1028</v>
      </c>
      <c r="F37" s="10" t="s">
        <v>27</v>
      </c>
      <c r="G37" s="10">
        <f>1033+1032+1024+1026+1022+1020+507+1031+1028</f>
        <v>8723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</f>
        <v>0</v>
      </c>
      <c r="H38" s="22"/>
      <c r="I38" s="7">
        <v>937.5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</f>
        <v>0</v>
      </c>
      <c r="H39" s="22"/>
      <c r="I39" s="7">
        <v>103.3634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3</v>
      </c>
      <c r="D40" s="7">
        <v>2</v>
      </c>
      <c r="E40" s="10">
        <f>D40+C40</f>
        <v>5</v>
      </c>
      <c r="F40" s="10" t="s">
        <v>38</v>
      </c>
      <c r="G40" s="10">
        <f>7+7+5+6+5+6+2+4+5</f>
        <v>47</v>
      </c>
      <c r="H40" s="22"/>
      <c r="I40" s="10"/>
      <c r="J40" s="37"/>
      <c r="K40" s="25"/>
      <c r="L40" s="19" t="s">
        <v>70</v>
      </c>
      <c r="M40" s="7">
        <v>16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7</v>
      </c>
      <c r="E3" s="10">
        <f t="shared" ref="E3:E13" si="0">C3+D3</f>
        <v>11.5</v>
      </c>
      <c r="F3" s="10" t="s">
        <v>14</v>
      </c>
      <c r="G3" s="10">
        <f>12+14+13.5+13+12+11.5+9+14.5+12+11.5</f>
        <v>123</v>
      </c>
      <c r="H3" s="10">
        <v>209</v>
      </c>
      <c r="I3" s="10">
        <f>H3-G3</f>
        <v>86</v>
      </c>
      <c r="J3" s="11"/>
      <c r="K3" s="10"/>
      <c r="L3" s="10"/>
      <c r="M3" s="10">
        <f>I3/21</f>
        <v>4.09523809523809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0+12+14+14+12+12+12+10+14+12</f>
        <v>112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</f>
        <v>0</v>
      </c>
      <c r="H5" s="10">
        <v>3120</v>
      </c>
      <c r="I5" s="10">
        <f>H5-G5-G7-G6</f>
        <v>1488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96</v>
      </c>
      <c r="D6" s="10">
        <v>77</v>
      </c>
      <c r="E6" s="10">
        <f t="shared" si="0"/>
        <v>173</v>
      </c>
      <c r="F6" s="10" t="s">
        <v>14</v>
      </c>
      <c r="G6" s="10">
        <f>181+170+147+169+186+76+196+179+154+173</f>
        <v>1631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</f>
        <v>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2</v>
      </c>
      <c r="E8" s="10">
        <f t="shared" si="0"/>
        <v>2</v>
      </c>
      <c r="F8" s="10" t="s">
        <v>14</v>
      </c>
      <c r="G8" s="10">
        <f>0+0+0+0+0+0+0+0+0+2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</f>
        <v>340.31</v>
      </c>
      <c r="H10" s="13">
        <v>3.86</v>
      </c>
      <c r="I10" s="13">
        <f>H10-K11</f>
        <v>0.797179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7.263</v>
      </c>
      <c r="D11" s="10">
        <v>2.457</v>
      </c>
      <c r="E11" s="10">
        <f t="shared" si="0"/>
        <v>9.72</v>
      </c>
      <c r="F11" s="10" t="s">
        <v>14</v>
      </c>
      <c r="G11" s="10">
        <f>10.5435+9.18+7.884+7.479+10.0305+5.373+10.6515+9.3555+6.588+9.72</f>
        <v>86.805</v>
      </c>
      <c r="H11" s="10"/>
      <c r="I11" s="10">
        <f>G11/(G3*0.1865)</f>
        <v>3.78408422153927</v>
      </c>
      <c r="J11" s="19" t="s">
        <v>24</v>
      </c>
      <c r="K11" s="20">
        <f>0+0.55179+0+0.565565+0.275722+0.274654+0.55395+0.56025+0.28089+0</f>
        <v>3.062821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12.8432</v>
      </c>
      <c r="D12" s="10">
        <v>0</v>
      </c>
      <c r="E12" s="10">
        <f t="shared" si="0"/>
        <v>12.8432</v>
      </c>
      <c r="F12" s="10" t="s">
        <v>14</v>
      </c>
      <c r="G12" s="10">
        <f>18.4368+10.1016+12.6224+15.64+16.744+13.8+11.0584+13.0824+16.5784+12.8432</f>
        <v>140.9072</v>
      </c>
      <c r="H12" s="10"/>
      <c r="I12" s="10">
        <f>G12/(G3*0.1865)</f>
        <v>6.14255759715774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184</v>
      </c>
      <c r="D13" s="10">
        <v>185</v>
      </c>
      <c r="E13" s="10">
        <f t="shared" si="0"/>
        <v>369</v>
      </c>
      <c r="F13" s="10" t="s">
        <v>27</v>
      </c>
      <c r="G13" s="10">
        <f>471+414+426+428+458+373+332+426+365+369</f>
        <v>4062</v>
      </c>
      <c r="H13" s="10">
        <f>G13*1.05</f>
        <v>4265.1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169</v>
      </c>
      <c r="D14" s="10">
        <v>170</v>
      </c>
      <c r="E14" s="10">
        <f t="shared" ref="E14:E23" si="1">D14+C14</f>
        <v>339</v>
      </c>
      <c r="F14" s="10" t="s">
        <v>27</v>
      </c>
      <c r="G14" s="10">
        <f>379+378+345+427+407+373+282+415+373+339</f>
        <v>3718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465.52</v>
      </c>
      <c r="D15" s="10">
        <v>431.72</v>
      </c>
      <c r="E15" s="10">
        <f t="shared" si="1"/>
        <v>897.24</v>
      </c>
      <c r="F15" s="10" t="s">
        <v>27</v>
      </c>
      <c r="G15" s="10">
        <f>759.56+799.43+811.69+866.88+886.17+680.76+886.98+870.58+848.77+897.24</f>
        <v>8308.06</v>
      </c>
      <c r="H15" s="10"/>
      <c r="I15" s="10"/>
      <c r="J15" s="19" t="s">
        <v>30</v>
      </c>
      <c r="K15" s="10">
        <v>2.98</v>
      </c>
      <c r="L15" s="10">
        <v>2.93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12</v>
      </c>
      <c r="E16" s="10">
        <f t="shared" si="1"/>
        <v>27</v>
      </c>
      <c r="F16" s="10" t="s">
        <v>14</v>
      </c>
      <c r="G16" s="10">
        <f>33+30+27+30+33+24+24+33+24+27</f>
        <v>285</v>
      </c>
      <c r="H16" s="10"/>
      <c r="I16" s="10">
        <f>G16/(G3*0.1865)</f>
        <v>12.4239848296606</v>
      </c>
      <c r="J16" s="19" t="s">
        <v>32</v>
      </c>
      <c r="K16" s="20">
        <f>2.2656512+2.7043886+2.7187124+2.838152+2.9641425+2.2756185+2.6876578+2.6498176+2.5338794+2.6521892</f>
        <v>26.2902092</v>
      </c>
      <c r="L16" s="10"/>
      <c r="M16" s="10">
        <f>(C15*K15+L15*D15)/1000</f>
        <v>2.6521892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0.075</v>
      </c>
      <c r="E17" s="10">
        <f t="shared" si="1"/>
        <v>0.075</v>
      </c>
      <c r="F17" s="10" t="s">
        <v>14</v>
      </c>
      <c r="G17" s="10">
        <f>0.0875+0.075+0.0875+0+0.1125+0.0375+0+0+0.025+0.075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0+2+0+2+0+2+0+0+2+2</f>
        <v>10</v>
      </c>
      <c r="H19" s="22"/>
      <c r="I19" s="10">
        <f>G19/(G3*0.1865)</f>
        <v>0.435929292268794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0+2+0+2+0+2+0+0+2+2</f>
        <v>10</v>
      </c>
      <c r="H20" s="22"/>
      <c r="I20" s="10">
        <f>G20/(G3*0.1865)</f>
        <v>0.435929292268794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5</v>
      </c>
      <c r="D21" s="7">
        <v>2</v>
      </c>
      <c r="E21" s="10">
        <f t="shared" si="1"/>
        <v>7</v>
      </c>
      <c r="F21" s="10" t="s">
        <v>38</v>
      </c>
      <c r="G21" s="10">
        <f>6+6+7+5+2+7+3+4+13+7</f>
        <v>60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555</v>
      </c>
      <c r="D22" s="7">
        <v>535</v>
      </c>
      <c r="E22" s="10">
        <f t="shared" si="1"/>
        <v>1090</v>
      </c>
      <c r="F22" s="10" t="s">
        <v>27</v>
      </c>
      <c r="G22" s="10">
        <f>1188+1059+1106+1089+1115+739+1190+1160+1118+1090</f>
        <v>10854</v>
      </c>
      <c r="H22" s="23"/>
      <c r="I22" s="10">
        <f>E22/M22</f>
        <v>45.4166666666667</v>
      </c>
      <c r="J22" s="19" t="s">
        <v>40</v>
      </c>
      <c r="K22" s="10">
        <f>24+24+24+24+24+10.5+24+24+24+24</f>
        <v>226.5</v>
      </c>
      <c r="L22" s="10">
        <f>G22/K22</f>
        <v>47.9205298013245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717</v>
      </c>
      <c r="D23" s="7">
        <v>669</v>
      </c>
      <c r="E23" s="10">
        <f t="shared" si="1"/>
        <v>1386</v>
      </c>
      <c r="F23" s="10" t="s">
        <v>27</v>
      </c>
      <c r="G23" s="10">
        <f>1569+1358+1338+1398+1471+952+1468+1460+1309+1386</f>
        <v>13709</v>
      </c>
      <c r="H23" s="22"/>
      <c r="I23" s="10">
        <f>E23/M22</f>
        <v>57.75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29.59</v>
      </c>
      <c r="D24" s="12">
        <v>31.94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109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114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110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115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116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117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6.39</v>
      </c>
      <c r="D32" s="10">
        <v>0</v>
      </c>
      <c r="E32" s="10">
        <f t="shared" si="2"/>
        <v>6.39</v>
      </c>
      <c r="F32" s="10" t="s">
        <v>27</v>
      </c>
      <c r="G32" s="10">
        <f>12.61+12.57+12.61+12.64+12.73+13.08+6.35+12.54+12.61+6.39</f>
        <v>114.13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17</v>
      </c>
      <c r="D33" s="10">
        <v>10</v>
      </c>
      <c r="E33" s="10">
        <f t="shared" si="2"/>
        <v>27</v>
      </c>
      <c r="F33" s="10" t="s">
        <v>27</v>
      </c>
      <c r="G33" s="10">
        <f>14+32+21+38.65+18+15+0+43+25+27</f>
        <v>233.65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12.231</v>
      </c>
      <c r="D34" s="10">
        <v>0</v>
      </c>
      <c r="E34" s="10">
        <f t="shared" si="2"/>
        <v>12.231</v>
      </c>
      <c r="F34" s="10" t="s">
        <v>14</v>
      </c>
      <c r="G34" s="10">
        <f>6.615+8.667+0+14.8095+0+16.0515+0+0+6.912+12.231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281</v>
      </c>
      <c r="D36" s="10">
        <v>290</v>
      </c>
      <c r="E36" s="10">
        <f t="shared" si="2"/>
        <v>571</v>
      </c>
      <c r="F36" s="10" t="s">
        <v>27</v>
      </c>
      <c r="G36" s="10">
        <f>523+309+0+1+0+104+0+526+588+571</f>
        <v>2622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514</v>
      </c>
      <c r="D37" s="10">
        <v>515</v>
      </c>
      <c r="E37" s="10">
        <f t="shared" si="2"/>
        <v>1029</v>
      </c>
      <c r="F37" s="10" t="s">
        <v>27</v>
      </c>
      <c r="G37" s="10">
        <f>1033+1032+1024+1026+1022+1020+507+1031+1028+1029</f>
        <v>9752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</f>
        <v>0</v>
      </c>
      <c r="H38" s="22"/>
      <c r="I38" s="7">
        <v>705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</f>
        <v>0</v>
      </c>
      <c r="H39" s="22"/>
      <c r="I39" s="7">
        <v>95.546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2</v>
      </c>
      <c r="D40" s="7">
        <v>0</v>
      </c>
      <c r="E40" s="10">
        <f>D40+C40</f>
        <v>2</v>
      </c>
      <c r="F40" s="10" t="s">
        <v>38</v>
      </c>
      <c r="G40" s="10">
        <f>7+7+5+6+5+6+2+4+5+2</f>
        <v>49</v>
      </c>
      <c r="H40" s="22"/>
      <c r="I40" s="10"/>
      <c r="J40" s="37"/>
      <c r="K40" s="25"/>
      <c r="L40" s="19" t="s">
        <v>70</v>
      </c>
      <c r="M40" s="7">
        <v>18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6</v>
      </c>
      <c r="E3" s="10">
        <f t="shared" ref="E3:E13" si="0">C3+D3</f>
        <v>10.5</v>
      </c>
      <c r="F3" s="10" t="s">
        <v>14</v>
      </c>
      <c r="G3" s="10">
        <f>12+14+13.5+13+12+11.5+9+14.5+12+11.5+10.5</f>
        <v>133.5</v>
      </c>
      <c r="H3" s="10">
        <v>209</v>
      </c>
      <c r="I3" s="10">
        <f>H3-G3</f>
        <v>75.5</v>
      </c>
      <c r="J3" s="11"/>
      <c r="K3" s="10"/>
      <c r="L3" s="10"/>
      <c r="M3" s="10">
        <f>I3/20</f>
        <v>3.775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0+12+14+14+12+12+12+10+14+12+12</f>
        <v>124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</f>
        <v>0</v>
      </c>
      <c r="H5" s="10">
        <v>3120</v>
      </c>
      <c r="I5" s="10">
        <f>H5-G5-G7-G6</f>
        <v>1378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85</v>
      </c>
      <c r="D6" s="10">
        <v>24</v>
      </c>
      <c r="E6" s="10">
        <f t="shared" si="0"/>
        <v>109</v>
      </c>
      <c r="F6" s="10" t="s">
        <v>14</v>
      </c>
      <c r="G6" s="10">
        <f>181+170+147+169+186+76+196+179+154+173+109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0+0+0+1+0+0+0+0+0+0+1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31.19</v>
      </c>
      <c r="D10" s="13"/>
      <c r="E10" s="10">
        <f t="shared" si="0"/>
        <v>31.19</v>
      </c>
      <c r="F10" s="13" t="s">
        <v>14</v>
      </c>
      <c r="G10" s="10">
        <f>0+61.31+0+62.15+30.98+30.86+61.55+62.25+31.21+0+31.19</f>
        <v>371.5</v>
      </c>
      <c r="H10" s="13">
        <v>3.86</v>
      </c>
      <c r="I10" s="13">
        <f>H10-K11</f>
        <v>0.522707</v>
      </c>
      <c r="J10" s="19" t="s">
        <v>22</v>
      </c>
      <c r="K10" s="10">
        <v>120</v>
      </c>
      <c r="L10" s="10">
        <v>0.88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5.8995</v>
      </c>
      <c r="D11" s="10">
        <v>0</v>
      </c>
      <c r="E11" s="10">
        <f t="shared" si="0"/>
        <v>5.8995</v>
      </c>
      <c r="F11" s="10" t="s">
        <v>14</v>
      </c>
      <c r="G11" s="10">
        <f>10.5435+9.18+7.884+7.479+10.0305+5.373+10.6515+9.3555+6.588+9.72+5.8995</f>
        <v>92.7045</v>
      </c>
      <c r="H11" s="10"/>
      <c r="I11" s="10">
        <f>G11/(G3*0.1865)</f>
        <v>3.72340874175377</v>
      </c>
      <c r="J11" s="19" t="s">
        <v>24</v>
      </c>
      <c r="K11" s="20">
        <f>0+0.55179+0+0.565565+0.275722+0.274654+0.55395+0.56025+0.28089+0+0.274472</f>
        <v>3.337293</v>
      </c>
      <c r="L11" s="10"/>
      <c r="M11" s="10">
        <f>C10*L10/100</f>
        <v>0.274472</v>
      </c>
    </row>
    <row r="12" s="1" customFormat="1" ht="25" customHeight="1" spans="1:13">
      <c r="A12" s="12">
        <v>7</v>
      </c>
      <c r="B12" s="8" t="s">
        <v>25</v>
      </c>
      <c r="C12" s="10">
        <v>13.9288</v>
      </c>
      <c r="D12" s="10">
        <v>0</v>
      </c>
      <c r="E12" s="10">
        <f t="shared" si="0"/>
        <v>13.9288</v>
      </c>
      <c r="F12" s="10" t="s">
        <v>14</v>
      </c>
      <c r="G12" s="10">
        <f>18.4368+10.1016+12.6224+15.64+16.744+13.8+11.0584+13.0824+16.5784+12.8432+13.9288</f>
        <v>154.836</v>
      </c>
      <c r="H12" s="10"/>
      <c r="I12" s="10">
        <f>G12/(G3*0.1865)</f>
        <v>6.21887519956623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195</v>
      </c>
      <c r="D13" s="10">
        <v>232</v>
      </c>
      <c r="E13" s="10">
        <f t="shared" si="0"/>
        <v>427</v>
      </c>
      <c r="F13" s="10" t="s">
        <v>27</v>
      </c>
      <c r="G13" s="10">
        <f>471+414+426+428+458+373+332+426+365+369+427</f>
        <v>4489</v>
      </c>
      <c r="H13" s="10">
        <f>G13*1.05</f>
        <v>4713.45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139</v>
      </c>
      <c r="D14" s="10">
        <v>225</v>
      </c>
      <c r="E14" s="10">
        <f t="shared" ref="E14:E23" si="1">D14+C14</f>
        <v>364</v>
      </c>
      <c r="F14" s="10" t="s">
        <v>27</v>
      </c>
      <c r="G14" s="10">
        <f>379+378+345+427+407+373+282+415+373+339+364</f>
        <v>4082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355.56</v>
      </c>
      <c r="D15" s="10">
        <v>164.46</v>
      </c>
      <c r="E15" s="10">
        <f t="shared" si="1"/>
        <v>520.02</v>
      </c>
      <c r="F15" s="10" t="s">
        <v>27</v>
      </c>
      <c r="G15" s="10">
        <f>759.56+799.43+811.69+866.88+886.17+680.76+886.98+870.58+848.77+897.24+520.02</f>
        <v>8828.08</v>
      </c>
      <c r="H15" s="10"/>
      <c r="I15" s="10"/>
      <c r="J15" s="19" t="s">
        <v>30</v>
      </c>
      <c r="K15" s="10">
        <v>3.18</v>
      </c>
      <c r="L15" s="10">
        <v>3.18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12</v>
      </c>
      <c r="E16" s="10">
        <f t="shared" si="1"/>
        <v>24</v>
      </c>
      <c r="F16" s="10" t="s">
        <v>14</v>
      </c>
      <c r="G16" s="10">
        <f>33+30+27+30+33+24+24+33+24+27+24</f>
        <v>309</v>
      </c>
      <c r="H16" s="10"/>
      <c r="I16" s="10">
        <f>G16/(G3*0.1865)</f>
        <v>12.4107600084345</v>
      </c>
      <c r="J16" s="19" t="s">
        <v>32</v>
      </c>
      <c r="K16" s="20">
        <f>2.2656512+2.7043886+2.7187124+2.838152+2.9641425+2.2756185+2.6876578+2.6498176+2.5338794+2.6521892+1.6536636</f>
        <v>27.9438728</v>
      </c>
      <c r="L16" s="10"/>
      <c r="M16" s="10">
        <f>(C15*K15+L15*D15)/1000</f>
        <v>1.6536636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</f>
        <v>10</v>
      </c>
      <c r="H19" s="22"/>
      <c r="I19" s="10">
        <f>G19/(G3*0.1865)</f>
        <v>0.401642718719563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</f>
        <v>10</v>
      </c>
      <c r="H20" s="22"/>
      <c r="I20" s="10">
        <f>G20/(G3*0.1865)</f>
        <v>0.401642718719563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1</v>
      </c>
      <c r="E21" s="10">
        <f t="shared" si="1"/>
        <v>3</v>
      </c>
      <c r="F21" s="10" t="s">
        <v>38</v>
      </c>
      <c r="G21" s="10">
        <f>6+6+7+5+2+7+3+4+13+7+3</f>
        <v>63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537</v>
      </c>
      <c r="D22" s="7">
        <v>100</v>
      </c>
      <c r="E22" s="10">
        <f t="shared" si="1"/>
        <v>637</v>
      </c>
      <c r="F22" s="10" t="s">
        <v>27</v>
      </c>
      <c r="G22" s="10">
        <f>1188+1059+1106+1089+1115+739+1190+1160+1118+1090+637</f>
        <v>11491</v>
      </c>
      <c r="H22" s="23"/>
      <c r="I22" s="10">
        <f>E22/M22</f>
        <v>49</v>
      </c>
      <c r="J22" s="19" t="s">
        <v>40</v>
      </c>
      <c r="K22" s="10">
        <f>24+24+24+24+24+10.5+24+24+24+24+13</f>
        <v>239.5</v>
      </c>
      <c r="L22" s="10">
        <f>G22/K22</f>
        <v>47.9791231732777</v>
      </c>
      <c r="M22" s="10">
        <v>13</v>
      </c>
    </row>
    <row r="23" s="1" customFormat="1" ht="25" customHeight="1" spans="1:13">
      <c r="A23" s="12">
        <v>18</v>
      </c>
      <c r="B23" s="8" t="s">
        <v>41</v>
      </c>
      <c r="C23" s="7">
        <v>677</v>
      </c>
      <c r="D23" s="7">
        <v>83</v>
      </c>
      <c r="E23" s="10">
        <f t="shared" si="1"/>
        <v>760</v>
      </c>
      <c r="F23" s="10" t="s">
        <v>27</v>
      </c>
      <c r="G23" s="10">
        <f>1569+1358+1338+1398+1471+952+1468+1460+1309+1386+760</f>
        <v>14469</v>
      </c>
      <c r="H23" s="22"/>
      <c r="I23" s="10">
        <f>E23/M22</f>
        <v>58.4615384615385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31.74</v>
      </c>
      <c r="D24" s="12">
        <v>25.95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114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119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115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119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120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121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12.61+12.57+12.61+12.64+12.73+13.08+6.35+12.54+12.61+6.39+0</f>
        <v>114.13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5</v>
      </c>
      <c r="D33" s="10">
        <v>15</v>
      </c>
      <c r="E33" s="10">
        <f t="shared" si="2"/>
        <v>20</v>
      </c>
      <c r="F33" s="10" t="s">
        <v>27</v>
      </c>
      <c r="G33" s="10">
        <f>14+32+21+38.65+18+15+0+43+25+27+20</f>
        <v>253.65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258</v>
      </c>
      <c r="D36" s="10">
        <v>282</v>
      </c>
      <c r="E36" s="10">
        <f t="shared" si="2"/>
        <v>540</v>
      </c>
      <c r="F36" s="10" t="s">
        <v>27</v>
      </c>
      <c r="G36" s="10">
        <f>523+309+0+1+0+104+0+526+588+571+540</f>
        <v>3162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515</v>
      </c>
      <c r="D37" s="10">
        <v>515</v>
      </c>
      <c r="E37" s="10">
        <f t="shared" si="2"/>
        <v>1030</v>
      </c>
      <c r="F37" s="10" t="s">
        <v>27</v>
      </c>
      <c r="G37" s="10">
        <f>1033+1032+1024+1026+1022+1020+507+1031+1028+1029+1030</f>
        <v>10782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</f>
        <v>0</v>
      </c>
      <c r="H38" s="22"/>
      <c r="I38" s="7">
        <v>937.5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</f>
        <v>0</v>
      </c>
      <c r="H39" s="22"/>
      <c r="I39" s="7">
        <v>78.174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0</v>
      </c>
      <c r="D40" s="7">
        <v>0</v>
      </c>
      <c r="E40" s="10">
        <f>D40+C40</f>
        <v>0</v>
      </c>
      <c r="F40" s="10" t="s">
        <v>38</v>
      </c>
      <c r="G40" s="10">
        <f>7+7+5+6+5+6+2+4+5+2+0</f>
        <v>49</v>
      </c>
      <c r="H40" s="22"/>
      <c r="I40" s="10"/>
      <c r="J40" s="37"/>
      <c r="K40" s="25"/>
      <c r="L40" s="19" t="s">
        <v>70</v>
      </c>
      <c r="M40" s="7">
        <v>18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3</v>
      </c>
      <c r="D3" s="9">
        <v>0</v>
      </c>
      <c r="E3" s="10">
        <f t="shared" ref="E3:E13" si="0">C3+D3</f>
        <v>3</v>
      </c>
      <c r="F3" s="10" t="s">
        <v>14</v>
      </c>
      <c r="G3" s="10">
        <f>12+14+13.5+13+12+11.5+9+14.5+12+11.5+10.5+3</f>
        <v>136.5</v>
      </c>
      <c r="H3" s="10">
        <v>209</v>
      </c>
      <c r="I3" s="10">
        <f>H3-G3</f>
        <v>72.5</v>
      </c>
      <c r="J3" s="11"/>
      <c r="K3" s="10"/>
      <c r="L3" s="10"/>
      <c r="M3" s="10">
        <f>I3/19</f>
        <v>3.81578947368421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0+12+14+14+12+12+12+10+14+12+12+10</f>
        <v>134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</f>
        <v>0</v>
      </c>
      <c r="H5" s="10">
        <v>3120</v>
      </c>
      <c r="I5" s="10">
        <f>H5-G5-G7-G6</f>
        <v>1378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</f>
        <v>371.5</v>
      </c>
      <c r="H10" s="13">
        <v>3.86</v>
      </c>
      <c r="I10" s="13">
        <f>H10-K11</f>
        <v>0.522707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2.9835</v>
      </c>
      <c r="D11" s="10">
        <v>0</v>
      </c>
      <c r="E11" s="10">
        <f t="shared" si="0"/>
        <v>2.9835</v>
      </c>
      <c r="F11" s="10" t="s">
        <v>14</v>
      </c>
      <c r="G11" s="10">
        <f>10.5435+9.18+7.884+7.479+10.0305+5.373+10.6515+9.3555+6.588+9.72+5.8995+2.9835</f>
        <v>95.688</v>
      </c>
      <c r="H11" s="10"/>
      <c r="I11" s="10">
        <f>G11/(G3*0.1865)</f>
        <v>3.75877205904016</v>
      </c>
      <c r="J11" s="19" t="s">
        <v>24</v>
      </c>
      <c r="K11" s="20">
        <f>0+0.55179+0+0.565565+0.275722+0.274654+0.55395+0.56025+0.28089+0+0.274472+0</f>
        <v>3.337293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 t="s">
        <v>14</v>
      </c>
      <c r="G12" s="10">
        <f>18.4368+10.1016+12.6224+15.64+16.744+13.8+11.0584+13.0824+16.5784+12.8432+13.9288+0</f>
        <v>154.836</v>
      </c>
      <c r="H12" s="10"/>
      <c r="I12" s="10">
        <f>G12/(G3*0.1865)</f>
        <v>6.08219662375158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3</v>
      </c>
      <c r="D13" s="10">
        <v>0</v>
      </c>
      <c r="E13" s="10">
        <f t="shared" si="0"/>
        <v>3</v>
      </c>
      <c r="F13" s="10" t="s">
        <v>27</v>
      </c>
      <c r="G13" s="10">
        <f>471+414+426+428+458+373+332+426+365+369+427+3</f>
        <v>4492</v>
      </c>
      <c r="H13" s="10">
        <f>G13*1.05</f>
        <v>4716.6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34</v>
      </c>
      <c r="D14" s="10">
        <v>0</v>
      </c>
      <c r="E14" s="10">
        <f t="shared" ref="E14:E23" si="1">D14+C14</f>
        <v>34</v>
      </c>
      <c r="F14" s="10" t="s">
        <v>27</v>
      </c>
      <c r="G14" s="10">
        <f>379+378+345+427+407+373+282+415+373+339+364+34</f>
        <v>4116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110.3</v>
      </c>
      <c r="D15" s="10">
        <v>0</v>
      </c>
      <c r="E15" s="10">
        <f t="shared" si="1"/>
        <v>110.3</v>
      </c>
      <c r="F15" s="10" t="s">
        <v>27</v>
      </c>
      <c r="G15" s="10">
        <f>759.56+799.43+811.69+866.88+886.17+680.76+886.98+870.58+848.77+897.24+520.02+110.3</f>
        <v>8938.38</v>
      </c>
      <c r="H15" s="10"/>
      <c r="I15" s="10"/>
      <c r="J15" s="19" t="s">
        <v>30</v>
      </c>
      <c r="K15" s="10">
        <v>3.18</v>
      </c>
      <c r="L15" s="10">
        <v>0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33+30+27+30+33+24+24+33+24+27+24+0</f>
        <v>309</v>
      </c>
      <c r="H16" s="10"/>
      <c r="I16" s="10">
        <f>G16/(G3*0.1865)</f>
        <v>12.1379960522052</v>
      </c>
      <c r="J16" s="19" t="s">
        <v>32</v>
      </c>
      <c r="K16" s="20">
        <f>2.2656512+2.7043886+2.7187124+2.838152+2.9641425+2.2756185+2.6876578+2.6498176+2.5338794+2.6521892+1.6536636+0.350754</f>
        <v>28.2946268</v>
      </c>
      <c r="L16" s="10"/>
      <c r="M16" s="10">
        <f>(C15*K15+L15*D15)/1000</f>
        <v>0.350754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0+2+0+2+0+2+0+0+2+2+0+2</f>
        <v>12</v>
      </c>
      <c r="H19" s="22"/>
      <c r="I19" s="10">
        <f>G19/(G3*0.1865)</f>
        <v>0.471378487464278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0+2+0+2+0+2+0+0+2+2+0+2</f>
        <v>12</v>
      </c>
      <c r="H20" s="22"/>
      <c r="I20" s="10">
        <f>G20/(G3*0.1865)</f>
        <v>0.471378487464278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1</v>
      </c>
      <c r="E21" s="10">
        <f t="shared" si="1"/>
        <v>3</v>
      </c>
      <c r="F21" s="10" t="s">
        <v>38</v>
      </c>
      <c r="G21" s="10">
        <f>6+6+7+5+2+7+3+4+13+7+3+3</f>
        <v>66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2</v>
      </c>
      <c r="D22" s="7">
        <v>0</v>
      </c>
      <c r="E22" s="10">
        <f t="shared" si="1"/>
        <v>2</v>
      </c>
      <c r="F22" s="10" t="s">
        <v>27</v>
      </c>
      <c r="G22" s="10">
        <f>1188+1059+1106+1089+1115+739+1190+1160+1118+1090+637+2</f>
        <v>11493</v>
      </c>
      <c r="H22" s="23"/>
      <c r="I22" s="10" t="e">
        <f>E22/M22</f>
        <v>#DIV/0!</v>
      </c>
      <c r="J22" s="19" t="s">
        <v>40</v>
      </c>
      <c r="K22" s="10">
        <f>24+24+24+24+24+10.5+24+24+24+24+13+0</f>
        <v>239.5</v>
      </c>
      <c r="L22" s="10">
        <f>G22/K22</f>
        <v>47.9874739039666</v>
      </c>
      <c r="M22" s="10">
        <v>0</v>
      </c>
    </row>
    <row r="23" s="1" customFormat="1" ht="25" customHeight="1" spans="1:13">
      <c r="A23" s="12">
        <v>18</v>
      </c>
      <c r="B23" s="8" t="s">
        <v>41</v>
      </c>
      <c r="C23" s="7">
        <v>0</v>
      </c>
      <c r="D23" s="7">
        <v>0</v>
      </c>
      <c r="E23" s="10">
        <f t="shared" si="1"/>
        <v>0</v>
      </c>
      <c r="F23" s="10" t="s">
        <v>27</v>
      </c>
      <c r="G23" s="10">
        <f>1569+1358+1338+1398+1471+952+1468+1460+1309+1386+760+0</f>
        <v>14469</v>
      </c>
      <c r="H23" s="22"/>
      <c r="I23" s="10" t="e">
        <f>E23/M22</f>
        <v>#DIV/0!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0</v>
      </c>
      <c r="D24" s="12">
        <v>0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119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123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123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124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125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126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12.61+12.57+12.61+12.64+12.73+13.08+6.35+12.54+12.61+6.39+0+0</f>
        <v>114.13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0</v>
      </c>
      <c r="D33" s="10">
        <v>12</v>
      </c>
      <c r="E33" s="10">
        <f t="shared" si="2"/>
        <v>12</v>
      </c>
      <c r="F33" s="10" t="s">
        <v>27</v>
      </c>
      <c r="G33" s="10">
        <f>14+32+21+38.65+18+15+0+43+25+27+20+12</f>
        <v>265.65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84</v>
      </c>
      <c r="D36" s="10">
        <v>0</v>
      </c>
      <c r="E36" s="10">
        <f t="shared" si="2"/>
        <v>84</v>
      </c>
      <c r="F36" s="10" t="s">
        <v>27</v>
      </c>
      <c r="G36" s="10">
        <f>523+309+0+1+0+104+0+526+588+571+540+84</f>
        <v>3246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515</v>
      </c>
      <c r="D37" s="10">
        <v>512</v>
      </c>
      <c r="E37" s="10">
        <f t="shared" si="2"/>
        <v>1027</v>
      </c>
      <c r="F37" s="10" t="s">
        <v>27</v>
      </c>
      <c r="G37" s="10">
        <f>1033+1032+1024+1026+1022+1020+507+1031+1028+1029+1030+1027</f>
        <v>11809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</f>
        <v>0</v>
      </c>
      <c r="H38" s="22"/>
      <c r="I38" s="7">
        <v>1050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</f>
        <v>0</v>
      </c>
      <c r="H39" s="22"/>
      <c r="I39" s="7">
        <v>60.802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0</v>
      </c>
      <c r="D40" s="7">
        <v>0</v>
      </c>
      <c r="E40" s="10">
        <f>D40+C40</f>
        <v>0</v>
      </c>
      <c r="F40" s="10" t="s">
        <v>38</v>
      </c>
      <c r="G40" s="10">
        <f>7+7+5+6+5+6+2+4+5+2+0+0</f>
        <v>49</v>
      </c>
      <c r="H40" s="22"/>
      <c r="I40" s="10"/>
      <c r="J40" s="37"/>
      <c r="K40" s="25"/>
      <c r="L40" s="19" t="s">
        <v>70</v>
      </c>
      <c r="M40" s="7">
        <v>18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3" si="0">C3+D3</f>
        <v>0</v>
      </c>
      <c r="F3" s="10" t="s">
        <v>14</v>
      </c>
      <c r="G3" s="10">
        <f>12+14+13.5+13+12+11.5+9+14.5+12+11.5+10.5+3+0</f>
        <v>136.5</v>
      </c>
      <c r="H3" s="10">
        <v>209</v>
      </c>
      <c r="I3" s="10">
        <f>H3-G3</f>
        <v>72.5</v>
      </c>
      <c r="J3" s="11"/>
      <c r="K3" s="10"/>
      <c r="L3" s="10"/>
      <c r="M3" s="10">
        <f>I3/18</f>
        <v>4.02777777777778</v>
      </c>
    </row>
    <row r="4" s="1" customFormat="1" ht="35" customHeight="1" spans="1:13">
      <c r="A4" s="12">
        <v>2</v>
      </c>
      <c r="B4" s="8" t="s">
        <v>15</v>
      </c>
      <c r="C4" s="9">
        <v>2</v>
      </c>
      <c r="D4" s="9"/>
      <c r="E4" s="10">
        <f t="shared" si="0"/>
        <v>2</v>
      </c>
      <c r="F4" s="10" t="s">
        <v>14</v>
      </c>
      <c r="G4" s="10">
        <f>0+12+14+14+12+12+12+10+14+12+12+10+2</f>
        <v>136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</f>
        <v>0</v>
      </c>
      <c r="H5" s="10">
        <v>3120</v>
      </c>
      <c r="I5" s="10">
        <f>H5-G5-G7-G6</f>
        <v>1378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</f>
        <v>371.5</v>
      </c>
      <c r="H10" s="13">
        <v>3.86</v>
      </c>
      <c r="I10" s="13">
        <f>H10-K11</f>
        <v>0.522707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10.5435+9.18+7.884+7.479+10.0305+5.373+10.6515+9.3555+6.588+9.72+5.8995+2.9835+0</f>
        <v>95.688</v>
      </c>
      <c r="H11" s="10"/>
      <c r="I11" s="10">
        <f>G11/(G3*0.1865)</f>
        <v>3.75877205904016</v>
      </c>
      <c r="J11" s="19" t="s">
        <v>24</v>
      </c>
      <c r="K11" s="20">
        <f>0+0.55179+0+0.565565+0.275722+0.274654+0.55395+0.56025+0.28089+0+0.274472+0+0</f>
        <v>3.337293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 t="s">
        <v>14</v>
      </c>
      <c r="G12" s="10">
        <f>18.4368+10.1016+12.6224+15.64+16.744+13.8+11.0584+13.0824+16.5784+12.8432+13.9288+0+0</f>
        <v>154.836</v>
      </c>
      <c r="H12" s="10"/>
      <c r="I12" s="10">
        <f>G12/(G3*0.1865)</f>
        <v>6.08219662375158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0</v>
      </c>
      <c r="D13" s="10">
        <v>0</v>
      </c>
      <c r="E13" s="10">
        <f t="shared" si="0"/>
        <v>0</v>
      </c>
      <c r="F13" s="10" t="s">
        <v>27</v>
      </c>
      <c r="G13" s="10">
        <f>471+414+426+428+458+373+332+426+365+369+427+3+0</f>
        <v>4492</v>
      </c>
      <c r="H13" s="10">
        <f>G13*1.05</f>
        <v>4716.6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0</v>
      </c>
      <c r="E14" s="10">
        <f t="shared" ref="E14:E23" si="1">D14+C14</f>
        <v>0</v>
      </c>
      <c r="F14" s="10" t="s">
        <v>27</v>
      </c>
      <c r="G14" s="10">
        <f>379+378+345+427+407+373+282+415+373+339+364+34+0</f>
        <v>4116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0</v>
      </c>
      <c r="D15" s="10">
        <v>0</v>
      </c>
      <c r="E15" s="10">
        <f t="shared" si="1"/>
        <v>0</v>
      </c>
      <c r="F15" s="10" t="s">
        <v>27</v>
      </c>
      <c r="G15" s="10">
        <f>759.56+799.43+811.69+866.88+886.17+680.76+886.98+870.58+848.77+897.24+520.02+110.3+0</f>
        <v>8938.38</v>
      </c>
      <c r="H15" s="10"/>
      <c r="I15" s="10"/>
      <c r="J15" s="19" t="s">
        <v>30</v>
      </c>
      <c r="K15" s="10">
        <v>0</v>
      </c>
      <c r="L15" s="10">
        <v>0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33+30+27+30+33+24+24+33+24+27+24+0+0</f>
        <v>309</v>
      </c>
      <c r="H16" s="10"/>
      <c r="I16" s="10">
        <f>G16/(G3*0.1865)</f>
        <v>12.1379960522052</v>
      </c>
      <c r="J16" s="19" t="s">
        <v>32</v>
      </c>
      <c r="K16" s="20">
        <f>2.2656512+2.7043886+2.7187124+2.838152+2.9641425+2.2756185+2.6876578+2.6498176+2.5338794+2.6521892+1.6536636+0.350754+0</f>
        <v>28.2946268</v>
      </c>
      <c r="L16" s="10"/>
      <c r="M16" s="10">
        <f>(C15*K15+L15*D15)/1000</f>
        <v>0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</f>
        <v>12</v>
      </c>
      <c r="H19" s="22"/>
      <c r="I19" s="10">
        <f>G19/(G3*0.1865)</f>
        <v>0.471378487464278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</f>
        <v>12</v>
      </c>
      <c r="H20" s="22"/>
      <c r="I20" s="10">
        <f>G20/(G3*0.1865)</f>
        <v>0.471378487464278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7</v>
      </c>
      <c r="D21" s="7">
        <v>0</v>
      </c>
      <c r="E21" s="10">
        <f t="shared" si="1"/>
        <v>7</v>
      </c>
      <c r="F21" s="10" t="s">
        <v>38</v>
      </c>
      <c r="G21" s="10">
        <f>6+6+7+5+2+7+3+4+13+7+3+3+7</f>
        <v>73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0</v>
      </c>
      <c r="D22" s="7">
        <v>0</v>
      </c>
      <c r="E22" s="10">
        <f t="shared" si="1"/>
        <v>0</v>
      </c>
      <c r="F22" s="10" t="s">
        <v>27</v>
      </c>
      <c r="G22" s="10">
        <f>1188+1059+1106+1089+1115+739+1190+1160+1118+1090+637+2+0</f>
        <v>11493</v>
      </c>
      <c r="H22" s="23"/>
      <c r="I22" s="10" t="e">
        <f>E22/M22</f>
        <v>#DIV/0!</v>
      </c>
      <c r="J22" s="19" t="s">
        <v>40</v>
      </c>
      <c r="K22" s="10">
        <f>24+24+24+24+24+10.5+24+24+24+24+13+0+0</f>
        <v>239.5</v>
      </c>
      <c r="L22" s="10">
        <f>G22/K22</f>
        <v>47.9874739039666</v>
      </c>
      <c r="M22" s="10">
        <v>0</v>
      </c>
    </row>
    <row r="23" s="1" customFormat="1" ht="25" customHeight="1" spans="1:13">
      <c r="A23" s="12">
        <v>18</v>
      </c>
      <c r="B23" s="8" t="s">
        <v>41</v>
      </c>
      <c r="C23" s="7">
        <v>0</v>
      </c>
      <c r="D23" s="7">
        <v>0</v>
      </c>
      <c r="E23" s="10">
        <f t="shared" si="1"/>
        <v>0</v>
      </c>
      <c r="F23" s="10" t="s">
        <v>27</v>
      </c>
      <c r="G23" s="10">
        <f>1569+1358+1338+1398+1471+952+1468+1460+1309+1386+760+0+0</f>
        <v>14469</v>
      </c>
      <c r="H23" s="22"/>
      <c r="I23" s="10" t="e">
        <f>E23/M22</f>
        <v>#DIV/0!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0</v>
      </c>
      <c r="D24" s="12">
        <v>0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128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128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129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129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130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131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12.61+12.57+12.61+12.64+12.73+13.08+6.35+12.54+12.61+6.39+0+0+0</f>
        <v>114.13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64</v>
      </c>
      <c r="D33" s="10">
        <v>0</v>
      </c>
      <c r="E33" s="10">
        <f t="shared" si="2"/>
        <v>64</v>
      </c>
      <c r="F33" s="10" t="s">
        <v>27</v>
      </c>
      <c r="G33" s="10">
        <f>14+32+21+38.65+18+15+0+43+25+27+20+12+64</f>
        <v>329.65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523+309+0+1+0+104+0+526+588+571+540+84+0</f>
        <v>3246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488</v>
      </c>
      <c r="D37" s="10">
        <v>0</v>
      </c>
      <c r="E37" s="10">
        <f t="shared" si="2"/>
        <v>488</v>
      </c>
      <c r="F37" s="10" t="s">
        <v>27</v>
      </c>
      <c r="G37" s="10">
        <f>1033+1032+1024+1026+1022+1020+507+1031+1028+1029+1030+1027+488</f>
        <v>12297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0+0+0+0+0+0+0+0+0+0+0+0+0</f>
        <v>0</v>
      </c>
      <c r="H38" s="22"/>
      <c r="I38" s="7">
        <v>1050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0+0+0+0+0+0+0+0+0+0+0+0+0</f>
        <v>0</v>
      </c>
      <c r="H39" s="22"/>
      <c r="I39" s="7">
        <v>60.802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0</v>
      </c>
      <c r="D40" s="7">
        <v>0</v>
      </c>
      <c r="E40" s="10">
        <f>D40+C40</f>
        <v>0</v>
      </c>
      <c r="F40" s="10" t="s">
        <v>38</v>
      </c>
      <c r="G40" s="10">
        <f>7+7+5+6+5+6+2+4+5+2+0+0+0</f>
        <v>49</v>
      </c>
      <c r="H40" s="22"/>
      <c r="I40" s="10"/>
      <c r="J40" s="37"/>
      <c r="K40" s="25"/>
      <c r="L40" s="19" t="s">
        <v>70</v>
      </c>
      <c r="M40" s="7">
        <v>18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3" si="0">C3+D3</f>
        <v>0</v>
      </c>
      <c r="F3" s="10" t="s">
        <v>14</v>
      </c>
      <c r="G3" s="10">
        <f>12+14+13.5+13+12+11.5+9+14.5+12+11.5+10.5+3+0+0</f>
        <v>136.5</v>
      </c>
      <c r="H3" s="10">
        <v>209</v>
      </c>
      <c r="I3" s="10">
        <f>H3-G3</f>
        <v>72.5</v>
      </c>
      <c r="J3" s="11"/>
      <c r="K3" s="10"/>
      <c r="L3" s="10"/>
      <c r="M3" s="10">
        <f>I3/17</f>
        <v>4.26470588235294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0+12+14+14+12+12+12+10+14+12+12+10+2+0</f>
        <v>136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</f>
        <v>0</v>
      </c>
      <c r="H5" s="10">
        <v>3120</v>
      </c>
      <c r="I5" s="10">
        <f>H5-G5-G7-G6</f>
        <v>1378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</f>
        <v>371.5</v>
      </c>
      <c r="H10" s="13">
        <v>3.86</v>
      </c>
      <c r="I10" s="13">
        <f>H10-K11</f>
        <v>0.522707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10.5435+9.18+7.884+7.479+10.0305+5.373+10.6515+9.3555+6.588+9.72+5.8995+2.9835+0+0</f>
        <v>95.688</v>
      </c>
      <c r="H11" s="10"/>
      <c r="I11" s="10">
        <f>G11/(G3*0.1865)</f>
        <v>3.75877205904016</v>
      </c>
      <c r="J11" s="19" t="s">
        <v>24</v>
      </c>
      <c r="K11" s="20">
        <f>0+0.55179+0+0.565565+0.275722+0.274654+0.55395+0.56025+0.28089+0+0.274472+0+0+0</f>
        <v>3.337293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 t="s">
        <v>14</v>
      </c>
      <c r="G12" s="10">
        <f>18.4368+10.1016+12.6224+15.64+16.744+13.8+11.0584+13.0824+16.5784+12.8432+13.9288+0+0+0</f>
        <v>154.836</v>
      </c>
      <c r="H12" s="10"/>
      <c r="I12" s="10">
        <f>G12/(G3*0.1865)</f>
        <v>6.08219662375158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0</v>
      </c>
      <c r="D13" s="10">
        <v>0</v>
      </c>
      <c r="E13" s="10">
        <f t="shared" si="0"/>
        <v>0</v>
      </c>
      <c r="F13" s="10" t="s">
        <v>27</v>
      </c>
      <c r="G13" s="10">
        <f>471+414+426+428+458+373+332+426+365+369+427+3+0+0</f>
        <v>4492</v>
      </c>
      <c r="H13" s="10">
        <f>G13*1.05</f>
        <v>4716.6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0</v>
      </c>
      <c r="E14" s="10">
        <f t="shared" ref="E14:E23" si="1">D14+C14</f>
        <v>0</v>
      </c>
      <c r="F14" s="10" t="s">
        <v>27</v>
      </c>
      <c r="G14" s="10">
        <f>379+378+345+427+407+373+282+415+373+339+364+34+0+0</f>
        <v>4116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0</v>
      </c>
      <c r="D15" s="10">
        <v>0</v>
      </c>
      <c r="E15" s="10">
        <f t="shared" si="1"/>
        <v>0</v>
      </c>
      <c r="F15" s="10" t="s">
        <v>27</v>
      </c>
      <c r="G15" s="10">
        <f>759.56+799.43+811.69+866.88+886.17+680.76+886.98+870.58+848.77+897.24+520.02+110.3+0+0</f>
        <v>8938.38</v>
      </c>
      <c r="H15" s="10"/>
      <c r="I15" s="10"/>
      <c r="J15" s="19" t="s">
        <v>30</v>
      </c>
      <c r="K15" s="10">
        <v>0</v>
      </c>
      <c r="L15" s="10">
        <v>0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33+30+27+30+33+24+24+33+24+27+24+0+0+0</f>
        <v>309</v>
      </c>
      <c r="H16" s="10"/>
      <c r="I16" s="10">
        <f>G16/(G3*0.1865)</f>
        <v>12.1379960522052</v>
      </c>
      <c r="J16" s="19" t="s">
        <v>32</v>
      </c>
      <c r="K16" s="20">
        <f>2.2656512+2.7043886+2.7187124+2.838152+2.9641425+2.2756185+2.6876578+2.6498176+2.5338794+2.6521892+1.6536636+0.350754+0+0</f>
        <v>28.2946268</v>
      </c>
      <c r="L16" s="10"/>
      <c r="M16" s="10">
        <f>(C15*K15+L15*D15)/1000</f>
        <v>0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</f>
        <v>12</v>
      </c>
      <c r="H19" s="22"/>
      <c r="I19" s="10">
        <f>G19/(G3*0.1865)</f>
        <v>0.471378487464278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</f>
        <v>12</v>
      </c>
      <c r="H20" s="22"/>
      <c r="I20" s="10">
        <f>G20/(G3*0.1865)</f>
        <v>0.471378487464278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6+6+7+5+2+7+3+4+13+7+3+3+7+0</f>
        <v>73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0</v>
      </c>
      <c r="D22" s="7">
        <v>0</v>
      </c>
      <c r="E22" s="10">
        <f t="shared" si="1"/>
        <v>0</v>
      </c>
      <c r="F22" s="10" t="s">
        <v>27</v>
      </c>
      <c r="G22" s="10">
        <f>1188+1059+1106+1089+1115+739+1190+1160+1118+1090+637+2+0+0</f>
        <v>11493</v>
      </c>
      <c r="H22" s="23"/>
      <c r="I22" s="10" t="e">
        <f>E22/M22</f>
        <v>#DIV/0!</v>
      </c>
      <c r="J22" s="19" t="s">
        <v>40</v>
      </c>
      <c r="K22" s="10">
        <f>24+24+24+24+24+10.5+24+24+24+24+13+0+0+0</f>
        <v>239.5</v>
      </c>
      <c r="L22" s="10">
        <f>G22/K22</f>
        <v>47.9874739039666</v>
      </c>
      <c r="M22" s="10">
        <v>0</v>
      </c>
    </row>
    <row r="23" s="1" customFormat="1" ht="25" customHeight="1" spans="1:13">
      <c r="A23" s="12">
        <v>18</v>
      </c>
      <c r="B23" s="8" t="s">
        <v>41</v>
      </c>
      <c r="C23" s="7">
        <v>0</v>
      </c>
      <c r="D23" s="7">
        <v>0</v>
      </c>
      <c r="E23" s="10">
        <f t="shared" si="1"/>
        <v>0</v>
      </c>
      <c r="F23" s="10" t="s">
        <v>27</v>
      </c>
      <c r="G23" s="10">
        <f>1569+1358+1338+1398+1471+952+1468+1460+1309+1386+760+0+0+0</f>
        <v>14469</v>
      </c>
      <c r="H23" s="22"/>
      <c r="I23" s="10" t="e">
        <f>E23/M22</f>
        <v>#DIV/0!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0</v>
      </c>
      <c r="D24" s="12">
        <v>0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128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128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129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129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133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134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12.61+12.57+12.61+12.64+12.73+13.08+6.35+12.54+12.61+6.39+0+0+0+0</f>
        <v>114.13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0</v>
      </c>
      <c r="D33" s="10">
        <v>0</v>
      </c>
      <c r="E33" s="10">
        <f t="shared" si="2"/>
        <v>0</v>
      </c>
      <c r="F33" s="10" t="s">
        <v>27</v>
      </c>
      <c r="G33" s="10">
        <f>14+32+21+38.65+18+15+0+43+25+27+20+12+64+0</f>
        <v>329.65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523+309+0+1+0+104+0+526+588+571+540+84+0+0</f>
        <v>3246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1033+1032+1024+1026+1022+1020+507+1031+1028+1029+1030+1027+488+0</f>
        <v>12297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0+0+0+0+0+0+0+0+0+0+0+0+0+0</f>
        <v>0</v>
      </c>
      <c r="H38" s="22"/>
      <c r="I38" s="7">
        <v>765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0+0+0+0+0+0+0+0+0+0+0+0+0+0</f>
        <v>0</v>
      </c>
      <c r="H39" s="22"/>
      <c r="I39" s="7">
        <v>59.0648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0</v>
      </c>
      <c r="D40" s="7">
        <v>0</v>
      </c>
      <c r="E40" s="10">
        <f>D40+C40</f>
        <v>0</v>
      </c>
      <c r="F40" s="10" t="s">
        <v>38</v>
      </c>
      <c r="G40" s="10">
        <f>7+7+5+6+5+6+2+4+5+2+0+0+0+0</f>
        <v>49</v>
      </c>
      <c r="H40" s="22"/>
      <c r="I40" s="10"/>
      <c r="J40" s="37"/>
      <c r="K40" s="25"/>
      <c r="L40" s="19" t="s">
        <v>70</v>
      </c>
      <c r="M40" s="7">
        <v>18</v>
      </c>
    </row>
    <row r="41" s="1" customFormat="1" ht="80" customHeight="1" spans="1:13">
      <c r="A41" s="7">
        <v>11</v>
      </c>
      <c r="B41" s="34" t="s">
        <v>71</v>
      </c>
      <c r="C41" s="25" t="s">
        <v>135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3" si="0">C3+D3</f>
        <v>0</v>
      </c>
      <c r="F3" s="10" t="s">
        <v>14</v>
      </c>
      <c r="G3" s="10">
        <f>12+14+13.5+13+12+11.5+9+14.5+12+11.5+10.5+3+0+0+0</f>
        <v>136.5</v>
      </c>
      <c r="H3" s="10">
        <v>209</v>
      </c>
      <c r="I3" s="10">
        <f>H3-G3</f>
        <v>72.5</v>
      </c>
      <c r="J3" s="11"/>
      <c r="K3" s="10"/>
      <c r="L3" s="10"/>
      <c r="M3" s="10">
        <f>I3/16</f>
        <v>4.53125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0+12+14+14+12+12+12+10+14+12+12+10+2+0+0</f>
        <v>136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</f>
        <v>0</v>
      </c>
      <c r="H5" s="10">
        <v>3120</v>
      </c>
      <c r="I5" s="10">
        <f>H5-G5-G7-G6</f>
        <v>1378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</f>
        <v>371.5</v>
      </c>
      <c r="H10" s="13">
        <v>3.86</v>
      </c>
      <c r="I10" s="13">
        <f>H10-K11</f>
        <v>0.522707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10.5435+9.18+7.884+7.479+10.0305+5.373+10.6515+9.3555+6.588+9.72+5.8995+2.9835+0+0+0</f>
        <v>95.688</v>
      </c>
      <c r="H11" s="10"/>
      <c r="I11" s="10">
        <f>G11/(G3*0.1865)</f>
        <v>3.75877205904016</v>
      </c>
      <c r="J11" s="19" t="s">
        <v>24</v>
      </c>
      <c r="K11" s="20">
        <f>0+0.55179+0+0.565565+0.275722+0.274654+0.55395+0.56025+0.28089+0+0.274472+0+0+0+0</f>
        <v>3.337293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 t="s">
        <v>14</v>
      </c>
      <c r="G12" s="10">
        <f>18.4368+10.1016+12.6224+15.64+16.744+13.8+11.0584+13.0824+16.5784+12.8432+13.9288+0+0+0+0</f>
        <v>154.836</v>
      </c>
      <c r="H12" s="10"/>
      <c r="I12" s="10">
        <f>G12/(G3*0.1865)</f>
        <v>6.08219662375158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0</v>
      </c>
      <c r="D13" s="10">
        <v>0</v>
      </c>
      <c r="E13" s="10">
        <f t="shared" si="0"/>
        <v>0</v>
      </c>
      <c r="F13" s="10" t="s">
        <v>27</v>
      </c>
      <c r="G13" s="10">
        <f>471+414+426+428+458+373+332+426+365+369+427+3+0+0+0</f>
        <v>4492</v>
      </c>
      <c r="H13" s="10">
        <f>G13*1.05</f>
        <v>4716.6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0</v>
      </c>
      <c r="E14" s="10">
        <f t="shared" ref="E14:E23" si="1">D14+C14</f>
        <v>0</v>
      </c>
      <c r="F14" s="10" t="s">
        <v>27</v>
      </c>
      <c r="G14" s="10">
        <f>379+378+345+427+407+373+282+415+373+339+364+34+0+0+0</f>
        <v>4116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0</v>
      </c>
      <c r="D15" s="10">
        <v>0</v>
      </c>
      <c r="E15" s="10">
        <f t="shared" si="1"/>
        <v>0</v>
      </c>
      <c r="F15" s="10" t="s">
        <v>27</v>
      </c>
      <c r="G15" s="10">
        <f>759.56+799.43+811.69+866.88+886.17+680.76+886.98+870.58+848.77+897.24+520.02+110.3+0+0+0</f>
        <v>8938.38</v>
      </c>
      <c r="H15" s="10"/>
      <c r="I15" s="10"/>
      <c r="J15" s="19" t="s">
        <v>30</v>
      </c>
      <c r="K15" s="10">
        <v>0</v>
      </c>
      <c r="L15" s="10">
        <v>0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33+30+27+30+33+24+24+33+24+27+24+0+0+0+0</f>
        <v>309</v>
      </c>
      <c r="H16" s="10"/>
      <c r="I16" s="10">
        <f>G16/(G3*0.1865)</f>
        <v>12.1379960522052</v>
      </c>
      <c r="J16" s="19" t="s">
        <v>32</v>
      </c>
      <c r="K16" s="20">
        <f>2.2656512+2.7043886+2.7187124+2.838152+2.9641425+2.2756185+2.6876578+2.6498176+2.5338794+2.6521892+1.6536636+0.350754+0+0+0</f>
        <v>28.2946268</v>
      </c>
      <c r="L16" s="10"/>
      <c r="M16" s="10">
        <f>(C15*K15+L15*D15)/1000</f>
        <v>0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</f>
        <v>12</v>
      </c>
      <c r="H19" s="22"/>
      <c r="I19" s="10">
        <f>G19/(G3*0.1865)</f>
        <v>0.471378487464278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</f>
        <v>12</v>
      </c>
      <c r="H20" s="22"/>
      <c r="I20" s="10">
        <f>G20/(G3*0.1865)</f>
        <v>0.471378487464278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6+6+7+5+2+7+3+4+13+7+3+3+7+0+0</f>
        <v>73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0</v>
      </c>
      <c r="D22" s="7">
        <v>0</v>
      </c>
      <c r="E22" s="10">
        <f t="shared" si="1"/>
        <v>0</v>
      </c>
      <c r="F22" s="10" t="s">
        <v>27</v>
      </c>
      <c r="G22" s="10">
        <f>1188+1059+1106+1089+1115+739+1190+1160+1118+1090+637+2+0+0+0</f>
        <v>11493</v>
      </c>
      <c r="H22" s="23"/>
      <c r="I22" s="10" t="e">
        <f>E22/M22</f>
        <v>#DIV/0!</v>
      </c>
      <c r="J22" s="19" t="s">
        <v>40</v>
      </c>
      <c r="K22" s="10">
        <f>24+24+24+24+24+10.5+24+24+24+24+13+0+0+0+0</f>
        <v>239.5</v>
      </c>
      <c r="L22" s="10">
        <f>G22/K22</f>
        <v>47.9874739039666</v>
      </c>
      <c r="M22" s="10">
        <v>0</v>
      </c>
    </row>
    <row r="23" s="1" customFormat="1" ht="25" customHeight="1" spans="1:13">
      <c r="A23" s="12">
        <v>18</v>
      </c>
      <c r="B23" s="8" t="s">
        <v>41</v>
      </c>
      <c r="C23" s="7">
        <v>0</v>
      </c>
      <c r="D23" s="7">
        <v>0</v>
      </c>
      <c r="E23" s="10">
        <f t="shared" si="1"/>
        <v>0</v>
      </c>
      <c r="F23" s="10" t="s">
        <v>27</v>
      </c>
      <c r="G23" s="10">
        <f>1569+1358+1338+1398+1471+952+1468+1460+1309+1386+760+0+0+0+0</f>
        <v>14469</v>
      </c>
      <c r="H23" s="22"/>
      <c r="I23" s="10" t="e">
        <f>E23/M22</f>
        <v>#DIV/0!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0</v>
      </c>
      <c r="D24" s="12">
        <v>0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128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128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129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129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137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138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12.61+12.57+12.61+12.64+12.73+13.08+6.35+12.54+12.61+6.39+0+0+0+0+0</f>
        <v>114.13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46</v>
      </c>
      <c r="D33" s="10">
        <v>0</v>
      </c>
      <c r="E33" s="10">
        <f t="shared" si="2"/>
        <v>46</v>
      </c>
      <c r="F33" s="10" t="s">
        <v>27</v>
      </c>
      <c r="G33" s="10">
        <f>14+32+21+38.65+18+15+0+43+25+27+20+12+64+0+46</f>
        <v>375.65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6.615+8.667+0+14.8095+0+16.0515+0+0+6.912+12.231+0+0+0+0+0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523+309+0+1+0+104+0+526+588+571+540+84+0+0+0</f>
        <v>3246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524</v>
      </c>
      <c r="D37" s="10">
        <v>0</v>
      </c>
      <c r="E37" s="10">
        <f t="shared" si="2"/>
        <v>524</v>
      </c>
      <c r="F37" s="10" t="s">
        <v>27</v>
      </c>
      <c r="G37" s="10">
        <f>1033+1032+1024+1026+1022+1020+507+1031+1028+1029+1030+1027+488+0+524</f>
        <v>12821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0+0+0+0+0+0+0+0+0+0+0+0+0+0+0</f>
        <v>0</v>
      </c>
      <c r="H38" s="22"/>
      <c r="I38" s="7">
        <v>1050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0+0+0+0+0+0+0+0+0+0+0+0+0+0+0</f>
        <v>0</v>
      </c>
      <c r="H39" s="22"/>
      <c r="I39" s="7">
        <v>59.0648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0</v>
      </c>
      <c r="D40" s="7">
        <v>0</v>
      </c>
      <c r="E40" s="10">
        <f>D40+C40</f>
        <v>0</v>
      </c>
      <c r="F40" s="10" t="s">
        <v>38</v>
      </c>
      <c r="G40" s="10">
        <f>7+7+5+6+5+6+2+4+5+2+0+0+0+0+0</f>
        <v>49</v>
      </c>
      <c r="H40" s="22"/>
      <c r="I40" s="10"/>
      <c r="J40" s="37"/>
      <c r="K40" s="25"/>
      <c r="L40" s="19" t="s">
        <v>70</v>
      </c>
      <c r="M40" s="7">
        <v>18</v>
      </c>
    </row>
    <row r="41" s="1" customFormat="1" ht="80" customHeight="1" spans="1:13">
      <c r="A41" s="7">
        <v>11</v>
      </c>
      <c r="B41" s="34" t="s">
        <v>71</v>
      </c>
      <c r="C41" s="25" t="s">
        <v>135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3" si="0">C3+D3</f>
        <v>0</v>
      </c>
      <c r="F3" s="10" t="s">
        <v>14</v>
      </c>
      <c r="G3" s="10">
        <f>12+14+13.5+13+12+11.5+9+14.5+12+11.5+10.5+3+0+0+0+0</f>
        <v>136.5</v>
      </c>
      <c r="H3" s="10">
        <v>209</v>
      </c>
      <c r="I3" s="10">
        <f>H3-G3</f>
        <v>72.5</v>
      </c>
      <c r="J3" s="11"/>
      <c r="K3" s="10"/>
      <c r="L3" s="10"/>
      <c r="M3" s="10">
        <f>I3/15</f>
        <v>4.83333333333333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0+12+14+14+12+12+12+10+14+12+12+10+2+0+0+0</f>
        <v>136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</f>
        <v>0</v>
      </c>
      <c r="H5" s="10">
        <v>3120</v>
      </c>
      <c r="I5" s="10">
        <f>H5-G5-G7-G6</f>
        <v>1378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0+0+0+1+0+0+0+0+0+0+1+0+0+0+0+0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</f>
        <v>371.5</v>
      </c>
      <c r="H10" s="13">
        <v>3.86</v>
      </c>
      <c r="I10" s="13">
        <f>H10-K11</f>
        <v>0.522707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10.5435+9.18+7.884+7.479+10.0305+5.373+10.6515+9.3555+6.588+9.72+5.8995+2.9835+0+0+0+0</f>
        <v>95.688</v>
      </c>
      <c r="H11" s="10"/>
      <c r="I11" s="10">
        <f>G11/(G3*0.1865)</f>
        <v>3.75877205904016</v>
      </c>
      <c r="J11" s="19" t="s">
        <v>24</v>
      </c>
      <c r="K11" s="20">
        <f>0+0.55179+0+0.565565+0.275722+0.274654+0.55395+0.56025+0.28089+0+0.274472+0+0+0+0+0</f>
        <v>3.337293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 t="s">
        <v>14</v>
      </c>
      <c r="G12" s="10">
        <f>18.4368+10.1016+12.6224+15.64+16.744+13.8+11.0584+13.0824+16.5784+12.8432+13.9288+0+0+0+0+0</f>
        <v>154.836</v>
      </c>
      <c r="H12" s="10"/>
      <c r="I12" s="10">
        <f>G12/(G3*0.1865)</f>
        <v>6.08219662375158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0</v>
      </c>
      <c r="D13" s="10">
        <v>0</v>
      </c>
      <c r="E13" s="10">
        <f t="shared" si="0"/>
        <v>0</v>
      </c>
      <c r="F13" s="10" t="s">
        <v>27</v>
      </c>
      <c r="G13" s="10">
        <f>471+414+426+428+458+373+332+426+365+369+427+3+0+0+0+0</f>
        <v>4492</v>
      </c>
      <c r="H13" s="10">
        <f>G13*1.05</f>
        <v>4716.6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0</v>
      </c>
      <c r="E14" s="10">
        <f t="shared" ref="E14:E23" si="1">D14+C14</f>
        <v>0</v>
      </c>
      <c r="F14" s="10" t="s">
        <v>27</v>
      </c>
      <c r="G14" s="10">
        <f>379+378+345+427+407+373+282+415+373+339+364+34+0+0+0+0</f>
        <v>4116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0</v>
      </c>
      <c r="D15" s="10">
        <v>0</v>
      </c>
      <c r="E15" s="10">
        <f t="shared" si="1"/>
        <v>0</v>
      </c>
      <c r="F15" s="10" t="s">
        <v>27</v>
      </c>
      <c r="G15" s="10">
        <f>759.56+799.43+811.69+866.88+886.17+680.76+886.98+870.58+848.77+897.24+520.02+110.3+0+0+0+0</f>
        <v>8938.38</v>
      </c>
      <c r="H15" s="10"/>
      <c r="I15" s="10"/>
      <c r="J15" s="19" t="s">
        <v>30</v>
      </c>
      <c r="K15" s="10">
        <v>0</v>
      </c>
      <c r="L15" s="10">
        <v>0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33+30+27+30+33+24+24+33+24+27+24+0+0+0+0+0</f>
        <v>309</v>
      </c>
      <c r="H16" s="10"/>
      <c r="I16" s="10">
        <f>G16/(G3*0.1865)</f>
        <v>12.1379960522052</v>
      </c>
      <c r="J16" s="19" t="s">
        <v>32</v>
      </c>
      <c r="K16" s="20">
        <f>2.2656512+2.7043886+2.7187124+2.838152+2.9641425+2.2756185+2.6876578+2.6498176+2.5338794+2.6521892+1.6536636+0.350754+0+0+0+0</f>
        <v>28.2946268</v>
      </c>
      <c r="L16" s="10"/>
      <c r="M16" s="10">
        <f>(C15*K15+L15*D15)/1000</f>
        <v>0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</f>
        <v>12</v>
      </c>
      <c r="H19" s="22"/>
      <c r="I19" s="10">
        <f>G19/(G3*0.1865)</f>
        <v>0.471378487464278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</f>
        <v>12</v>
      </c>
      <c r="H20" s="22"/>
      <c r="I20" s="10">
        <f>G20/(G3*0.1865)</f>
        <v>0.471378487464278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6+6+7+5+2+7+3+4+13+7+3+3+7+0+0+0</f>
        <v>73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0</v>
      </c>
      <c r="D22" s="7">
        <v>0</v>
      </c>
      <c r="E22" s="10">
        <f t="shared" si="1"/>
        <v>0</v>
      </c>
      <c r="F22" s="10" t="s">
        <v>27</v>
      </c>
      <c r="G22" s="10">
        <f>1188+1059+1106+1089+1115+739+1190+1160+1118+1090+637+2+0+0+0+0</f>
        <v>11493</v>
      </c>
      <c r="H22" s="23"/>
      <c r="I22" s="10" t="e">
        <f>E22/M22</f>
        <v>#DIV/0!</v>
      </c>
      <c r="J22" s="19" t="s">
        <v>40</v>
      </c>
      <c r="K22" s="10">
        <f>24+24+24+24+24+10.5+24+24+24+24+13+0+0+0+0+0</f>
        <v>239.5</v>
      </c>
      <c r="L22" s="10">
        <f>G22/K22</f>
        <v>47.9874739039666</v>
      </c>
      <c r="M22" s="10">
        <v>0</v>
      </c>
    </row>
    <row r="23" s="1" customFormat="1" ht="25" customHeight="1" spans="1:13">
      <c r="A23" s="12">
        <v>18</v>
      </c>
      <c r="B23" s="8" t="s">
        <v>41</v>
      </c>
      <c r="C23" s="7">
        <v>0</v>
      </c>
      <c r="D23" s="7">
        <v>0</v>
      </c>
      <c r="E23" s="10">
        <f t="shared" si="1"/>
        <v>0</v>
      </c>
      <c r="F23" s="10" t="s">
        <v>27</v>
      </c>
      <c r="G23" s="10">
        <f>1569+1358+1338+1398+1471+952+1468+1460+1309+1386+760+0+0+0+0+0</f>
        <v>14469</v>
      </c>
      <c r="H23" s="22"/>
      <c r="I23" s="10" t="e">
        <f>E23/M22</f>
        <v>#DIV/0!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0</v>
      </c>
      <c r="D24" s="12">
        <v>0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128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128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129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129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140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141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12.61+12.57+12.61+12.64+12.73+13.08+6.35+12.54+12.61+6.39+0+0+0+0+0+0</f>
        <v>114.13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0</v>
      </c>
      <c r="D33" s="10">
        <v>0</v>
      </c>
      <c r="E33" s="10">
        <f t="shared" si="2"/>
        <v>0</v>
      </c>
      <c r="F33" s="10" t="s">
        <v>27</v>
      </c>
      <c r="G33" s="10">
        <f>14+32+21+38.65+18+15+0+43+25+27+20+12+64+0+46+0</f>
        <v>375.65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6.615+8.667+0+14.8095+0+16.0515+0+0+6.912+12.231+0+0+0+0+0+0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523+309+0+1+0+104+0+526+588+571+540+84+0+0+0+0</f>
        <v>3246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1033+1032+1024+1026+1022+1020+507+1031+1028+1029+1030+1027+488+0+524+0</f>
        <v>12821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0+0+0+0+0+0+0+0+0+0+0+0+0+0+0+0</f>
        <v>0</v>
      </c>
      <c r="H38" s="22"/>
      <c r="I38" s="7">
        <v>1050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0+0+0+0+0+0+0+0+0+0+0+0+0+0+0+0</f>
        <v>0</v>
      </c>
      <c r="H39" s="22"/>
      <c r="I39" s="7">
        <v>59.0648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0</v>
      </c>
      <c r="D40" s="7">
        <v>0</v>
      </c>
      <c r="E40" s="10">
        <f>D40+C40</f>
        <v>0</v>
      </c>
      <c r="F40" s="10" t="s">
        <v>38</v>
      </c>
      <c r="G40" s="10">
        <f>7+7+5+6+5+6+2+4+5+2+0+0+0+0+0+0</f>
        <v>49</v>
      </c>
      <c r="H40" s="22"/>
      <c r="I40" s="10"/>
      <c r="J40" s="37"/>
      <c r="K40" s="25"/>
      <c r="L40" s="19" t="s">
        <v>70</v>
      </c>
      <c r="M40" s="7">
        <v>18</v>
      </c>
    </row>
    <row r="41" s="1" customFormat="1" ht="80" customHeight="1" spans="1:13">
      <c r="A41" s="7">
        <v>11</v>
      </c>
      <c r="B41" s="34" t="s">
        <v>71</v>
      </c>
      <c r="C41" s="25" t="s">
        <v>135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142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3" si="0">C3+D3</f>
        <v>0</v>
      </c>
      <c r="F3" s="10" t="s">
        <v>14</v>
      </c>
      <c r="G3" s="10">
        <f>12+14+13.5+13+12+11.5+9+14.5+12+11.5+10.5+3+0+0+0+0+0</f>
        <v>136.5</v>
      </c>
      <c r="H3" s="10">
        <v>209</v>
      </c>
      <c r="I3" s="10">
        <f>H3-G3</f>
        <v>72.5</v>
      </c>
      <c r="J3" s="11"/>
      <c r="K3" s="10"/>
      <c r="L3" s="10"/>
      <c r="M3" s="10">
        <f>I3/14</f>
        <v>5.17857142857143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0+12+14+14+12+12+12+10+14+12+12+10+2+0+0+0+0</f>
        <v>136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</f>
        <v>0</v>
      </c>
      <c r="H5" s="10">
        <v>3120</v>
      </c>
      <c r="I5" s="10">
        <f>H5-G5-G7-G6</f>
        <v>1378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0+0+0+1+0+0+0+0+0+0+1+0+0+0+0+0+0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</f>
        <v>371.5</v>
      </c>
      <c r="H10" s="13">
        <v>3.86</v>
      </c>
      <c r="I10" s="13">
        <f>H10-K11</f>
        <v>0.522707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10.5435+9.18+7.884+7.479+10.0305+5.373+10.6515+9.3555+6.588+9.72+5.8995+2.9835+0+0+0+0+0</f>
        <v>95.688</v>
      </c>
      <c r="H11" s="10"/>
      <c r="I11" s="10">
        <f>G11/(G3*0.1865)</f>
        <v>3.75877205904016</v>
      </c>
      <c r="J11" s="19" t="s">
        <v>24</v>
      </c>
      <c r="K11" s="20">
        <f>0+0.55179+0+0.565565+0.275722+0.274654+0.55395+0.56025+0.28089+0+0.274472+0+0+0+0+0+0</f>
        <v>3.337293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 t="s">
        <v>14</v>
      </c>
      <c r="G12" s="10">
        <f>18.4368+10.1016+12.6224+15.64+16.744+13.8+11.0584+13.0824+16.5784+12.8432+13.9288+0+0+0+0+0+0</f>
        <v>154.836</v>
      </c>
      <c r="H12" s="10"/>
      <c r="I12" s="10">
        <f>G12/(G3*0.1865)</f>
        <v>6.08219662375158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0</v>
      </c>
      <c r="D13" s="10">
        <v>0</v>
      </c>
      <c r="E13" s="10">
        <f t="shared" si="0"/>
        <v>0</v>
      </c>
      <c r="F13" s="10" t="s">
        <v>27</v>
      </c>
      <c r="G13" s="10">
        <f>471+414+426+428+458+373+332+426+365+369+427+3+0+0+0+0+0</f>
        <v>4492</v>
      </c>
      <c r="H13" s="10">
        <f>G13*1.05</f>
        <v>4716.6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0</v>
      </c>
      <c r="E14" s="10">
        <f t="shared" ref="E14:E23" si="1">D14+C14</f>
        <v>0</v>
      </c>
      <c r="F14" s="10" t="s">
        <v>27</v>
      </c>
      <c r="G14" s="10">
        <f>379+378+345+427+407+373+282+415+373+339+364+34+0+0+0+0+0</f>
        <v>4116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0</v>
      </c>
      <c r="D15" s="10">
        <v>0</v>
      </c>
      <c r="E15" s="10">
        <f t="shared" si="1"/>
        <v>0</v>
      </c>
      <c r="F15" s="10" t="s">
        <v>27</v>
      </c>
      <c r="G15" s="10">
        <f>759.56+799.43+811.69+866.88+886.17+680.76+886.98+870.58+848.77+897.24+520.02+110.3+0+0+0+0+0</f>
        <v>8938.38</v>
      </c>
      <c r="H15" s="10"/>
      <c r="I15" s="10"/>
      <c r="J15" s="19" t="s">
        <v>30</v>
      </c>
      <c r="K15" s="10">
        <v>0</v>
      </c>
      <c r="L15" s="10">
        <v>0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33+30+27+30+33+24+24+33+24+27+24+0+0+0+0+0+0</f>
        <v>309</v>
      </c>
      <c r="H16" s="10"/>
      <c r="I16" s="10">
        <f>G16/(G3*0.1865)</f>
        <v>12.1379960522052</v>
      </c>
      <c r="J16" s="19" t="s">
        <v>32</v>
      </c>
      <c r="K16" s="20">
        <f>2.2656512+2.7043886+2.7187124+2.838152+2.9641425+2.2756185+2.6876578+2.6498176+2.5338794+2.6521892+1.6536636+0.350754+0+0+0+0+0</f>
        <v>28.2946268</v>
      </c>
      <c r="L16" s="10"/>
      <c r="M16" s="10">
        <f>(C15*K15+L15*D15)/1000</f>
        <v>0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</f>
        <v>12</v>
      </c>
      <c r="H19" s="22"/>
      <c r="I19" s="10">
        <f>G19/(G3*0.1865)</f>
        <v>0.471378487464278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</f>
        <v>12</v>
      </c>
      <c r="H20" s="22"/>
      <c r="I20" s="10">
        <f>G20/(G3*0.1865)</f>
        <v>0.471378487464278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6+6+7+5+2+7+3+4+13+7+3+3+7+0+0+0+0</f>
        <v>73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0</v>
      </c>
      <c r="D22" s="7">
        <v>0</v>
      </c>
      <c r="E22" s="10">
        <f t="shared" si="1"/>
        <v>0</v>
      </c>
      <c r="F22" s="10" t="s">
        <v>27</v>
      </c>
      <c r="G22" s="10">
        <f>1188+1059+1106+1089+1115+739+1190+1160+1118+1090+637+2+0+0+0+0+0</f>
        <v>11493</v>
      </c>
      <c r="H22" s="23"/>
      <c r="I22" s="10" t="e">
        <f>E22/M22</f>
        <v>#DIV/0!</v>
      </c>
      <c r="J22" s="19" t="s">
        <v>40</v>
      </c>
      <c r="K22" s="10">
        <f>24+24+24+24+24+10.5+24+24+24+24+13+0+0+0+0+0+0</f>
        <v>239.5</v>
      </c>
      <c r="L22" s="10">
        <f>G22/K22</f>
        <v>47.9874739039666</v>
      </c>
      <c r="M22" s="10">
        <v>0</v>
      </c>
    </row>
    <row r="23" s="1" customFormat="1" ht="25" customHeight="1" spans="1:13">
      <c r="A23" s="12">
        <v>18</v>
      </c>
      <c r="B23" s="8" t="s">
        <v>41</v>
      </c>
      <c r="C23" s="7">
        <v>0</v>
      </c>
      <c r="D23" s="7">
        <v>0</v>
      </c>
      <c r="E23" s="10">
        <f t="shared" si="1"/>
        <v>0</v>
      </c>
      <c r="F23" s="10" t="s">
        <v>27</v>
      </c>
      <c r="G23" s="10">
        <f>1569+1358+1338+1398+1471+952+1468+1460+1309+1386+760+0+0+0+0+0+0</f>
        <v>14469</v>
      </c>
      <c r="H23" s="22"/>
      <c r="I23" s="10" t="e">
        <f>E23/M22</f>
        <v>#DIV/0!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0</v>
      </c>
      <c r="D24" s="12">
        <v>0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128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143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129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144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145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146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12.61+12.57+12.61+12.64+12.73+13.08+6.35+12.54+12.61+6.39+0+0+0+0+0+0+0</f>
        <v>114.13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0</v>
      </c>
      <c r="D33" s="10">
        <v>0</v>
      </c>
      <c r="E33" s="10">
        <f t="shared" si="2"/>
        <v>0</v>
      </c>
      <c r="F33" s="10" t="s">
        <v>27</v>
      </c>
      <c r="G33" s="10">
        <f>14+32+21+38.65+18+15+0+43+25+27+20+12+64+0+46+0+0</f>
        <v>375.65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6.615+8.667+0+14.8095+0+16.0515+0+0+6.912+12.231+0+0+0+0+0+0+0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523+309+0+1+0+104+0+526+588+571+540+84+0+0+0+0+0</f>
        <v>3246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1033+1032+1024+1026+1022+1020+507+1031+1028+1029+1030+1027+488+0+524+0+0</f>
        <v>12821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0+0+0+0+0+0+0+0+0+0+0+0+0+0+0+0+0</f>
        <v>0</v>
      </c>
      <c r="H38" s="22"/>
      <c r="I38" s="7">
        <v>1245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0+0+0+0+0+0+0+0+0+0+0+0+0+0+0+0+0</f>
        <v>0</v>
      </c>
      <c r="H39" s="22"/>
      <c r="I39" s="7">
        <v>59.0648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0</v>
      </c>
      <c r="D40" s="7">
        <v>0</v>
      </c>
      <c r="E40" s="10">
        <f>D40+C40</f>
        <v>0</v>
      </c>
      <c r="F40" s="10" t="s">
        <v>38</v>
      </c>
      <c r="G40" s="10">
        <f>7+7+5+6+5+6+2+4+5+2+0+0+0+0+0+0+0</f>
        <v>49</v>
      </c>
      <c r="H40" s="22"/>
      <c r="I40" s="10"/>
      <c r="J40" s="37"/>
      <c r="K40" s="25"/>
      <c r="L40" s="19" t="s">
        <v>70</v>
      </c>
      <c r="M40" s="7">
        <v>18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147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3" si="0">C3+D3</f>
        <v>0</v>
      </c>
      <c r="F3" s="10" t="s">
        <v>14</v>
      </c>
      <c r="G3" s="10">
        <f>12+14+13.5+13+12+11.5+9+14.5+12+11.5+10.5+3+0+0+0+0+0+0</f>
        <v>136.5</v>
      </c>
      <c r="H3" s="10">
        <v>209</v>
      </c>
      <c r="I3" s="10">
        <f>H3-G3</f>
        <v>72.5</v>
      </c>
      <c r="J3" s="11"/>
      <c r="K3" s="10"/>
      <c r="L3" s="10"/>
      <c r="M3" s="10">
        <f>I3/13</f>
        <v>5.57692307692308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0+12+14+14+12+12+12+10+14+12+12+10+2+0+0+0+0+0</f>
        <v>136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</f>
        <v>0</v>
      </c>
      <c r="H5" s="10">
        <v>3120</v>
      </c>
      <c r="I5" s="10">
        <f>H5-G5-G7-G6</f>
        <v>1378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0+0+0+1+0+0+0+0+0+0+1+0+0+0+0+0+0+0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</f>
        <v>371.5</v>
      </c>
      <c r="H10" s="13">
        <v>3.86</v>
      </c>
      <c r="I10" s="13">
        <f>H10-K11</f>
        <v>0.522707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2.916</v>
      </c>
      <c r="D11" s="10">
        <v>0</v>
      </c>
      <c r="E11" s="10">
        <f t="shared" si="0"/>
        <v>2.916</v>
      </c>
      <c r="F11" s="10" t="s">
        <v>14</v>
      </c>
      <c r="G11" s="10">
        <f>10.5435+9.18+7.884+7.479+10.0305+5.373+10.6515+9.3555+6.588+9.72+5.8995+2.9835+0+0+0+0+0+2.916</f>
        <v>98.604</v>
      </c>
      <c r="H11" s="10"/>
      <c r="I11" s="10">
        <f>G11/(G3*0.1865)</f>
        <v>3.87331703149398</v>
      </c>
      <c r="J11" s="19" t="s">
        <v>24</v>
      </c>
      <c r="K11" s="20">
        <f>0+0.55179+0+0.565565+0.275722+0.274654+0.55395+0.56025+0.28089+0+0.274472+0+0+0+0+0+0+0</f>
        <v>3.337293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9.5128</v>
      </c>
      <c r="D12" s="10">
        <v>0</v>
      </c>
      <c r="E12" s="10">
        <f t="shared" si="0"/>
        <v>9.5128</v>
      </c>
      <c r="F12" s="10" t="s">
        <v>14</v>
      </c>
      <c r="G12" s="10">
        <f>18.4368+10.1016+12.6224+15.64+16.744+13.8+11.0584+13.0824+16.5784+12.8432+13.9288+0+0+0+0+0+0+9.5128</f>
        <v>164.3488</v>
      </c>
      <c r="H12" s="10"/>
      <c r="I12" s="10">
        <f>G12/(G3*0.1865)</f>
        <v>6.45587406338077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0</v>
      </c>
      <c r="D13" s="10">
        <v>8</v>
      </c>
      <c r="E13" s="10">
        <f t="shared" si="0"/>
        <v>8</v>
      </c>
      <c r="F13" s="10" t="s">
        <v>27</v>
      </c>
      <c r="G13" s="10">
        <f>471+414+426+428+458+373+332+426+365+369+427+3+0+0+0+0+0+8</f>
        <v>4500</v>
      </c>
      <c r="H13" s="10">
        <f>G13*1.05</f>
        <v>4725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0</v>
      </c>
      <c r="E14" s="10">
        <f t="shared" ref="E14:E23" si="1">D14+C14</f>
        <v>0</v>
      </c>
      <c r="F14" s="10" t="s">
        <v>27</v>
      </c>
      <c r="G14" s="10">
        <f>379+378+345+427+407+373+282+415+373+339+364+34+0+0+0+0+0+0</f>
        <v>4116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115.45</v>
      </c>
      <c r="D15" s="10">
        <v>145.01</v>
      </c>
      <c r="E15" s="10">
        <f t="shared" si="1"/>
        <v>260.46</v>
      </c>
      <c r="F15" s="10" t="s">
        <v>27</v>
      </c>
      <c r="G15" s="10">
        <f>759.56+799.43+811.69+866.88+886.17+680.76+886.98+870.58+848.77+897.24+520.02+110.3+0+0+0+0+0+260.46</f>
        <v>9198.84</v>
      </c>
      <c r="H15" s="10"/>
      <c r="I15" s="10"/>
      <c r="J15" s="19" t="s">
        <v>30</v>
      </c>
      <c r="K15" s="10">
        <v>2.76</v>
      </c>
      <c r="L15" s="10">
        <v>2.84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33+30+27+30+33+24+24+33+24+27+24+0+0+0+0+0+0+0</f>
        <v>309</v>
      </c>
      <c r="H16" s="10"/>
      <c r="I16" s="10">
        <f>G16/(G3*0.1865)</f>
        <v>12.1379960522052</v>
      </c>
      <c r="J16" s="19" t="s">
        <v>32</v>
      </c>
      <c r="K16" s="20">
        <f>2.2656512+2.7043886+2.7187124+2.838152+2.9641425+2.2756185+2.6876578+2.6498176+2.5338794+2.6521892+1.6536636+0.350754+0+0+0+0+0+0.7304704</f>
        <v>29.0250972</v>
      </c>
      <c r="L16" s="10"/>
      <c r="M16" s="10">
        <f>(C15*K15+L15*D15)/1000</f>
        <v>0.7304704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0+2+0+2+0+2+0+0+2+2+0+2+0+0+0+0+0+0</f>
        <v>12</v>
      </c>
      <c r="H19" s="22"/>
      <c r="I19" s="10">
        <f>G19/(G3*0.1865)</f>
        <v>0.471378487464278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0+2+0+2+0+2+0+0+2+2+0+2+0+0+0+0+0+0</f>
        <v>12</v>
      </c>
      <c r="H20" s="22"/>
      <c r="I20" s="10">
        <f>G20/(G3*0.1865)</f>
        <v>0.471378487464278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3</v>
      </c>
      <c r="E21" s="10">
        <f t="shared" si="1"/>
        <v>3</v>
      </c>
      <c r="F21" s="10" t="s">
        <v>38</v>
      </c>
      <c r="G21" s="10">
        <f>6+6+7+5+2+7+3+4+13+7+3+3+7+0+0+0+0+3</f>
        <v>76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0</v>
      </c>
      <c r="D22" s="7">
        <v>375</v>
      </c>
      <c r="E22" s="10">
        <f t="shared" si="1"/>
        <v>375</v>
      </c>
      <c r="F22" s="10" t="s">
        <v>27</v>
      </c>
      <c r="G22" s="10">
        <f>1188+1059+1106+1089+1115+739+1190+1160+1118+1090+637+2+0+0+0+0+0+375</f>
        <v>11868</v>
      </c>
      <c r="H22" s="23"/>
      <c r="I22" s="10">
        <f>E22/M22</f>
        <v>75</v>
      </c>
      <c r="J22" s="19" t="s">
        <v>40</v>
      </c>
      <c r="K22" s="10">
        <f>24+24+24+24+24+10.5+24+24+24+24+13+0+0+0+0+0+0+5</f>
        <v>244.5</v>
      </c>
      <c r="L22" s="10">
        <f>G22/K22</f>
        <v>48.5398773006135</v>
      </c>
      <c r="M22" s="10">
        <v>5</v>
      </c>
    </row>
    <row r="23" s="1" customFormat="1" ht="25" customHeight="1" spans="1:13">
      <c r="A23" s="12">
        <v>18</v>
      </c>
      <c r="B23" s="8" t="s">
        <v>41</v>
      </c>
      <c r="C23" s="7">
        <v>0</v>
      </c>
      <c r="D23" s="7">
        <v>480</v>
      </c>
      <c r="E23" s="10">
        <f t="shared" si="1"/>
        <v>480</v>
      </c>
      <c r="F23" s="10" t="s">
        <v>27</v>
      </c>
      <c r="G23" s="10">
        <f>1569+1358+1338+1398+1471+952+1468+1460+1309+1386+760+0+0+0+0+0+0+480</f>
        <v>14949</v>
      </c>
      <c r="H23" s="22"/>
      <c r="I23" s="10">
        <f>E23/M22</f>
        <v>96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0</v>
      </c>
      <c r="D24" s="12">
        <v>35.25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143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148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144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149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150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151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4</v>
      </c>
      <c r="D32" s="10">
        <v>6.33</v>
      </c>
      <c r="E32" s="10">
        <f t="shared" si="2"/>
        <v>10.33</v>
      </c>
      <c r="F32" s="10" t="s">
        <v>27</v>
      </c>
      <c r="G32" s="10">
        <f>12.61+12.57+12.61+12.64+12.73+13.08+6.35+12.54+12.61+6.39+0+0+0+0+0+0+0+10.33</f>
        <v>124.46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41</v>
      </c>
      <c r="D33" s="10">
        <v>13</v>
      </c>
      <c r="E33" s="10">
        <f t="shared" si="2"/>
        <v>54</v>
      </c>
      <c r="F33" s="10" t="s">
        <v>27</v>
      </c>
      <c r="G33" s="10">
        <f>14+32+21+38.65+18+15+0+43+25+27+20+12+64+0+46+0+0+54</f>
        <v>429.65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6.615+8.667+0+14.8095+0+16.0515+0+0+6.912+12.231+0+0+0+0+0+0+0+0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4</v>
      </c>
      <c r="E36" s="10">
        <f t="shared" si="2"/>
        <v>4</v>
      </c>
      <c r="F36" s="10" t="s">
        <v>27</v>
      </c>
      <c r="G36" s="10">
        <f>523+309+0+1+0+104+0+526+588+571+540+84+0+0+0+0+0+4</f>
        <v>3250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227</v>
      </c>
      <c r="D37" s="10">
        <v>280</v>
      </c>
      <c r="E37" s="10">
        <f t="shared" si="2"/>
        <v>507</v>
      </c>
      <c r="F37" s="10" t="s">
        <v>27</v>
      </c>
      <c r="G37" s="10">
        <f>1033+1032+1024+1026+1022+1020+507+1031+1028+1029+1030+1027+488+0+524+0+0+507</f>
        <v>13328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0+0+0+0+0+0+0+0+0+0+0+0+0+0+0+0+0+0</f>
        <v>0</v>
      </c>
      <c r="H38" s="22"/>
      <c r="I38" s="7">
        <v>1095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0+0+0+0+0+0+0+0+0+0+0+0+0+0+0+0+0+0</f>
        <v>0</v>
      </c>
      <c r="H39" s="22"/>
      <c r="I39" s="7">
        <v>59.0648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0</v>
      </c>
      <c r="D40" s="7">
        <v>3</v>
      </c>
      <c r="E40" s="10">
        <f>D40+C40</f>
        <v>3</v>
      </c>
      <c r="F40" s="10" t="s">
        <v>38</v>
      </c>
      <c r="G40" s="10">
        <f>7+7+5+6+5+6+2+4+5+2+0+0+0+0+0+0+0+3</f>
        <v>52</v>
      </c>
      <c r="H40" s="22"/>
      <c r="I40" s="10"/>
      <c r="J40" s="37"/>
      <c r="K40" s="25"/>
      <c r="L40" s="19" t="s">
        <v>70</v>
      </c>
      <c r="M40" s="7">
        <v>24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152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2</v>
      </c>
      <c r="E3" s="10">
        <f t="shared" ref="E3:E13" si="0">C3+D3</f>
        <v>2</v>
      </c>
      <c r="F3" s="10" t="s">
        <v>14</v>
      </c>
      <c r="G3" s="10">
        <f>12+14+13.5+13+12+11.5+9+14.5+12+11.5+10.5+3+0+0+0+0+0+0+2</f>
        <v>138.5</v>
      </c>
      <c r="H3" s="10">
        <v>209</v>
      </c>
      <c r="I3" s="10">
        <f>H3-G3</f>
        <v>70.5</v>
      </c>
      <c r="J3" s="11"/>
      <c r="K3" s="10"/>
      <c r="L3" s="10"/>
      <c r="M3" s="10">
        <f>I3/12</f>
        <v>5.875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0+12+14+14+12+12+12+10+14+12+12+10+2+0+0+0+0+0+0</f>
        <v>136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</f>
        <v>0</v>
      </c>
      <c r="H5" s="10">
        <v>3120</v>
      </c>
      <c r="I5" s="10">
        <f>H5-G5-G7-G6</f>
        <v>1255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66</v>
      </c>
      <c r="D7" s="10">
        <v>57</v>
      </c>
      <c r="E7" s="10">
        <f t="shared" si="0"/>
        <v>123</v>
      </c>
      <c r="F7" s="10" t="s">
        <v>14</v>
      </c>
      <c r="G7" s="10">
        <f>0+0+0+1+0+0+0+0+0+0+1+0+0+0+0+0+0+0+123</f>
        <v>125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3</v>
      </c>
      <c r="D8" s="10">
        <v>0</v>
      </c>
      <c r="E8" s="10">
        <f t="shared" si="0"/>
        <v>3</v>
      </c>
      <c r="F8" s="10" t="s">
        <v>14</v>
      </c>
      <c r="G8" s="10">
        <f>0+0+0+0+0+0+0+0+0+2+0+0+0+0+0+0+0+0+3</f>
        <v>5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0+61.31+0+62.15+30.98+30.86+61.55+62.25+31.21+0+31.19+0+0+0+0+0+0+0+0</f>
        <v>371.5</v>
      </c>
      <c r="H10" s="13">
        <v>3.86</v>
      </c>
      <c r="I10" s="13">
        <f>H10-K11</f>
        <v>0.522707</v>
      </c>
      <c r="J10" s="19" t="s">
        <v>22</v>
      </c>
      <c r="K10" s="10">
        <v>60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2.862</v>
      </c>
      <c r="D11" s="10">
        <v>0</v>
      </c>
      <c r="E11" s="10">
        <f t="shared" si="0"/>
        <v>2.862</v>
      </c>
      <c r="F11" s="10" t="s">
        <v>14</v>
      </c>
      <c r="G11" s="10">
        <f>10.5435+9.18+7.884+7.479+10.0305+5.373+10.6515+9.3555+6.588+9.72+5.8995+2.9835+0+0+0+0+0+2.916+2.862</f>
        <v>101.466</v>
      </c>
      <c r="H11" s="10"/>
      <c r="I11" s="10">
        <f>G11/(G3*0.1865)</f>
        <v>3.9281849769166</v>
      </c>
      <c r="J11" s="19" t="s">
        <v>24</v>
      </c>
      <c r="K11" s="20">
        <f>0+0.55179+0+0.565565+0.275722+0.274654+0.55395+0.56025+0.28089+0+0.274472+0+0+0+0+0+0+0+0</f>
        <v>3.337293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5.6304</v>
      </c>
      <c r="D12" s="10">
        <v>0</v>
      </c>
      <c r="E12" s="10">
        <f t="shared" si="0"/>
        <v>5.6304</v>
      </c>
      <c r="F12" s="10" t="s">
        <v>14</v>
      </c>
      <c r="G12" s="10">
        <f>18.4368+10.1016+12.6224+15.64+16.744+13.8+11.0584+13.0824+16.5784+12.8432+13.9288+0+0+0+0+0+0+9.5128+5.6304</f>
        <v>169.9792</v>
      </c>
      <c r="H12" s="10"/>
      <c r="I12" s="10">
        <f>G12/(G3*0.1865)</f>
        <v>6.58062542948675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79</v>
      </c>
      <c r="D13" s="10">
        <v>88</v>
      </c>
      <c r="E13" s="10">
        <f t="shared" si="0"/>
        <v>167</v>
      </c>
      <c r="F13" s="10" t="s">
        <v>27</v>
      </c>
      <c r="G13" s="10">
        <f>471+414+426+428+458+373+332+426+365+369+427+3+0+0+0+0+0+8+167</f>
        <v>4667</v>
      </c>
      <c r="H13" s="10">
        <f>G13*1.05</f>
        <v>4900.35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56</v>
      </c>
      <c r="D14" s="10">
        <v>86</v>
      </c>
      <c r="E14" s="10">
        <f t="shared" ref="E14:E23" si="1">D14+C14</f>
        <v>142</v>
      </c>
      <c r="F14" s="10" t="s">
        <v>27</v>
      </c>
      <c r="G14" s="10">
        <f>379+378+345+427+407+373+282+415+373+339+364+34+0+0+0+0+0+0+142</f>
        <v>4258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446.63</v>
      </c>
      <c r="D15" s="10">
        <v>267.3</v>
      </c>
      <c r="E15" s="10">
        <f t="shared" si="1"/>
        <v>713.93</v>
      </c>
      <c r="F15" s="10" t="s">
        <v>27</v>
      </c>
      <c r="G15" s="10">
        <f>759.56+799.43+811.69+866.88+886.17+680.76+886.98+870.58+848.77+897.24+520.02+110.3+0+0+0+0+0+260.46+713.93</f>
        <v>9912.77</v>
      </c>
      <c r="H15" s="10"/>
      <c r="I15" s="10"/>
      <c r="J15" s="19" t="s">
        <v>30</v>
      </c>
      <c r="K15" s="10">
        <v>2.78</v>
      </c>
      <c r="L15" s="10">
        <v>3.1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6</v>
      </c>
      <c r="D16" s="10">
        <v>9</v>
      </c>
      <c r="E16" s="10">
        <f t="shared" si="1"/>
        <v>15</v>
      </c>
      <c r="F16" s="10" t="s">
        <v>14</v>
      </c>
      <c r="G16" s="10">
        <f>33+30+27+30+33+24+24+33+24+27+24+0+0+0+0+0+0+0+15</f>
        <v>324</v>
      </c>
      <c r="H16" s="10"/>
      <c r="I16" s="10">
        <f>G16/(G3*0.1865)</f>
        <v>12.5434326032462</v>
      </c>
      <c r="J16" s="19" t="s">
        <v>32</v>
      </c>
      <c r="K16" s="20">
        <f>2.2656512+2.7043886+2.7187124+2.838152+2.9641425+2.2756185+2.6876578+2.6498176+2.5338794+2.6521892+1.6536636+0.350754+0+0+0+0+0+0.7304704+2.0702614</f>
        <v>31.0953586</v>
      </c>
      <c r="L16" s="10"/>
      <c r="M16" s="10">
        <f>(C15*K15+L15*D15)/1000</f>
        <v>2.0702614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0+2+0+2+0+2+0+0+2+2+0+2+0+0+0+0+0+0+0</f>
        <v>12</v>
      </c>
      <c r="H19" s="22"/>
      <c r="I19" s="10">
        <f>G19/(G3*0.1865)</f>
        <v>0.464571577898007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0+2+0+2+0+2+0+0+2+2+0+2+0+0+0+0+0+0+0</f>
        <v>12</v>
      </c>
      <c r="H20" s="22"/>
      <c r="I20" s="10">
        <f>G20/(G3*0.1865)</f>
        <v>0.464571577898007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6+6+7+5+2+7+3+4+13+7+3+3+7+0+0+0+0+3+0</f>
        <v>76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613</v>
      </c>
      <c r="D22" s="7">
        <v>623</v>
      </c>
      <c r="E22" s="10">
        <f t="shared" si="1"/>
        <v>1236</v>
      </c>
      <c r="F22" s="10" t="s">
        <v>27</v>
      </c>
      <c r="G22" s="10">
        <f>1188+1059+1106+1089+1115+739+1190+1160+1118+1090+637+2+0+0+0+0+0+375+1236</f>
        <v>13104</v>
      </c>
      <c r="H22" s="23"/>
      <c r="I22" s="10">
        <f>E22/M22</f>
        <v>51.5</v>
      </c>
      <c r="J22" s="19" t="s">
        <v>40</v>
      </c>
      <c r="K22" s="10">
        <f>24+24+24+24+24+10.5+24+24+24+24+13+0+0+0+0+0+0+5+24</f>
        <v>268.5</v>
      </c>
      <c r="L22" s="10">
        <f>G22/K22</f>
        <v>48.804469273743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692</v>
      </c>
      <c r="D23" s="7">
        <v>621</v>
      </c>
      <c r="E23" s="10">
        <f t="shared" si="1"/>
        <v>1313</v>
      </c>
      <c r="F23" s="10" t="s">
        <v>27</v>
      </c>
      <c r="G23" s="10">
        <f>1569+1358+1338+1398+1471+952+1468+1460+1309+1386+760+0+0+0+0+0+0+480+1313</f>
        <v>16262</v>
      </c>
      <c r="H23" s="22"/>
      <c r="I23" s="10">
        <f>E23/M22</f>
        <v>54.7083333333333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35.26</v>
      </c>
      <c r="D24" s="12">
        <v>33.06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148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153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149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154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155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156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6.37</v>
      </c>
      <c r="D32" s="10">
        <v>6.38</v>
      </c>
      <c r="E32" s="10">
        <f t="shared" si="2"/>
        <v>12.75</v>
      </c>
      <c r="F32" s="10" t="s">
        <v>27</v>
      </c>
      <c r="G32" s="10">
        <f>12.61+12.57+12.61+12.64+12.73+13.08+6.35+12.54+12.61+6.39+0+0+0+0+0+0+0+10.33+12.75</f>
        <v>137.21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15</v>
      </c>
      <c r="D33" s="10">
        <v>13</v>
      </c>
      <c r="E33" s="10">
        <f t="shared" si="2"/>
        <v>28</v>
      </c>
      <c r="F33" s="10" t="s">
        <v>27</v>
      </c>
      <c r="G33" s="10">
        <f>14+32+21+38.65+18+15+0+43+25+27+20+12+64+0+46+0+0+54+28</f>
        <v>457.65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6.615+8.667+0+14.8095+0+16.0515+0+0+6.912+12.231+0+0+0+0+0+0+0+0+0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523+309+0+1+0+104+0+526+588+571+540+84+0+0+0+0+0+4+0</f>
        <v>3250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518</v>
      </c>
      <c r="D37" s="10">
        <v>523</v>
      </c>
      <c r="E37" s="10">
        <f t="shared" si="2"/>
        <v>1041</v>
      </c>
      <c r="F37" s="10" t="s">
        <v>27</v>
      </c>
      <c r="G37" s="10">
        <f>1033+1032+1024+1026+1022+1020+507+1031+1028+1029+1030+1027+488+0+524+0+0+507+1041</f>
        <v>14369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0+0+0+0+0+0+0+0+0+0+0+0+0+0+0+0+0+0+0</f>
        <v>0</v>
      </c>
      <c r="H38" s="22"/>
      <c r="I38" s="7">
        <v>1065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0+0+0+0+0+0+0+0+0+0+0+0+0+0+0+0+0+0+0</f>
        <v>0</v>
      </c>
      <c r="H39" s="22"/>
      <c r="I39" s="7">
        <v>63.4078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2</v>
      </c>
      <c r="D40" s="7">
        <v>3</v>
      </c>
      <c r="E40" s="10">
        <f>D40+C40</f>
        <v>5</v>
      </c>
      <c r="F40" s="10" t="s">
        <v>38</v>
      </c>
      <c r="G40" s="10">
        <f>7+7+5+6+5+6+2+4+5+2+0+0+0+0+0+0+0+3+5</f>
        <v>57</v>
      </c>
      <c r="H40" s="22"/>
      <c r="I40" s="10"/>
      <c r="J40" s="37"/>
      <c r="K40" s="25"/>
      <c r="L40" s="19" t="s">
        <v>70</v>
      </c>
      <c r="M40" s="7">
        <v>31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157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5.5</v>
      </c>
      <c r="D3" s="9">
        <v>2</v>
      </c>
      <c r="E3" s="10">
        <f t="shared" ref="E3:E13" si="0">C3+D3</f>
        <v>7.5</v>
      </c>
      <c r="F3" s="10" t="s">
        <v>14</v>
      </c>
      <c r="G3" s="10">
        <f>12+14+13.5+13+12+11.5+9+14.5+12+11.5+10.5+3+0+0+0+0+0+0+2+7.5</f>
        <v>146</v>
      </c>
      <c r="H3" s="10">
        <v>209</v>
      </c>
      <c r="I3" s="10">
        <f>H3-G3</f>
        <v>63</v>
      </c>
      <c r="J3" s="11"/>
      <c r="K3" s="10"/>
      <c r="L3" s="10"/>
      <c r="M3" s="10">
        <f>I3/11</f>
        <v>5.72727272727273</v>
      </c>
    </row>
    <row r="4" s="1" customFormat="1" ht="35" customHeight="1" spans="1:13">
      <c r="A4" s="12">
        <v>2</v>
      </c>
      <c r="B4" s="8" t="s">
        <v>15</v>
      </c>
      <c r="C4" s="9">
        <v>2</v>
      </c>
      <c r="D4" s="9"/>
      <c r="E4" s="10">
        <f t="shared" si="0"/>
        <v>2</v>
      </c>
      <c r="F4" s="10" t="s">
        <v>14</v>
      </c>
      <c r="G4" s="10">
        <f>0+12+14+14+12+12+12+10+14+12+12+10+2+0+0+0+0+0+0+2</f>
        <v>138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10</v>
      </c>
      <c r="D5" s="10">
        <v>0</v>
      </c>
      <c r="E5" s="10">
        <f t="shared" si="0"/>
        <v>10</v>
      </c>
      <c r="F5" s="10" t="s">
        <v>14</v>
      </c>
      <c r="G5" s="10">
        <f>0+0+0+0+0+0+0+0+0+0+0+0+0+0+0+0+0+0+0+10</f>
        <v>10</v>
      </c>
      <c r="H5" s="10">
        <v>3120</v>
      </c>
      <c r="I5" s="10">
        <f>H5-G5-G7-G6</f>
        <v>1243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2</v>
      </c>
      <c r="D7" s="10">
        <v>0</v>
      </c>
      <c r="E7" s="10">
        <f t="shared" si="0"/>
        <v>2</v>
      </c>
      <c r="F7" s="10" t="s">
        <v>14</v>
      </c>
      <c r="G7" s="10">
        <f>0+0+0+1+0+0+0+0+0+0+1+0+0+0+0+0+0+0+123+2</f>
        <v>127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</f>
        <v>5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62.45</v>
      </c>
      <c r="D10" s="13"/>
      <c r="E10" s="10">
        <f t="shared" si="0"/>
        <v>62.45</v>
      </c>
      <c r="F10" s="13" t="s">
        <v>14</v>
      </c>
      <c r="G10" s="10">
        <f>0+61.31+0+62.15+30.98+30.86+61.55+62.25+31.21+0+31.19+0+0+0+0+0+0+0+0+62.45</f>
        <v>433.95</v>
      </c>
      <c r="H10" s="13">
        <v>3.86</v>
      </c>
      <c r="I10" s="13">
        <f>H10-K11</f>
        <v>-0.0518329999999998</v>
      </c>
      <c r="J10" s="19" t="s">
        <v>22</v>
      </c>
      <c r="K10" s="10">
        <v>30</v>
      </c>
      <c r="L10" s="10">
        <v>0.92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4.185</v>
      </c>
      <c r="D11" s="10">
        <v>1.674</v>
      </c>
      <c r="E11" s="10">
        <f t="shared" si="0"/>
        <v>5.859</v>
      </c>
      <c r="F11" s="10" t="s">
        <v>14</v>
      </c>
      <c r="G11" s="10">
        <f>10.5435+9.18+7.884+7.479+10.0305+5.373+10.6515+9.3555+6.588+9.72+5.8995+2.9835+0+0+0+0+0+2.916+2.862+5.859</f>
        <v>107.325</v>
      </c>
      <c r="H11" s="10"/>
      <c r="I11" s="10">
        <f>G11/(G3*0.1865)</f>
        <v>3.94156965000551</v>
      </c>
      <c r="J11" s="19" t="s">
        <v>24</v>
      </c>
      <c r="K11" s="20">
        <f>0+0.55179+0+0.565565+0.275722+0.274654+0.55395+0.56025+0.28089+0+0.274472+0+0+0+0+0+0+0+0+0.57454</f>
        <v>3.911833</v>
      </c>
      <c r="L11" s="10"/>
      <c r="M11" s="10">
        <f>C10*L10/100</f>
        <v>0.57454</v>
      </c>
    </row>
    <row r="12" s="1" customFormat="1" ht="25" customHeight="1" spans="1:13">
      <c r="A12" s="12">
        <v>7</v>
      </c>
      <c r="B12" s="8" t="s">
        <v>25</v>
      </c>
      <c r="C12" s="10">
        <v>6.9552</v>
      </c>
      <c r="D12" s="10">
        <v>0</v>
      </c>
      <c r="E12" s="10">
        <f t="shared" si="0"/>
        <v>6.9552</v>
      </c>
      <c r="F12" s="10" t="s">
        <v>14</v>
      </c>
      <c r="G12" s="10">
        <f>18.4368+10.1016+12.6224+15.64+16.744+13.8+11.0584+13.0824+16.5784+12.8432+13.9288+0+0+0+0+0+0+9.5128+5.6304+6.9552</f>
        <v>176.9344</v>
      </c>
      <c r="H12" s="10"/>
      <c r="I12" s="10">
        <f>G12/(G3*0.1865)</f>
        <v>6.49801314774689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195</v>
      </c>
      <c r="D13" s="10">
        <v>8</v>
      </c>
      <c r="E13" s="10">
        <f t="shared" si="0"/>
        <v>203</v>
      </c>
      <c r="F13" s="10" t="s">
        <v>27</v>
      </c>
      <c r="G13" s="10">
        <f>471+414+426+428+458+373+332+426+365+369+427+3+0+0+0+0+0+8+167+203</f>
        <v>4870</v>
      </c>
      <c r="H13" s="10">
        <f>G13*1.05</f>
        <v>5113.5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240</v>
      </c>
      <c r="D14" s="10">
        <v>0</v>
      </c>
      <c r="E14" s="10">
        <f t="shared" ref="E14:E23" si="1">D14+C14</f>
        <v>240</v>
      </c>
      <c r="F14" s="10" t="s">
        <v>27</v>
      </c>
      <c r="G14" s="10">
        <f>379+378+345+427+407+373+282+415+373+339+364+34+0+0+0+0+0+0+142+240</f>
        <v>4498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0</v>
      </c>
      <c r="D15" s="10">
        <v>266.32</v>
      </c>
      <c r="E15" s="10">
        <f t="shared" si="1"/>
        <v>266.32</v>
      </c>
      <c r="F15" s="10" t="s">
        <v>27</v>
      </c>
      <c r="G15" s="10">
        <f>759.56+799.43+811.69+866.88+886.17+680.76+886.98+870.58+848.77+897.24+520.02+110.3+0+0+0+0+0+260.46+713.93+266.32</f>
        <v>10179.09</v>
      </c>
      <c r="H15" s="10"/>
      <c r="I15" s="10"/>
      <c r="J15" s="19" t="s">
        <v>30</v>
      </c>
      <c r="K15" s="10">
        <v>0</v>
      </c>
      <c r="L15" s="10">
        <v>2.36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0</v>
      </c>
      <c r="E16" s="10">
        <f t="shared" si="1"/>
        <v>18</v>
      </c>
      <c r="F16" s="10" t="s">
        <v>14</v>
      </c>
      <c r="G16" s="10">
        <f>33+30+27+30+33+24+24+33+24+27+24+0+0+0+0+0+0+0+15+18</f>
        <v>342</v>
      </c>
      <c r="H16" s="10"/>
      <c r="I16" s="10">
        <f>G16/(G3*0.1865)</f>
        <v>12.5601380880679</v>
      </c>
      <c r="J16" s="19" t="s">
        <v>32</v>
      </c>
      <c r="K16" s="20">
        <f>2.2656512+2.7043886+2.7187124+2.838152+2.9641425+2.2756185+2.6876578+2.6498176+2.5338794+2.6521892+1.6536636+0.350754+0+0+0+0+0+0.7304704+2.0702614+0.6285152</f>
        <v>31.7238738</v>
      </c>
      <c r="L16" s="10"/>
      <c r="M16" s="10">
        <f>(C15*K15+L15*D15)/1000</f>
        <v>0.6285152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0+2+0+2+0+2+0+0+2+2+0+2+0+0+0+0+0+0+0+2</f>
        <v>14</v>
      </c>
      <c r="H19" s="22"/>
      <c r="I19" s="10">
        <f>G19/(G3*0.1865)</f>
        <v>0.51415769951155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0+2+0+2+0+2+0+0+2+2+0+2+0+0+0+0+0+0+0+2</f>
        <v>14</v>
      </c>
      <c r="H20" s="22"/>
      <c r="I20" s="10">
        <f>G20/(G3*0.1865)</f>
        <v>0.51415769951155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1</v>
      </c>
      <c r="E21" s="10">
        <f t="shared" si="1"/>
        <v>1</v>
      </c>
      <c r="F21" s="10" t="s">
        <v>38</v>
      </c>
      <c r="G21" s="10">
        <f>6+6+7+5+2+7+3+4+13+7+3+3+7+0+0+0+0+3+0+1</f>
        <v>77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130</v>
      </c>
      <c r="D22" s="7">
        <v>374</v>
      </c>
      <c r="E22" s="10">
        <f t="shared" si="1"/>
        <v>504</v>
      </c>
      <c r="F22" s="10" t="s">
        <v>27</v>
      </c>
      <c r="G22" s="10">
        <f>1188+1059+1106+1089+1115+739+1190+1160+1118+1090+637+2+0+0+0+0+0+375+1236+504</f>
        <v>13608</v>
      </c>
      <c r="H22" s="23"/>
      <c r="I22" s="10">
        <f>E22/M22</f>
        <v>67.2</v>
      </c>
      <c r="J22" s="19" t="s">
        <v>40</v>
      </c>
      <c r="K22" s="10">
        <f>24+24+24+24+24+10.5+24+24+24+24+13+0+0+0+0+0+0+5+24+7.5</f>
        <v>276</v>
      </c>
      <c r="L22" s="10">
        <f>G22/K22</f>
        <v>49.304347826087</v>
      </c>
      <c r="M22" s="10">
        <v>7.5</v>
      </c>
    </row>
    <row r="23" s="1" customFormat="1" ht="25" customHeight="1" spans="1:13">
      <c r="A23" s="12">
        <v>18</v>
      </c>
      <c r="B23" s="8" t="s">
        <v>41</v>
      </c>
      <c r="C23" s="7">
        <v>183</v>
      </c>
      <c r="D23" s="7">
        <v>365</v>
      </c>
      <c r="E23" s="10">
        <f t="shared" si="1"/>
        <v>548</v>
      </c>
      <c r="F23" s="10" t="s">
        <v>27</v>
      </c>
      <c r="G23" s="10">
        <f>1569+1358+1338+1398+1471+952+1468+1460+1309+1386+760+0+0+0+0+0+0+480+1313+548</f>
        <v>16810</v>
      </c>
      <c r="H23" s="22"/>
      <c r="I23" s="10">
        <f>E23/M22</f>
        <v>73.0666666666667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42</v>
      </c>
      <c r="C24" s="12">
        <v>0</v>
      </c>
      <c r="D24" s="12">
        <v>0</v>
      </c>
      <c r="E24" s="13"/>
      <c r="F24" s="13" t="s">
        <v>43</v>
      </c>
      <c r="G24" s="13"/>
      <c r="H24" s="41"/>
      <c r="I24" s="41"/>
      <c r="J24" s="42"/>
      <c r="K24" s="41"/>
      <c r="L24" s="41"/>
      <c r="M24" s="10"/>
    </row>
    <row r="25" s="1" customFormat="1" ht="32" customHeight="1" spans="1:13">
      <c r="A25" s="12">
        <v>20</v>
      </c>
      <c r="B25" s="28" t="s">
        <v>44</v>
      </c>
      <c r="C25" s="25" t="s">
        <v>153</v>
      </c>
      <c r="D25" s="29"/>
      <c r="E25" s="29"/>
      <c r="F25" s="29"/>
      <c r="G25" s="29"/>
      <c r="H25" s="30"/>
      <c r="I25" s="27" t="s">
        <v>46</v>
      </c>
      <c r="J25" s="28" t="s">
        <v>47</v>
      </c>
      <c r="K25" s="25" t="s">
        <v>158</v>
      </c>
      <c r="L25" s="29"/>
      <c r="M25" s="30"/>
    </row>
    <row r="26" s="1" customFormat="1" ht="32" customHeight="1" spans="1:13">
      <c r="A26" s="12">
        <v>21</v>
      </c>
      <c r="B26" s="28" t="s">
        <v>49</v>
      </c>
      <c r="C26" s="25" t="s">
        <v>154</v>
      </c>
      <c r="D26" s="29"/>
      <c r="E26" s="29"/>
      <c r="F26" s="29"/>
      <c r="G26" s="29"/>
      <c r="H26" s="30"/>
      <c r="I26" s="27" t="s">
        <v>46</v>
      </c>
      <c r="J26" s="28" t="s">
        <v>52</v>
      </c>
      <c r="K26" s="25" t="s">
        <v>149</v>
      </c>
      <c r="L26" s="29"/>
      <c r="M26" s="30"/>
    </row>
    <row r="27" s="1" customFormat="1" ht="80" customHeight="1" spans="1:13">
      <c r="A27" s="7">
        <v>22</v>
      </c>
      <c r="B27" s="24" t="s">
        <v>54</v>
      </c>
      <c r="C27" s="31" t="s">
        <v>159</v>
      </c>
      <c r="D27" s="32"/>
      <c r="E27" s="32"/>
      <c r="F27" s="32"/>
      <c r="G27" s="32"/>
      <c r="H27" s="32"/>
      <c r="I27" s="33"/>
      <c r="J27" s="34" t="s">
        <v>56</v>
      </c>
      <c r="K27" s="25"/>
      <c r="L27" s="29"/>
      <c r="M27" s="30"/>
    </row>
    <row r="28" s="1" customFormat="1" ht="14" customHeight="1" spans="1:13">
      <c r="C28" s="35"/>
      <c r="D28" s="35"/>
      <c r="J28" s="36"/>
    </row>
    <row r="29" s="1" customFormat="1" ht="45" customHeight="1" spans="1:13">
      <c r="A29" s="5" t="s">
        <v>160</v>
      </c>
    </row>
    <row r="30" s="1" customFormat="1" ht="30" customHeight="1" spans="1:13">
      <c r="A30" s="6" t="s">
        <v>59</v>
      </c>
      <c r="B30" s="6" t="s">
        <v>60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61</v>
      </c>
      <c r="C31" s="10">
        <v>0</v>
      </c>
      <c r="D31" s="10">
        <v>0</v>
      </c>
      <c r="E31" s="10">
        <f t="shared" ref="E31:E37" si="2">D31+C31</f>
        <v>0</v>
      </c>
      <c r="F31" s="10" t="s">
        <v>27</v>
      </c>
      <c r="G31" s="10">
        <f>0+0+0+0+0+0+0+0+0+0+0+0+0+0+0+0+0+0+0+0</f>
        <v>0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62</v>
      </c>
      <c r="C32" s="10">
        <v>6.36</v>
      </c>
      <c r="D32" s="10">
        <v>6.38</v>
      </c>
      <c r="E32" s="10">
        <f t="shared" si="2"/>
        <v>12.74</v>
      </c>
      <c r="F32" s="10" t="s">
        <v>27</v>
      </c>
      <c r="G32" s="10">
        <f>12.61+12.57+12.61+12.64+12.73+13.08+6.35+12.54+12.61+6.39+0+0+0+0+0+0+0+10.33+12.75+12.74</f>
        <v>149.95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63</v>
      </c>
      <c r="C33" s="10">
        <v>13</v>
      </c>
      <c r="D33" s="10">
        <v>17</v>
      </c>
      <c r="E33" s="10">
        <f t="shared" si="2"/>
        <v>30</v>
      </c>
      <c r="F33" s="10" t="s">
        <v>27</v>
      </c>
      <c r="G33" s="10">
        <f>14+32+21+38.65+18+15+0+43+25+27+20+12+64+0+46+0+0+54+28+30</f>
        <v>487.65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23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6.615+8.667+0+14.8095+0+16.0515+0+0+6.912+12.231+0+0+0+0+0+0+0+0+0+0</f>
        <v>65.286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25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64</v>
      </c>
      <c r="C36" s="10">
        <v>0</v>
      </c>
      <c r="D36" s="10">
        <v>0</v>
      </c>
      <c r="E36" s="10">
        <f t="shared" si="2"/>
        <v>0</v>
      </c>
      <c r="F36" s="10" t="s">
        <v>27</v>
      </c>
      <c r="G36" s="10">
        <f>523+309+0+1+0+104+0+526+588+571+540+84+0+0+0+0+0+4+0+0</f>
        <v>3250</v>
      </c>
      <c r="H36" s="10"/>
      <c r="I36" s="10"/>
      <c r="J36" s="37"/>
      <c r="K36" s="22"/>
      <c r="L36" s="10"/>
      <c r="M36" s="22"/>
    </row>
    <row r="37" s="1" customFormat="1" ht="25" customHeight="1" spans="1:13">
      <c r="A37" s="7">
        <v>7</v>
      </c>
      <c r="B37" s="8" t="s">
        <v>65</v>
      </c>
      <c r="C37" s="10">
        <v>379</v>
      </c>
      <c r="D37" s="10">
        <v>515</v>
      </c>
      <c r="E37" s="10">
        <f t="shared" si="2"/>
        <v>894</v>
      </c>
      <c r="F37" s="10" t="s">
        <v>27</v>
      </c>
      <c r="G37" s="10">
        <f>1033+1032+1024+1026+1022+1020+507+1031+1028+1029+1030+1027+488+0+524+0+0+507+1041+894</f>
        <v>15263</v>
      </c>
      <c r="H37" s="10"/>
      <c r="I37" s="10"/>
      <c r="J37" s="38"/>
      <c r="K37" s="22"/>
      <c r="L37" s="10"/>
      <c r="M37" s="22"/>
    </row>
    <row r="38" s="1" customFormat="1" ht="25" customHeight="1" spans="1:13">
      <c r="A38" s="7">
        <v>8</v>
      </c>
      <c r="B38" s="8" t="s">
        <v>66</v>
      </c>
      <c r="C38" s="10">
        <v>0</v>
      </c>
      <c r="D38" s="10">
        <v>0</v>
      </c>
      <c r="E38" s="10">
        <f>C38+D38</f>
        <v>0</v>
      </c>
      <c r="F38" s="10" t="s">
        <v>27</v>
      </c>
      <c r="G38" s="10">
        <f>0+0+0+0+0+0+0+0+0+0+0+0+0+0+0+0+0+0+0+0</f>
        <v>0</v>
      </c>
      <c r="H38" s="22"/>
      <c r="I38" s="7">
        <v>682.5</v>
      </c>
      <c r="J38" s="14"/>
      <c r="K38" s="39"/>
      <c r="L38" s="25"/>
      <c r="M38" s="40"/>
    </row>
    <row r="39" s="1" customFormat="1" ht="25" customHeight="1" spans="1:13">
      <c r="A39" s="7">
        <v>9</v>
      </c>
      <c r="B39" s="8" t="s">
        <v>67</v>
      </c>
      <c r="C39" s="10">
        <v>0</v>
      </c>
      <c r="D39" s="10">
        <v>0</v>
      </c>
      <c r="E39" s="10">
        <f>C39+D39</f>
        <v>0</v>
      </c>
      <c r="F39" s="10" t="s">
        <v>27</v>
      </c>
      <c r="G39" s="10">
        <f>0+0+0+0+0+0+0+0+0+0+0+0+0+0+0+0+0+0+0+0</f>
        <v>0</v>
      </c>
      <c r="H39" s="22"/>
      <c r="I39" s="7">
        <v>67.7508</v>
      </c>
      <c r="J39" s="37"/>
      <c r="K39" s="39"/>
      <c r="L39" s="19" t="s">
        <v>68</v>
      </c>
      <c r="M39" s="7">
        <v>22</v>
      </c>
    </row>
    <row r="40" s="1" customFormat="1" ht="25" customHeight="1" spans="1:13">
      <c r="A40" s="7">
        <v>10</v>
      </c>
      <c r="B40" s="8" t="s">
        <v>69</v>
      </c>
      <c r="C40" s="7">
        <v>3</v>
      </c>
      <c r="D40" s="7">
        <v>2</v>
      </c>
      <c r="E40" s="10">
        <f>D40+C40</f>
        <v>5</v>
      </c>
      <c r="F40" s="10" t="s">
        <v>38</v>
      </c>
      <c r="G40" s="10">
        <f>7+7+5+6+5+6+2+4+5+2+0+0+0+0+0+0+0+3+5+5</f>
        <v>62</v>
      </c>
      <c r="H40" s="22"/>
      <c r="I40" s="10"/>
      <c r="J40" s="37"/>
      <c r="K40" s="25"/>
      <c r="L40" s="19" t="s">
        <v>70</v>
      </c>
      <c r="M40" s="7">
        <v>37</v>
      </c>
    </row>
    <row r="41" s="1" customFormat="1" ht="80" customHeight="1" spans="1:13">
      <c r="A41" s="7">
        <v>11</v>
      </c>
      <c r="B41" s="34" t="s">
        <v>71</v>
      </c>
      <c r="C41" s="25" t="s">
        <v>72</v>
      </c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9" s="1" customFormat="1" spans="3:12">
      <c r="C49" s="35"/>
      <c r="D49" s="35"/>
      <c r="J49" s="36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7.5</v>
      </c>
      <c r="E3" s="10">
        <f t="shared" ref="E3:E13" si="0">C3+D3</f>
        <v>7.5</v>
      </c>
      <c r="F3" s="10" t="s">
        <v>14</v>
      </c>
      <c r="G3" s="10">
        <f>12+14+13.5+13+12+11.5+9+14.5+12+11.5+10.5+3+0+0+0+0+0+0+2+7.5+7.5</f>
        <v>153.5</v>
      </c>
      <c r="H3" s="10">
        <v>209</v>
      </c>
      <c r="I3" s="10">
        <f>H3-G3</f>
        <v>55.5</v>
      </c>
      <c r="J3" s="11"/>
      <c r="K3" s="10"/>
      <c r="L3" s="10"/>
      <c r="M3" s="10">
        <f>I3/10</f>
        <v>5.55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0+12+14+14+12+12+12+10+14+12+12+10+2+0+0+0+0+0+0+2+8</f>
        <v>146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84</v>
      </c>
      <c r="D5" s="10">
        <v>97</v>
      </c>
      <c r="E5" s="10">
        <f t="shared" si="0"/>
        <v>181</v>
      </c>
      <c r="F5" s="10" t="s">
        <v>14</v>
      </c>
      <c r="G5" s="10">
        <f>0+0+0+0+0+0+0+0+0+0+0+0+0+0+0+0+0+0+0+10+181</f>
        <v>191</v>
      </c>
      <c r="H5" s="10">
        <v>3120</v>
      </c>
      <c r="I5" s="10">
        <f>H5-G5-G7-G6</f>
        <v>1061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0+0+0+1+0+0+0+0+0+0+1+0+0+0+0+0+0+0+123+2+1</f>
        <v>128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</f>
        <v>5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30.73</v>
      </c>
      <c r="D10" s="13"/>
      <c r="E10" s="10">
        <f t="shared" si="0"/>
        <v>30.73</v>
      </c>
      <c r="F10" s="13" t="s">
        <v>14</v>
      </c>
      <c r="G10" s="10">
        <f>0+61.31+0+62.15+30.98+30.86+61.55+62.25+31.21+0+31.19+0+0+0+0+0+0+0+0+62.45+30.73</f>
        <v>464.68</v>
      </c>
      <c r="H10" s="13">
        <v>3.86</v>
      </c>
      <c r="I10" s="13">
        <f>H10-K11</f>
        <v>-0.322257</v>
      </c>
      <c r="J10" s="19" t="s">
        <v>22</v>
      </c>
      <c r="K10" s="10">
        <v>0</v>
      </c>
      <c r="L10" s="10">
        <v>0.88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4.1985</v>
      </c>
      <c r="D11" s="10">
        <v>0</v>
      </c>
      <c r="E11" s="10">
        <f t="shared" si="0"/>
        <v>4.1985</v>
      </c>
      <c r="F11" s="10" t="s">
        <v>14</v>
      </c>
      <c r="G11" s="10">
        <f>10.5435+9.18+7.884+7.479+10.0305+5.373+10.6515+9.3555+6.588+9.72+5.8995+2.9835+0+0+0+0+0+2.916+2.862+5.859+4.1985</f>
        <v>111.5235</v>
      </c>
      <c r="H11" s="10"/>
      <c r="I11" s="10">
        <f>G11/(G3*0.1865)</f>
        <v>3.89564321331575</v>
      </c>
      <c r="J11" s="19" t="s">
        <v>24</v>
      </c>
      <c r="K11" s="20">
        <f>0+0.55179+0+0.565565+0.275722+0.274654+0.55395+0.56025+0.28089+0+0.274472+0+0+0+0+0+0+0+0+0.57454+0.270424</f>
        <v>4.182257</v>
      </c>
      <c r="L11" s="10"/>
      <c r="M11" s="10">
        <f>C10*L10/100</f>
        <v>0.270424</v>
      </c>
    </row>
    <row r="12" s="1" customFormat="1" ht="25" customHeight="1" spans="1:13">
      <c r="A12" s="12">
        <v>7</v>
      </c>
      <c r="B12" s="8" t="s">
        <v>25</v>
      </c>
      <c r="C12" s="10">
        <v>5.8512</v>
      </c>
      <c r="D12" s="10">
        <v>0</v>
      </c>
      <c r="E12" s="10">
        <f t="shared" si="0"/>
        <v>5.8512</v>
      </c>
      <c r="F12" s="10" t="s">
        <v>14</v>
      </c>
      <c r="G12" s="10">
        <f>18.4368+10.1016+12.6224+15.64+16.744+13.8+11.0584+13.0824+16.5784+12.8432+13.9288+0+0+0+0+0+0+9.5128+5.6304+6.9552+5.8512</f>
        <v>182.7856</v>
      </c>
      <c r="H12" s="10"/>
      <c r="I12" s="10">
        <f>G12/(G3*0.1865)</f>
        <v>6.38490974666189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123</v>
      </c>
      <c r="D13" s="10">
        <v>187</v>
      </c>
      <c r="E13" s="10">
        <f t="shared" si="0"/>
        <v>310</v>
      </c>
      <c r="F13" s="10" t="s">
        <v>27</v>
      </c>
      <c r="G13" s="10">
        <f>471+414+426+428+458+373+332+426+365+369+427+3+0+0+0+0+0+8+167+203+310</f>
        <v>5180</v>
      </c>
      <c r="H13" s="10">
        <f>G13*1.05</f>
        <v>5439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84</v>
      </c>
      <c r="D14" s="10">
        <v>188</v>
      </c>
      <c r="E14" s="10">
        <f t="shared" ref="E14:E24" si="1">D14+C14</f>
        <v>272</v>
      </c>
      <c r="F14" s="10" t="s">
        <v>27</v>
      </c>
      <c r="G14" s="10">
        <f>379+378+345+427+407+373+282+415+373+339+364+34+0+0+0+0+0+0+142+240+272</f>
        <v>4770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357.58</v>
      </c>
      <c r="D15" s="10">
        <v>478.2</v>
      </c>
      <c r="E15" s="10">
        <f t="shared" si="1"/>
        <v>835.78</v>
      </c>
      <c r="F15" s="10" t="s">
        <v>27</v>
      </c>
      <c r="G15" s="10">
        <f>759.56+799.43+811.69+866.88+886.17+680.76+886.98+870.58+848.77+897.24+520.02+110.3+0+0+0+0+0+260.46+713.93+266.32+835.78</f>
        <v>11014.87</v>
      </c>
      <c r="H15" s="10"/>
      <c r="I15" s="10"/>
      <c r="J15" s="19" t="s">
        <v>30</v>
      </c>
      <c r="K15" s="10">
        <v>1.67</v>
      </c>
      <c r="L15" s="10">
        <v>2.31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3</v>
      </c>
      <c r="D16" s="10">
        <v>18</v>
      </c>
      <c r="E16" s="10">
        <f t="shared" si="1"/>
        <v>21</v>
      </c>
      <c r="F16" s="10" t="s">
        <v>14</v>
      </c>
      <c r="G16" s="10">
        <f>33+30+27+30+33+24+24+33+24+27+24+0+0+0+0+0+0+0+15+18+21</f>
        <v>363</v>
      </c>
      <c r="H16" s="10"/>
      <c r="I16" s="10">
        <f>G16/(G3*0.1865)</f>
        <v>12.6800045410485</v>
      </c>
      <c r="J16" s="19" t="s">
        <v>32</v>
      </c>
      <c r="K16" s="20">
        <f>2.2656512+2.7043886+2.7187124+2.838152+2.9641425+2.2756185+2.6876578+2.6498176+2.5338794+2.6521892+1.6536636+0.350754+0+0+0+0+0+0.7304704+2.0702614+0.6285152+1.7018006</f>
        <v>33.4256744</v>
      </c>
      <c r="L16" s="10"/>
      <c r="M16" s="10">
        <f>(C15*K15+L15*D15)/1000</f>
        <v>1.7018006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0+2+0+2+0+2+0+0+2+2+0+2+0+0+0+0+0+0+0+2+0</f>
        <v>14</v>
      </c>
      <c r="H19" s="22"/>
      <c r="I19" s="10">
        <f>G19/(G3*0.1865)</f>
        <v>0.489035987809031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0+2+0+2+0+2+0+0+2+2+0+2+0+0+0+0+0+0+0+2+0</f>
        <v>14</v>
      </c>
      <c r="H20" s="22"/>
      <c r="I20" s="10">
        <f>G20/(G3*0.1865)</f>
        <v>0.489035987809031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1</v>
      </c>
      <c r="D21" s="7">
        <v>1</v>
      </c>
      <c r="E21" s="10">
        <f t="shared" si="1"/>
        <v>2</v>
      </c>
      <c r="F21" s="10" t="s">
        <v>38</v>
      </c>
      <c r="G21" s="10">
        <f>6+6+7+5+2+7+3+4+13+7+3+3+7+0+0+0+0+3+0+1+2</f>
        <v>79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665</v>
      </c>
      <c r="D22" s="7">
        <v>666</v>
      </c>
      <c r="E22" s="10">
        <f t="shared" si="1"/>
        <v>1331</v>
      </c>
      <c r="F22" s="10" t="s">
        <v>27</v>
      </c>
      <c r="G22" s="10">
        <f>1188+1059+1106+1089+1115+739+1190+1160+1118+1090+637+2+0+0+0+0+0+375+1236+504+1331</f>
        <v>14939</v>
      </c>
      <c r="H22" s="23"/>
      <c r="I22" s="10">
        <f>E22/M22</f>
        <v>55.4583333333333</v>
      </c>
      <c r="J22" s="19" t="s">
        <v>40</v>
      </c>
      <c r="K22" s="10">
        <f>24+24+24+24+24+10.5+24+24+24+24+13+0+0+0+0+0+0+5+24+7.5+24</f>
        <v>300</v>
      </c>
      <c r="L22" s="10">
        <f>G22/K22</f>
        <v>49.7966666666667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763</v>
      </c>
      <c r="D23" s="7">
        <v>828</v>
      </c>
      <c r="E23" s="10">
        <f t="shared" si="1"/>
        <v>1591</v>
      </c>
      <c r="F23" s="10" t="s">
        <v>27</v>
      </c>
      <c r="G23" s="10">
        <f>1569+1358+1338+1398+1471+952+1468+1460+1309+1386+760+0+0+0+0+0+0+480+1313+548+1591</f>
        <v>18401</v>
      </c>
      <c r="H23" s="22"/>
      <c r="I23" s="10">
        <f>E23/M22</f>
        <v>66.2916666666667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162</v>
      </c>
      <c r="C24" s="7">
        <v>0</v>
      </c>
      <c r="D24" s="7">
        <v>0</v>
      </c>
      <c r="E24" s="10">
        <f t="shared" si="1"/>
        <v>0</v>
      </c>
      <c r="F24" s="10" t="s">
        <v>27</v>
      </c>
      <c r="G24" s="10">
        <f>0</f>
        <v>0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27.43</v>
      </c>
      <c r="D25" s="7">
        <v>26.53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158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163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149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164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165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166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6.39</v>
      </c>
      <c r="D38" s="10">
        <v>6.39</v>
      </c>
      <c r="E38" s="10">
        <f t="shared" si="2"/>
        <v>12.78</v>
      </c>
      <c r="F38" s="10" t="s">
        <v>27</v>
      </c>
      <c r="G38" s="10">
        <f>12.61+12.57+12.61+12.64+12.73+13.08+6.35+12.54+12.61+6.39+0+0+0+0+0+0+0+10.33+12.75+12.74+12.78</f>
        <v>162.73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26</v>
      </c>
      <c r="D39" s="10">
        <v>14</v>
      </c>
      <c r="E39" s="10">
        <f t="shared" si="2"/>
        <v>40</v>
      </c>
      <c r="F39" s="10" t="s">
        <v>27</v>
      </c>
      <c r="G39" s="10">
        <f>14+32+21+38.65+18+15+0+43+25+27+20+12+64+0+46+0+0+54+28+30+40</f>
        <v>527.65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10.935</v>
      </c>
      <c r="D40" s="10">
        <v>0</v>
      </c>
      <c r="E40" s="10">
        <f t="shared" si="2"/>
        <v>10.935</v>
      </c>
      <c r="F40" s="10" t="s">
        <v>14</v>
      </c>
      <c r="G40" s="10">
        <f>6.615+8.667+0+14.8095+0+16.0515+0+0+6.912+12.231+0+0+0+0+0+0+0+0+0+0+10.935</f>
        <v>76.221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0</v>
      </c>
      <c r="D42" s="10">
        <v>0</v>
      </c>
      <c r="E42" s="10">
        <f t="shared" si="2"/>
        <v>0</v>
      </c>
      <c r="F42" s="10" t="s">
        <v>27</v>
      </c>
      <c r="G42" s="10">
        <f>523+309+0+1+0+104+0+526+588+571+540+84+0+0+0+0+0+4+0+0+0</f>
        <v>3250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515</v>
      </c>
      <c r="D43" s="10">
        <v>515</v>
      </c>
      <c r="E43" s="10">
        <f t="shared" si="2"/>
        <v>1030</v>
      </c>
      <c r="F43" s="10" t="s">
        <v>27</v>
      </c>
      <c r="G43" s="10">
        <f>1033+1032+1024+1026+1022+1020+507+1031+1028+1029+1030+1027+488+0+524+0+0+507+1041+894+1030</f>
        <v>16293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</f>
        <v>0</v>
      </c>
      <c r="H44" s="22"/>
      <c r="I44" s="7">
        <v>592.5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</f>
        <v>0</v>
      </c>
      <c r="H45" s="22"/>
      <c r="I45" s="7">
        <v>69.488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3</v>
      </c>
      <c r="D46" s="7">
        <v>2</v>
      </c>
      <c r="E46" s="10">
        <f>D46+C46</f>
        <v>5</v>
      </c>
      <c r="F46" s="10" t="s">
        <v>38</v>
      </c>
      <c r="G46" s="10">
        <f>7+7+5+6+5+6+2+4+5+2+0+0+0+0+0+0+0+3+5+5+5</f>
        <v>67</v>
      </c>
      <c r="H46" s="22"/>
      <c r="I46" s="10"/>
      <c r="J46" s="37"/>
      <c r="K46" s="25"/>
      <c r="L46" s="19" t="s">
        <v>70</v>
      </c>
      <c r="M46" s="7">
        <v>42</v>
      </c>
    </row>
    <row r="47" s="1" customFormat="1" ht="80" customHeight="1" spans="1:13">
      <c r="A47" s="7">
        <v>11</v>
      </c>
      <c r="B47" s="34" t="s">
        <v>71</v>
      </c>
      <c r="C47" s="25" t="s">
        <v>72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</v>
      </c>
      <c r="D3" s="9">
        <v>8</v>
      </c>
      <c r="E3" s="10">
        <f t="shared" ref="E3:E13" si="0">C3+D3</f>
        <v>13</v>
      </c>
      <c r="F3" s="10" t="s">
        <v>14</v>
      </c>
      <c r="G3" s="10">
        <f>12+14+13.5+13+12+11.5+9+14.5+12+11.5+10.5+3+0+0+0+0+0+0+2+7.5+7.5+13</f>
        <v>166.5</v>
      </c>
      <c r="H3" s="10">
        <v>209</v>
      </c>
      <c r="I3" s="10">
        <f>H3-G3</f>
        <v>42.5</v>
      </c>
      <c r="J3" s="11"/>
      <c r="K3" s="10"/>
      <c r="L3" s="10"/>
      <c r="M3" s="10">
        <f>I3/9</f>
        <v>4.72222222222222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0+12+14+14+12+12+12+10+14+12+12+10+2+0+0+0+0+0+0+2+8+8</f>
        <v>154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90</v>
      </c>
      <c r="D5" s="10">
        <v>90</v>
      </c>
      <c r="E5" s="10">
        <f t="shared" si="0"/>
        <v>180</v>
      </c>
      <c r="F5" s="10" t="s">
        <v>14</v>
      </c>
      <c r="G5" s="10">
        <f>0+0+0+0+0+0+0+0+0+0+0+0+0+0+0+0+0+0+0+10+181+180</f>
        <v>371</v>
      </c>
      <c r="H5" s="10">
        <v>3120</v>
      </c>
      <c r="I5" s="10">
        <f>H5-G5-G7-G6</f>
        <v>877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4</v>
      </c>
      <c r="D7" s="10">
        <v>0</v>
      </c>
      <c r="E7" s="10">
        <f t="shared" si="0"/>
        <v>4</v>
      </c>
      <c r="F7" s="10" t="s">
        <v>14</v>
      </c>
      <c r="G7" s="10">
        <f>0+0+0+1+0+0+0+0+0+0+1+0+0+0+0+0+0+0+123+2+1+4</f>
        <v>132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</f>
        <v>5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29.54</v>
      </c>
      <c r="D10" s="13"/>
      <c r="E10" s="10">
        <f t="shared" si="0"/>
        <v>29.54</v>
      </c>
      <c r="F10" s="13" t="s">
        <v>14</v>
      </c>
      <c r="G10" s="10">
        <f>0+61.31+0+62.15+30.98+30.86+61.55+62.25+31.21+0+31.19+0+0+0+0+0+0+0+0+62.45+30.73+29.54</f>
        <v>494.22</v>
      </c>
      <c r="H10" s="13">
        <v>3.86</v>
      </c>
      <c r="I10" s="13">
        <f>H10-K11</f>
        <v>-0.582209</v>
      </c>
      <c r="J10" s="19" t="s">
        <v>22</v>
      </c>
      <c r="K10" s="10">
        <v>0</v>
      </c>
      <c r="L10" s="10">
        <v>0.88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5.7645</v>
      </c>
      <c r="D11" s="10">
        <v>0</v>
      </c>
      <c r="E11" s="10">
        <f t="shared" si="0"/>
        <v>5.7645</v>
      </c>
      <c r="F11" s="10" t="s">
        <v>14</v>
      </c>
      <c r="G11" s="10">
        <f>10.5435+9.18+7.884+7.479+10.0305+5.373+10.6515+9.3555+6.588+9.72+5.8995+2.9835+0+0+0+0+0+2.916+2.862+5.859+4.1985+5.7645</f>
        <v>117.288</v>
      </c>
      <c r="H11" s="10"/>
      <c r="I11" s="10">
        <f>G11/(G3*0.1865)</f>
        <v>3.7771176001739</v>
      </c>
      <c r="J11" s="19" t="s">
        <v>24</v>
      </c>
      <c r="K11" s="20">
        <f>0+0.55179+0+0.565565+0.275722+0.274654+0.55395+0.56025+0.28089+0+0.274472+0+0+0+0+0+0+0+0+0.57454+0.270424+0.259952</f>
        <v>4.442209</v>
      </c>
      <c r="L11" s="10"/>
      <c r="M11" s="10">
        <f>C10*L10/100</f>
        <v>0.259952</v>
      </c>
    </row>
    <row r="12" s="1" customFormat="1" ht="25" customHeight="1" spans="1:13">
      <c r="A12" s="12">
        <v>7</v>
      </c>
      <c r="B12" s="8" t="s">
        <v>25</v>
      </c>
      <c r="C12" s="10">
        <v>11.3344</v>
      </c>
      <c r="D12" s="10">
        <v>0</v>
      </c>
      <c r="E12" s="10">
        <f t="shared" si="0"/>
        <v>11.3344</v>
      </c>
      <c r="F12" s="10" t="s">
        <v>14</v>
      </c>
      <c r="G12" s="10">
        <f>18.4368+10.1016+12.6224+15.64+16.744+13.8+11.0584+13.0824+16.5784+12.8432+13.9288+0+0+0+0+0+0+9.5128+5.6304+6.9552+5.8512+11.3344</f>
        <v>194.12</v>
      </c>
      <c r="H12" s="10"/>
      <c r="I12" s="10">
        <f>G12/(G3*0.1865)</f>
        <v>6.25139885193504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186</v>
      </c>
      <c r="D13" s="10">
        <v>231</v>
      </c>
      <c r="E13" s="10">
        <f t="shared" si="0"/>
        <v>417</v>
      </c>
      <c r="F13" s="10" t="s">
        <v>27</v>
      </c>
      <c r="G13" s="10">
        <f>471+414+426+428+458+373+332+426+365+369+427+3+0+0+0+0+0+8+167+203+310+417</f>
        <v>5597</v>
      </c>
      <c r="H13" s="10">
        <f>G13*1.05</f>
        <v>5876.85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184</v>
      </c>
      <c r="D14" s="10">
        <v>191</v>
      </c>
      <c r="E14" s="10">
        <f t="shared" ref="E14:E24" si="1">D14+C14</f>
        <v>375</v>
      </c>
      <c r="F14" s="10" t="s">
        <v>27</v>
      </c>
      <c r="G14" s="10">
        <f>379+378+345+427+407+373+282+415+373+339+364+34+0+0+0+0+0+0+142+240+272+375</f>
        <v>5145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412.9</v>
      </c>
      <c r="D15" s="10">
        <v>444.32</v>
      </c>
      <c r="E15" s="10">
        <f t="shared" si="1"/>
        <v>857.22</v>
      </c>
      <c r="F15" s="10" t="s">
        <v>27</v>
      </c>
      <c r="G15" s="10">
        <f>759.56+799.43+811.69+866.88+886.17+680.76+886.98+870.58+848.77+897.24+520.02+110.3+0+0+0+0+0+260.46+713.93+266.32+835.78+857.22</f>
        <v>11872.09</v>
      </c>
      <c r="H15" s="10"/>
      <c r="I15" s="10"/>
      <c r="J15" s="19" t="s">
        <v>30</v>
      </c>
      <c r="K15" s="10">
        <v>2.51</v>
      </c>
      <c r="L15" s="10">
        <v>2.43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18</v>
      </c>
      <c r="E16" s="10">
        <f t="shared" si="1"/>
        <v>30</v>
      </c>
      <c r="F16" s="10" t="s">
        <v>14</v>
      </c>
      <c r="G16" s="10">
        <f>33+30+27+30+33+24+24+33+24+27+24+0+0+0+0+0+0+0+15+18+21+30</f>
        <v>393</v>
      </c>
      <c r="H16" s="10"/>
      <c r="I16" s="10">
        <f>G16/(G3*0.1865)</f>
        <v>12.6560877231119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</f>
        <v>35.541751</v>
      </c>
      <c r="L16" s="10"/>
      <c r="M16" s="10">
        <f>(C15*K15+L15*D15)/1000</f>
        <v>2.1160766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0+2+0+2+0+2+0+0+2+2+0+2+0+0+0+0+0+0+0+2+0+2</f>
        <v>16</v>
      </c>
      <c r="H19" s="22"/>
      <c r="I19" s="10">
        <f>G19/(G3*0.1865)</f>
        <v>0.515260568879872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0+2+0+2+0+2+0+0+2+2+0+2+0+0+0+0+0+0+0+2+0+2</f>
        <v>16</v>
      </c>
      <c r="H20" s="22"/>
      <c r="I20" s="10">
        <f>G20/(G3*0.1865)</f>
        <v>0.515260568879872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6</v>
      </c>
      <c r="D21" s="7">
        <v>2</v>
      </c>
      <c r="E21" s="10">
        <f t="shared" si="1"/>
        <v>8</v>
      </c>
      <c r="F21" s="10" t="s">
        <v>38</v>
      </c>
      <c r="G21" s="10">
        <f>6+6+7+5+2+7+3+4+13+7+3+3+7+0+0+0+0+3+0+1+2+8</f>
        <v>87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623</v>
      </c>
      <c r="D22" s="7">
        <v>649</v>
      </c>
      <c r="E22" s="10">
        <f t="shared" si="1"/>
        <v>1272</v>
      </c>
      <c r="F22" s="10" t="s">
        <v>27</v>
      </c>
      <c r="G22" s="10">
        <f>1188+1059+1106+1089+1115+739+1190+1160+1118+1090+637+2+0+0+0+0+0+375+1236+504+1331+1272</f>
        <v>16211</v>
      </c>
      <c r="H22" s="23"/>
      <c r="I22" s="10">
        <f>E22/M22</f>
        <v>53</v>
      </c>
      <c r="J22" s="19" t="s">
        <v>40</v>
      </c>
      <c r="K22" s="10">
        <f>24+24+24+24+24+10.5+24+24+24+24+13+0+0+0+0+0+0+5+24+7.5+24+24</f>
        <v>324</v>
      </c>
      <c r="L22" s="10">
        <f>G22/K22</f>
        <v>50.0339506172839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722</v>
      </c>
      <c r="D23" s="7">
        <v>803</v>
      </c>
      <c r="E23" s="10">
        <f t="shared" si="1"/>
        <v>1525</v>
      </c>
      <c r="F23" s="10" t="s">
        <v>27</v>
      </c>
      <c r="G23" s="10">
        <f>1569+1358+1338+1398+1471+952+1468+1460+1309+1386+760+0+0+0+0+0+0+480+1313+548+1591+1525</f>
        <v>19926</v>
      </c>
      <c r="H23" s="22"/>
      <c r="I23" s="10">
        <f>E23/M22</f>
        <v>63.5416666666667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124</v>
      </c>
      <c r="D24" s="7">
        <v>338</v>
      </c>
      <c r="E24" s="10">
        <f t="shared" si="1"/>
        <v>462</v>
      </c>
      <c r="F24" s="10" t="s">
        <v>27</v>
      </c>
      <c r="G24" s="10">
        <f>0+462</f>
        <v>462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27.55</v>
      </c>
      <c r="D25" s="7">
        <v>29.18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163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169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164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170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171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172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6.34</v>
      </c>
      <c r="D38" s="10">
        <v>6.32</v>
      </c>
      <c r="E38" s="10">
        <f t="shared" si="2"/>
        <v>12.66</v>
      </c>
      <c r="F38" s="10" t="s">
        <v>27</v>
      </c>
      <c r="G38" s="10">
        <f>12.61+12.57+12.61+12.64+12.73+13.08+6.35+12.54+12.61+6.39+0+0+0+0+0+0+0+10.33+12.75+12.74+12.78+12.66</f>
        <v>175.39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8</v>
      </c>
      <c r="D39" s="10">
        <v>10</v>
      </c>
      <c r="E39" s="10">
        <f t="shared" si="2"/>
        <v>18</v>
      </c>
      <c r="F39" s="10" t="s">
        <v>27</v>
      </c>
      <c r="G39" s="10">
        <f>14+32+21+38.65+18+15+0+43+25+27+20+12+64+0+46+0+0+54+28+30+40+18</f>
        <v>545.65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14.0265</v>
      </c>
      <c r="D40" s="10">
        <v>0</v>
      </c>
      <c r="E40" s="10">
        <f t="shared" si="2"/>
        <v>14.0265</v>
      </c>
      <c r="F40" s="10" t="s">
        <v>14</v>
      </c>
      <c r="G40" s="10">
        <f>6.615+8.667+0+14.8095+0+16.0515+0+0+6.912+12.231+0+0+0+0+0+0+0+0+0+0+10.935+14.0265</f>
        <v>90.2475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0</v>
      </c>
      <c r="D42" s="10">
        <v>0</v>
      </c>
      <c r="E42" s="10">
        <f t="shared" si="2"/>
        <v>0</v>
      </c>
      <c r="F42" s="10" t="s">
        <v>27</v>
      </c>
      <c r="G42" s="10">
        <f>523+309+0+1+0+104+0+526+588+571+540+84+0+0+0+0+0+4+0+0+0+0</f>
        <v>3250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513</v>
      </c>
      <c r="D43" s="10">
        <v>514</v>
      </c>
      <c r="E43" s="10">
        <f t="shared" si="2"/>
        <v>1027</v>
      </c>
      <c r="F43" s="10" t="s">
        <v>27</v>
      </c>
      <c r="G43" s="10">
        <f>1033+1032+1024+1026+1022+1020+507+1031+1028+1029+1030+1027+488+0+524+0+0+507+1041+894+1030+1027</f>
        <v>17320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</f>
        <v>0</v>
      </c>
      <c r="H44" s="22"/>
      <c r="I44" s="7">
        <v>510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</f>
        <v>0</v>
      </c>
      <c r="H45" s="22"/>
      <c r="I45" s="7">
        <v>69.488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3</v>
      </c>
      <c r="D46" s="7">
        <v>3</v>
      </c>
      <c r="E46" s="10">
        <f>D46+C46</f>
        <v>6</v>
      </c>
      <c r="F46" s="10" t="s">
        <v>38</v>
      </c>
      <c r="G46" s="10">
        <f>7+7+5+6+5+6+2+4+5+2+0+0+0+0+0+0+0+3+5+5+5+6</f>
        <v>73</v>
      </c>
      <c r="H46" s="22"/>
      <c r="I46" s="10"/>
      <c r="J46" s="37"/>
      <c r="K46" s="25"/>
      <c r="L46" s="19" t="s">
        <v>70</v>
      </c>
      <c r="M46" s="7">
        <v>38</v>
      </c>
    </row>
    <row r="47" s="1" customFormat="1" ht="80" customHeight="1" spans="1:13">
      <c r="A47" s="7">
        <v>11</v>
      </c>
      <c r="B47" s="34" t="s">
        <v>71</v>
      </c>
      <c r="C47" s="25" t="s">
        <v>72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173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7</v>
      </c>
      <c r="E3" s="10">
        <f t="shared" ref="E3:E13" si="0">C3+D3</f>
        <v>13.5</v>
      </c>
      <c r="F3" s="10" t="s">
        <v>14</v>
      </c>
      <c r="G3" s="10">
        <f>12+14+13.5+13+12+11.5+9+14.5+12+11.5+10.5+3+0+0+0+0+0+0+2+7.5+7.5+13+13.5</f>
        <v>180</v>
      </c>
      <c r="H3" s="10">
        <v>209</v>
      </c>
      <c r="I3" s="10">
        <f>H3-G3</f>
        <v>29</v>
      </c>
      <c r="J3" s="11"/>
      <c r="K3" s="10"/>
      <c r="L3" s="10"/>
      <c r="M3" s="10">
        <f>I3/8</f>
        <v>3.625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0+12+14+14+12+12+12+10+14+12+12+10+2+0+0+0+0+0+0+2+8+8+14</f>
        <v>168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66</v>
      </c>
      <c r="D5" s="10">
        <v>99</v>
      </c>
      <c r="E5" s="10">
        <f t="shared" si="0"/>
        <v>165</v>
      </c>
      <c r="F5" s="10" t="s">
        <v>14</v>
      </c>
      <c r="G5" s="10">
        <f>0+0+0+0+0+0+0+0+0+0+0+0+0+0+0+0+0+0+0+10+181+180+165</f>
        <v>536</v>
      </c>
      <c r="H5" s="10">
        <v>3120</v>
      </c>
      <c r="I5" s="10">
        <f>H5-G5-G7-G6</f>
        <v>710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2</v>
      </c>
      <c r="D7" s="10">
        <v>0</v>
      </c>
      <c r="E7" s="10">
        <f t="shared" si="0"/>
        <v>2</v>
      </c>
      <c r="F7" s="10" t="s">
        <v>14</v>
      </c>
      <c r="G7" s="10">
        <f>0+0+0+1+0+0+0+0+0+0+1+0+0+0+0+0+0+0+123+2+1+4+2</f>
        <v>134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0+0+0+0+0+0+0+0+0+2+0+0+0+0+0+0+0+0+3+0+0+0+0</f>
        <v>5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0+61.31+0+62.15+30.98+30.86+61.55+62.25+31.21+0+31.19+0+0+0+0+0+0+0+0+62.45+30.73+29.54+0</f>
        <v>494.22</v>
      </c>
      <c r="H10" s="13">
        <v>3.86</v>
      </c>
      <c r="I10" s="13">
        <f>H10-K11</f>
        <v>-0.582209</v>
      </c>
      <c r="J10" s="19" t="s">
        <v>22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6.291</v>
      </c>
      <c r="D11" s="10">
        <v>2.592</v>
      </c>
      <c r="E11" s="10">
        <f t="shared" si="0"/>
        <v>8.883</v>
      </c>
      <c r="F11" s="10" t="s">
        <v>14</v>
      </c>
      <c r="G11" s="10">
        <f>10.5435+9.18+7.884+7.479+10.0305+5.373+10.6515+9.3555+6.588+9.72+5.8995+2.9835+0+0+0+0+0+2.916+2.862+5.859+4.1985+5.7645+8.883</f>
        <v>126.171</v>
      </c>
      <c r="H11" s="10"/>
      <c r="I11" s="10">
        <f>G11/(G3*0.1865)</f>
        <v>3.75844504021448</v>
      </c>
      <c r="J11" s="19" t="s">
        <v>24</v>
      </c>
      <c r="K11" s="20">
        <f>0+0.55179+0+0.565565+0.275722+0.274654+0.55395+0.56025+0.28089+0+0.274472+0+0+0+0+0+0+0+0+0.57454+0.270424+0.259952+0</f>
        <v>4.442209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15.456</v>
      </c>
      <c r="D12" s="10">
        <v>0</v>
      </c>
      <c r="E12" s="10">
        <f t="shared" si="0"/>
        <v>15.456</v>
      </c>
      <c r="F12" s="10" t="s">
        <v>14</v>
      </c>
      <c r="G12" s="10">
        <f>18.4368+10.1016+12.6224+15.64+16.744+13.8+11.0584+13.0824+16.5784+12.8432+13.9288+0+0+0+0+0+0+9.5128+5.6304+6.9552+5.8512+11.3344+15.456</f>
        <v>209.576</v>
      </c>
      <c r="H12" s="10"/>
      <c r="I12" s="10">
        <f>G12/(G3*0.1865)</f>
        <v>6.24295501936253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227</v>
      </c>
      <c r="D13" s="10">
        <v>224</v>
      </c>
      <c r="E13" s="10">
        <f t="shared" si="0"/>
        <v>451</v>
      </c>
      <c r="F13" s="10" t="s">
        <v>27</v>
      </c>
      <c r="G13" s="10">
        <f>471+414+426+428+458+373+332+426+365+369+427+3+0+0+0+0+0+8+167+203+310+417+451</f>
        <v>6048</v>
      </c>
      <c r="H13" s="10">
        <f>G13*1.05</f>
        <v>6350.4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186</v>
      </c>
      <c r="D14" s="10">
        <v>230</v>
      </c>
      <c r="E14" s="10">
        <f t="shared" ref="E14:E24" si="1">D14+C14</f>
        <v>416</v>
      </c>
      <c r="F14" s="10" t="s">
        <v>27</v>
      </c>
      <c r="G14" s="10">
        <f>379+378+345+427+407+373+282+415+373+339+364+34+0+0+0+0+0+0+142+240+272+375+416</f>
        <v>5561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446.07</v>
      </c>
      <c r="D15" s="10">
        <v>434.64</v>
      </c>
      <c r="E15" s="10">
        <f t="shared" si="1"/>
        <v>880.71</v>
      </c>
      <c r="F15" s="10" t="s">
        <v>27</v>
      </c>
      <c r="G15" s="10">
        <f>759.56+799.43+811.69+866.88+886.17+680.76+886.98+870.58+848.77+897.24+520.02+110.3+0+0+0+0+0+260.46+713.93+266.32+835.78+857.22+880.71</f>
        <v>12752.8</v>
      </c>
      <c r="H15" s="10"/>
      <c r="I15" s="10"/>
      <c r="J15" s="19" t="s">
        <v>30</v>
      </c>
      <c r="K15" s="10">
        <v>2.53</v>
      </c>
      <c r="L15" s="10">
        <v>2.53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15</v>
      </c>
      <c r="E16" s="10">
        <f t="shared" si="1"/>
        <v>30</v>
      </c>
      <c r="F16" s="10" t="s">
        <v>14</v>
      </c>
      <c r="G16" s="10">
        <f>33+30+27+30+33+24+24+33+24+27+24+0+0+0+0+0+0+0+15+18+21+30+30</f>
        <v>423</v>
      </c>
      <c r="H16" s="10"/>
      <c r="I16" s="10">
        <f>G16/(G3*0.1865)</f>
        <v>12.6005361930295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</f>
        <v>37.7699473</v>
      </c>
      <c r="L16" s="10"/>
      <c r="M16" s="10">
        <f>(C15*K15+L15*D15)/1000</f>
        <v>2.2281963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0.0875+0.075+0.0875+0+0.1125+0.0375+0+0+0.025+0.075+0+0+0+0+0+0+0+0+0+0+0+0+0</f>
        <v>0.5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0+2+0+2+0+2+0+0+2+2+0+2+0+0+0+0+0+0+0+2+0+2+0</f>
        <v>16</v>
      </c>
      <c r="H19" s="22"/>
      <c r="I19" s="10">
        <f>G19/(G3*0.1865)</f>
        <v>0.476616026213881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0+2+0+2+0+2+0+0+2+2+0+2+0+0+0+0+0+0+0+2+0+2+0</f>
        <v>16</v>
      </c>
      <c r="H20" s="22"/>
      <c r="I20" s="10">
        <f>G20/(G3*0.1865)</f>
        <v>0.476616026213881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0</v>
      </c>
      <c r="E21" s="10">
        <f t="shared" si="1"/>
        <v>2</v>
      </c>
      <c r="F21" s="10" t="s">
        <v>38</v>
      </c>
      <c r="G21" s="10">
        <f>6+6+7+5+2+7+3+4+13+7+3+3+7+0+0+0+0+3+0+1+2+8+2</f>
        <v>89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627</v>
      </c>
      <c r="D22" s="7">
        <v>617</v>
      </c>
      <c r="E22" s="10">
        <f t="shared" si="1"/>
        <v>1244</v>
      </c>
      <c r="F22" s="10" t="s">
        <v>27</v>
      </c>
      <c r="G22" s="10">
        <f>1188+1059+1106+1089+1115+739+1190+1160+1118+1090+637+2+0+0+0+0+0+375+1236+504+1331+1272+1244</f>
        <v>17455</v>
      </c>
      <c r="H22" s="23"/>
      <c r="I22" s="10">
        <f>E22/M22</f>
        <v>51.8333333333333</v>
      </c>
      <c r="J22" s="19" t="s">
        <v>40</v>
      </c>
      <c r="K22" s="10">
        <f>24+24+24+24+24+10.5+24+24+24+24+13+0+0+0+0+0+0+5+24+7.5+24+24+24</f>
        <v>348</v>
      </c>
      <c r="L22" s="10">
        <f>G22/K22</f>
        <v>50.1580459770115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721</v>
      </c>
      <c r="D23" s="7">
        <v>806</v>
      </c>
      <c r="E23" s="10">
        <f t="shared" si="1"/>
        <v>1527</v>
      </c>
      <c r="F23" s="10" t="s">
        <v>27</v>
      </c>
      <c r="G23" s="10">
        <f>1569+1358+1338+1398+1471+952+1468+1460+1309+1386+760+0+0+0+0+0+0+480+1313+548+1591+1525+1527</f>
        <v>21453</v>
      </c>
      <c r="H23" s="22"/>
      <c r="I23" s="10">
        <f>E23/M22</f>
        <v>63.625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63</v>
      </c>
      <c r="D24" s="7">
        <v>151</v>
      </c>
      <c r="E24" s="10">
        <f t="shared" si="1"/>
        <v>214</v>
      </c>
      <c r="F24" s="10" t="s">
        <v>27</v>
      </c>
      <c r="G24" s="10">
        <f>0+462+214</f>
        <v>676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29.8</v>
      </c>
      <c r="D25" s="7">
        <v>33.67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169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174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170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175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171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176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6.31</v>
      </c>
      <c r="D38" s="10">
        <v>0</v>
      </c>
      <c r="E38" s="10">
        <f t="shared" si="2"/>
        <v>6.31</v>
      </c>
      <c r="F38" s="10" t="s">
        <v>27</v>
      </c>
      <c r="G38" s="10">
        <f>12.61+12.57+12.61+12.64+12.73+13.08+6.35+12.54+12.61+6.39+0+0+0+0+0+0+0+10.33+12.75+12.74+12.78+12.66+6.31</f>
        <v>181.7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25.32</v>
      </c>
      <c r="D39" s="10">
        <v>10</v>
      </c>
      <c r="E39" s="10">
        <f t="shared" si="2"/>
        <v>35.32</v>
      </c>
      <c r="F39" s="10" t="s">
        <v>27</v>
      </c>
      <c r="G39" s="10">
        <f>14+32+21+38.65+18+15+0+43+25+27+20+12+64+0+46+0+0+54+28+30+40+18+35.32</f>
        <v>580.97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6.615+8.667+0+14.8095+0+16.0515+0+0+6.912+12.231+0+0+0+0+0+0+0+0+0+0+10.935+14.0265+0</f>
        <v>90.2475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12</v>
      </c>
      <c r="D42" s="10">
        <v>80</v>
      </c>
      <c r="E42" s="10">
        <f t="shared" si="2"/>
        <v>92</v>
      </c>
      <c r="F42" s="10" t="s">
        <v>27</v>
      </c>
      <c r="G42" s="10">
        <f>523+309+0+1+0+104+0+526+588+571+540+84+0+0+0+0+0+4+0+0+0+0+92</f>
        <v>3342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518</v>
      </c>
      <c r="D43" s="10">
        <v>516</v>
      </c>
      <c r="E43" s="10">
        <f t="shared" si="2"/>
        <v>1034</v>
      </c>
      <c r="F43" s="10" t="s">
        <v>27</v>
      </c>
      <c r="G43" s="10">
        <f>1033+1032+1024+1026+1022+1020+507+1031+1028+1029+1030+1027+488+0+524+0+0+507+1041+894+1030+1027+1034</f>
        <v>18354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</f>
        <v>0</v>
      </c>
      <c r="H44" s="22"/>
      <c r="I44" s="7">
        <v>225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</f>
        <v>0</v>
      </c>
      <c r="H45" s="22"/>
      <c r="I45" s="7">
        <v>72.0938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3</v>
      </c>
      <c r="D46" s="7">
        <v>3</v>
      </c>
      <c r="E46" s="10">
        <f>D46+C46</f>
        <v>6</v>
      </c>
      <c r="F46" s="10" t="s">
        <v>38</v>
      </c>
      <c r="G46" s="10">
        <f>7+7+5+6+5+6+2+4+5+2+0+0+0+0+0+0+0+3+5+5+5+6+6</f>
        <v>79</v>
      </c>
      <c r="H46" s="22"/>
      <c r="I46" s="10"/>
      <c r="J46" s="37"/>
      <c r="K46" s="25"/>
      <c r="L46" s="19" t="s">
        <v>70</v>
      </c>
      <c r="M46" s="7">
        <v>35</v>
      </c>
    </row>
    <row r="47" s="1" customFormat="1" ht="80" customHeight="1" spans="1:13">
      <c r="A47" s="7">
        <v>11</v>
      </c>
      <c r="B47" s="34" t="s">
        <v>71</v>
      </c>
      <c r="C47" s="25" t="s">
        <v>72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177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</v>
      </c>
      <c r="D3" s="9">
        <v>4.5</v>
      </c>
      <c r="E3" s="10">
        <f t="shared" ref="E3:E13" si="0">C3+D3</f>
        <v>8.5</v>
      </c>
      <c r="F3" s="10" t="s">
        <v>14</v>
      </c>
      <c r="G3" s="10">
        <f>12+14+13.5+13+12+11.5+9+14.5+12+11.5+10.5+3+0+0+0+0+0+0+2+7.5+7.5+13+13.5+8.5</f>
        <v>188.5</v>
      </c>
      <c r="H3" s="10">
        <v>209</v>
      </c>
      <c r="I3" s="10">
        <f>H3-G3</f>
        <v>20.5</v>
      </c>
      <c r="J3" s="11"/>
      <c r="K3" s="10"/>
      <c r="L3" s="10"/>
      <c r="M3" s="10">
        <f>I3/7</f>
        <v>2.92857142857143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0+12+14+14+12+12+12+10+14+12+12+10+2+0+0+0+0+0+0+2+8+8+14+12</f>
        <v>180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82</v>
      </c>
      <c r="D5" s="10">
        <v>69</v>
      </c>
      <c r="E5" s="10">
        <f t="shared" si="0"/>
        <v>151</v>
      </c>
      <c r="F5" s="10" t="s">
        <v>14</v>
      </c>
      <c r="G5" s="10">
        <f>0+0+0+0+0+0+0+0+0+0+0+0+0+0+0+0+0+0+0+10+181+180+165+151</f>
        <v>687</v>
      </c>
      <c r="H5" s="10">
        <v>3120</v>
      </c>
      <c r="I5" s="10">
        <f>H5-G5-G7-G6</f>
        <v>558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1</v>
      </c>
      <c r="E7" s="10">
        <f t="shared" si="0"/>
        <v>1</v>
      </c>
      <c r="F7" s="10" t="s">
        <v>14</v>
      </c>
      <c r="G7" s="10">
        <f>0+0+0+1+0+0+0+0+0+0+1+0+0+0+0+0+0+0+123+2+1+4+2+1</f>
        <v>135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0+0+0+0+0+0+0+0+0+2+0+0+0+0+0+0+0+0+3+0+0+0+0+0</f>
        <v>5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0+61.31+0+62.15+30.98+30.86+61.55+62.25+31.21+0+31.19+0+0+0+0+0+0+0+0+62.45+30.73+29.54+0+0</f>
        <v>494.22</v>
      </c>
      <c r="H10" s="13">
        <v>3.86</v>
      </c>
      <c r="I10" s="13">
        <f>H10-K11</f>
        <v>-0.582209</v>
      </c>
      <c r="J10" s="19" t="s">
        <v>22</v>
      </c>
      <c r="K10" s="10">
        <v>60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5.9535</v>
      </c>
      <c r="D11" s="10">
        <v>0</v>
      </c>
      <c r="E11" s="10">
        <f t="shared" si="0"/>
        <v>5.9535</v>
      </c>
      <c r="F11" s="10" t="s">
        <v>14</v>
      </c>
      <c r="G11" s="10">
        <f>10.5435+9.18+7.884+7.479+10.0305+5.373+10.6515+9.3555+6.588+9.72+5.8995+2.9835+0+0+0+0+0+2.916+2.862+5.859+4.1985+5.7645+8.883+5.9535</f>
        <v>132.1245</v>
      </c>
      <c r="H11" s="10"/>
      <c r="I11" s="10">
        <f>G11/(G3*0.1865)</f>
        <v>3.75831490317947</v>
      </c>
      <c r="J11" s="19" t="s">
        <v>24</v>
      </c>
      <c r="K11" s="20">
        <f>0+0.55179+0+0.565565+0.275722+0.274654+0.55395+0.56025+0.28089+0+0.274472+0+0+0+0+0+0+0+0+0.57454+0.270424+0.259952+0+0</f>
        <v>4.442209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11.2792</v>
      </c>
      <c r="D12" s="10">
        <v>0</v>
      </c>
      <c r="E12" s="10">
        <f t="shared" si="0"/>
        <v>11.2792</v>
      </c>
      <c r="F12" s="10" t="s">
        <v>14</v>
      </c>
      <c r="G12" s="10">
        <f>18.4368+10.1016+12.6224+15.64+16.744+13.8+11.0584+13.0824+16.5784+12.8432+13.9288+0+0+0+0+0+0+9.5128+5.6304+6.9552+5.8512+11.3344+15.456+11.2792</f>
        <v>220.8552</v>
      </c>
      <c r="H12" s="10"/>
      <c r="I12" s="10">
        <f>G12/(G3*0.1865)</f>
        <v>6.28228216269263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131</v>
      </c>
      <c r="D13" s="10">
        <v>165</v>
      </c>
      <c r="E13" s="10">
        <f t="shared" si="0"/>
        <v>296</v>
      </c>
      <c r="F13" s="10" t="s">
        <v>27</v>
      </c>
      <c r="G13" s="10">
        <f>471+414+426+428+458+373+332+426+365+369+427+3+0+0+0+0+0+8+167+203+310+417+451+296</f>
        <v>6344</v>
      </c>
      <c r="H13" s="10">
        <f>G13*1.05</f>
        <v>6661.2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101</v>
      </c>
      <c r="D14" s="10">
        <v>120</v>
      </c>
      <c r="E14" s="10">
        <f t="shared" ref="E14:E24" si="1">D14+C14</f>
        <v>221</v>
      </c>
      <c r="F14" s="10" t="s">
        <v>27</v>
      </c>
      <c r="G14" s="10">
        <f>379+378+345+427+407+373+282+415+373+339+364+34+0+0+0+0+0+0+142+240+272+375+416+221</f>
        <v>5782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446.51</v>
      </c>
      <c r="D15" s="10">
        <v>450.91</v>
      </c>
      <c r="E15" s="10">
        <f t="shared" si="1"/>
        <v>897.42</v>
      </c>
      <c r="F15" s="10" t="s">
        <v>27</v>
      </c>
      <c r="G15" s="10">
        <f>759.56+799.43+811.69+866.88+886.17+680.76+886.98+870.58+848.77+897.24+520.02+110.3+0+0+0+0+0+260.46+713.93+266.32+835.78+857.22+880.71+897.42</f>
        <v>13650.22</v>
      </c>
      <c r="H15" s="10"/>
      <c r="I15" s="10"/>
      <c r="J15" s="19" t="s">
        <v>30</v>
      </c>
      <c r="K15" s="10">
        <v>2.25</v>
      </c>
      <c r="L15" s="10">
        <v>2.41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9</v>
      </c>
      <c r="D16" s="10">
        <v>9</v>
      </c>
      <c r="E16" s="10">
        <f t="shared" si="1"/>
        <v>18</v>
      </c>
      <c r="F16" s="10" t="s">
        <v>14</v>
      </c>
      <c r="G16" s="10">
        <f>33+30+27+30+33+24+24+33+24+27+24+0+0+0+0+0+0+0+15+18+21+30+30+18</f>
        <v>441</v>
      </c>
      <c r="H16" s="10"/>
      <c r="I16" s="10">
        <f>G16/(G3*0.1865)</f>
        <v>12.5443568172606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2.2656512+2.7043886+2.7187124+2.838152+2.9641425+2.2756185+2.6876578+2.6498176+2.5338794+2.6521892+1.6536636+0.350754+0+0+0+0+0+0.7304704+2.0702614+0.6285152+1.7018006+2.1160766+2.2281963+2.0913406</f>
        <v>39.8612879</v>
      </c>
      <c r="L16" s="10"/>
      <c r="M16" s="10">
        <f>(C15*K15+L15*D15)/1000</f>
        <v>2.0913406</v>
      </c>
    </row>
    <row r="17" s="1" customFormat="1" ht="25" customHeight="1" spans="1:13">
      <c r="A17" s="12">
        <v>12</v>
      </c>
      <c r="B17" s="8" t="s">
        <v>33</v>
      </c>
      <c r="C17" s="7">
        <v>0.075</v>
      </c>
      <c r="D17" s="7">
        <v>0</v>
      </c>
      <c r="E17" s="10">
        <f t="shared" si="1"/>
        <v>0.075</v>
      </c>
      <c r="F17" s="10" t="s">
        <v>14</v>
      </c>
      <c r="G17" s="10">
        <f>0.0875+0.075+0.0875+0+0.1125+0.0375+0+0+0.025+0.075+0+0+0+0+0+0+0+0+0+0+0+0+0+0.075</f>
        <v>0.575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0+2+0+2+0+2+0+0+2+2+0+2+0+0+0+0+0+0+0+2+0+2+0+2</f>
        <v>18</v>
      </c>
      <c r="H19" s="22"/>
      <c r="I19" s="10">
        <f>G19/(G3*0.1865)</f>
        <v>0.51201456396982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0+2+0+2+0+2+0+0+2+2+0+2+0+0+0+0+0+0+0+2+0+2+0+2</f>
        <v>18</v>
      </c>
      <c r="H20" s="22"/>
      <c r="I20" s="10">
        <f>G20/(G3*0.1865)</f>
        <v>0.51201456396982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6</v>
      </c>
      <c r="D21" s="7">
        <v>6</v>
      </c>
      <c r="E21" s="10">
        <f t="shared" si="1"/>
        <v>12</v>
      </c>
      <c r="F21" s="10" t="s">
        <v>38</v>
      </c>
      <c r="G21" s="10">
        <f>6+6+7+5+2+7+3+4+13+7+3+3+7+0+0+0+0+3+0+1+2+8+2+12</f>
        <v>101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568</v>
      </c>
      <c r="D22" s="7">
        <v>602</v>
      </c>
      <c r="E22" s="10">
        <f t="shared" si="1"/>
        <v>1170</v>
      </c>
      <c r="F22" s="10" t="s">
        <v>27</v>
      </c>
      <c r="G22" s="10">
        <f>1188+1059+1106+1089+1115+739+1190+1160+1118+1090+637+2+0+0+0+0+0+375+1236+504+1331+1272+1244+1170</f>
        <v>18625</v>
      </c>
      <c r="H22" s="23"/>
      <c r="I22" s="10">
        <f>E22/M22</f>
        <v>48.75</v>
      </c>
      <c r="J22" s="19" t="s">
        <v>40</v>
      </c>
      <c r="K22" s="10">
        <f>24+24+24+24+24+10.5+24+24+24+24+13+0+0+0+0+0+0+5+24+7.5+24+24+24+24</f>
        <v>372</v>
      </c>
      <c r="L22" s="10">
        <f>G22/K22</f>
        <v>50.0672043010753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631</v>
      </c>
      <c r="D23" s="7">
        <v>657</v>
      </c>
      <c r="E23" s="10">
        <f t="shared" si="1"/>
        <v>1288</v>
      </c>
      <c r="F23" s="10" t="s">
        <v>27</v>
      </c>
      <c r="G23" s="10">
        <f>1569+1358+1338+1398+1471+952+1468+1460+1309+1386+760+0+0+0+0+0+0+480+1313+548+1591+1525+1527+1288</f>
        <v>22741</v>
      </c>
      <c r="H23" s="22"/>
      <c r="I23" s="10">
        <f>E23/M22</f>
        <v>53.6666666666667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331</v>
      </c>
      <c r="D24" s="7">
        <v>57</v>
      </c>
      <c r="E24" s="10">
        <f t="shared" si="1"/>
        <v>388</v>
      </c>
      <c r="F24" s="10" t="s">
        <v>27</v>
      </c>
      <c r="G24" s="10">
        <f>0+462+214+388</f>
        <v>1064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31.57</v>
      </c>
      <c r="D25" s="7">
        <v>35.71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174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178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175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179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180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181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6.27</v>
      </c>
      <c r="D38" s="10">
        <v>6.18</v>
      </c>
      <c r="E38" s="10">
        <f t="shared" si="2"/>
        <v>12.45</v>
      </c>
      <c r="F38" s="10" t="s">
        <v>27</v>
      </c>
      <c r="G38" s="10">
        <f>12.61+12.57+12.61+12.64+12.73+13.08+6.35+12.54+12.61+6.39+0+0+0+0+0+0+0+10.33+12.75+12.74+12.78+12.66+6.31+12.45</f>
        <v>194.15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0</v>
      </c>
      <c r="D39" s="10">
        <v>0</v>
      </c>
      <c r="E39" s="10">
        <f t="shared" si="2"/>
        <v>0</v>
      </c>
      <c r="F39" s="10" t="s">
        <v>27</v>
      </c>
      <c r="G39" s="10">
        <f>14+32+21+38.65+18+15+0+43+25+27+20+12+64+0+46+0+0+54+28+30+40+18+35.32+0</f>
        <v>580.97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8.748</v>
      </c>
      <c r="D40" s="10">
        <v>0</v>
      </c>
      <c r="E40" s="10">
        <f t="shared" si="2"/>
        <v>8.748</v>
      </c>
      <c r="F40" s="10" t="s">
        <v>14</v>
      </c>
      <c r="G40" s="10">
        <f>6.615+8.667+0+14.8095+0+16.0515+0+0+6.912+12.231+0+0+0+0+0+0+0+0+0+0+10.935+14.0265+0+8.748</f>
        <v>98.9955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238</v>
      </c>
      <c r="D42" s="10">
        <v>240</v>
      </c>
      <c r="E42" s="10">
        <f t="shared" si="2"/>
        <v>478</v>
      </c>
      <c r="F42" s="10" t="s">
        <v>27</v>
      </c>
      <c r="G42" s="10">
        <f>523+309+0+1+0+104+0+526+588+571+540+84+0+0+0+0+0+4+0+0+0+0+92+478</f>
        <v>3820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520</v>
      </c>
      <c r="D43" s="10">
        <v>517</v>
      </c>
      <c r="E43" s="10">
        <f t="shared" si="2"/>
        <v>1037</v>
      </c>
      <c r="F43" s="10" t="s">
        <v>27</v>
      </c>
      <c r="G43" s="10">
        <f>1033+1032+1024+1026+1022+1020+507+1031+1028+1029+1030+1027+488+0+524+0+0+507+1041+894+1030+1027+1034+1037</f>
        <v>19391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</f>
        <v>0</v>
      </c>
      <c r="H44" s="22"/>
      <c r="I44" s="7">
        <v>577.5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</f>
        <v>0</v>
      </c>
      <c r="H45" s="22"/>
      <c r="I45" s="7">
        <v>72.0938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5</v>
      </c>
      <c r="D46" s="7">
        <v>6</v>
      </c>
      <c r="E46" s="10">
        <f>D46+C46</f>
        <v>11</v>
      </c>
      <c r="F46" s="10" t="s">
        <v>38</v>
      </c>
      <c r="G46" s="10">
        <f>7+7+5+6+5+6+2+4+5+2+0+0+0+0+0+0+0+3+5+5+5+6+6+11</f>
        <v>90</v>
      </c>
      <c r="H46" s="22"/>
      <c r="I46" s="10"/>
      <c r="J46" s="37"/>
      <c r="K46" s="25"/>
      <c r="L46" s="19" t="s">
        <v>70</v>
      </c>
      <c r="M46" s="7">
        <v>45</v>
      </c>
    </row>
    <row r="47" s="1" customFormat="1" ht="80" customHeight="1" spans="1:13">
      <c r="A47" s="7">
        <v>11</v>
      </c>
      <c r="B47" s="34" t="s">
        <v>71</v>
      </c>
      <c r="C47" s="25" t="s">
        <v>72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182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6.5</v>
      </c>
      <c r="E3" s="10">
        <f t="shared" ref="E3:E13" si="0">C3+D3</f>
        <v>11</v>
      </c>
      <c r="F3" s="10" t="s">
        <v>14</v>
      </c>
      <c r="G3" s="10">
        <f>12+14+13.5+13+12+11.5+9+14.5+12+11.5+10.5+3+0+0+0+0+0+0+2+7.5+7.5+13+13.5+8.5+11</f>
        <v>199.5</v>
      </c>
      <c r="H3" s="10">
        <v>209</v>
      </c>
      <c r="I3" s="10">
        <f>H3-G3</f>
        <v>9.5</v>
      </c>
      <c r="J3" s="11"/>
      <c r="K3" s="10"/>
      <c r="L3" s="10"/>
      <c r="M3" s="10">
        <f>I3/6</f>
        <v>1.58333333333333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0+12+14+14+12+12+12+10+14+12+12+10+2+0+0+0+0+0+0+2+8+8+14+12+10</f>
        <v>190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72</v>
      </c>
      <c r="D5" s="10">
        <v>72</v>
      </c>
      <c r="E5" s="10">
        <f t="shared" si="0"/>
        <v>144</v>
      </c>
      <c r="F5" s="10" t="s">
        <v>14</v>
      </c>
      <c r="G5" s="10">
        <f>0+0+0+0+0+0+0+0+0+0+0+0+0+0+0+0+0+0+0+10+181+180+165+151+144</f>
        <v>831</v>
      </c>
      <c r="H5" s="10">
        <v>3120</v>
      </c>
      <c r="I5" s="10">
        <f>H5-G5-G7-G6</f>
        <v>414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0+0+0+1+0+0+0+0+0+0+1+0+0+0+0+0+0+0+123+2+1+4+2+1+0</f>
        <v>135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0+0+0+0+0+0+0+0+0+2+0+0+0+0+0+0+0+0+3+0+0+0+0+0+0</f>
        <v>5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0+61.31+0+62.15+30.98+30.86+61.55+62.25+31.21+0+31.19+0+0+0+0+0+0+0+0+62.45+30.73+29.54+0+0+0</f>
        <v>494.22</v>
      </c>
      <c r="H10" s="13">
        <v>3.86</v>
      </c>
      <c r="I10" s="13">
        <f>H10-K11</f>
        <v>-0.582209</v>
      </c>
      <c r="J10" s="19" t="s">
        <v>22</v>
      </c>
      <c r="K10" s="10">
        <v>60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5.319</v>
      </c>
      <c r="D11" s="10">
        <v>0</v>
      </c>
      <c r="E11" s="10">
        <f t="shared" si="0"/>
        <v>5.319</v>
      </c>
      <c r="F11" s="10" t="s">
        <v>14</v>
      </c>
      <c r="G11" s="10">
        <f>10.5435+9.18+7.884+7.479+10.0305+5.373+10.6515+9.3555+6.588+9.72+5.8995+2.9835+0+0+0+0+0+2.916+2.862+5.859+4.1985+5.7645+8.883+5.9535+5.319</f>
        <v>137.4435</v>
      </c>
      <c r="H11" s="10"/>
      <c r="I11" s="10">
        <f>G11/(G3*0.1865)</f>
        <v>3.69404745106735</v>
      </c>
      <c r="J11" s="19" t="s">
        <v>24</v>
      </c>
      <c r="K11" s="20">
        <f>0+0.55179+0+0.565565+0.275722+0.274654+0.55395+0.56025+0.28089+0+0.274472+0+0+0+0+0+0+0+0+0.57454+0.270424+0.259952+0+0+0</f>
        <v>4.442209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10.8192</v>
      </c>
      <c r="D12" s="10">
        <v>0</v>
      </c>
      <c r="E12" s="10">
        <f t="shared" si="0"/>
        <v>10.8192</v>
      </c>
      <c r="F12" s="10" t="s">
        <v>14</v>
      </c>
      <c r="G12" s="10">
        <f>18.4368+10.1016+12.6224+15.64+16.744+13.8+11.0584+13.0824+16.5784+12.8432+13.9288+0+0+0+0+0+0+9.5128+5.6304+6.9552+5.8512+11.3344+15.456+11.2792+10.8192</f>
        <v>231.6744</v>
      </c>
      <c r="H12" s="10"/>
      <c r="I12" s="10">
        <f>G12/(G3*0.1865)</f>
        <v>6.22667661109879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165</v>
      </c>
      <c r="D13" s="10">
        <v>193</v>
      </c>
      <c r="E13" s="10">
        <f t="shared" si="0"/>
        <v>358</v>
      </c>
      <c r="F13" s="10" t="s">
        <v>27</v>
      </c>
      <c r="G13" s="10">
        <f>471+414+426+428+458+373+332+426+365+369+427+3+0+0+0+0+0+8+167+203+310+417+451+296+358</f>
        <v>6702</v>
      </c>
      <c r="H13" s="10">
        <f>G13*1.05</f>
        <v>7037.1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155</v>
      </c>
      <c r="D14" s="10">
        <v>192</v>
      </c>
      <c r="E14" s="10">
        <f t="shared" ref="E14:E24" si="1">D14+C14</f>
        <v>347</v>
      </c>
      <c r="F14" s="10" t="s">
        <v>27</v>
      </c>
      <c r="G14" s="10">
        <f>379+378+345+427+407+373+282+415+373+339+364+34+0+0+0+0+0+0+142+240+272+375+416+221+347</f>
        <v>6129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398.22</v>
      </c>
      <c r="D15" s="10">
        <v>399.57</v>
      </c>
      <c r="E15" s="10">
        <f t="shared" si="1"/>
        <v>797.79</v>
      </c>
      <c r="F15" s="10" t="s">
        <v>27</v>
      </c>
      <c r="G15" s="10">
        <f>759.56+799.43+811.69+866.88+886.17+680.76+886.98+870.58+848.77+897.24+520.02+110.3+0+0+0+0+0+260.46+713.93+266.32+835.78+857.22+880.71+897.42+797.79</f>
        <v>14448.01</v>
      </c>
      <c r="H15" s="10"/>
      <c r="I15" s="10"/>
      <c r="J15" s="19" t="s">
        <v>30</v>
      </c>
      <c r="K15" s="10">
        <v>2.5</v>
      </c>
      <c r="L15" s="10">
        <v>2.22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12</v>
      </c>
      <c r="E16" s="10">
        <f t="shared" si="1"/>
        <v>24</v>
      </c>
      <c r="F16" s="10" t="s">
        <v>14</v>
      </c>
      <c r="G16" s="10">
        <f>33+30+27+30+33+24+24+33+24+27+24+0+0+0+0+0+0+0+15+18+21+30+30+18+24</f>
        <v>465</v>
      </c>
      <c r="H16" s="10"/>
      <c r="I16" s="10">
        <f>G16/(G3*0.1865)</f>
        <v>12.4977322663226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2.2656512+2.7043886+2.7187124+2.838152+2.9641425+2.2756185+2.6876578+2.6498176+2.5338794+2.6521892+1.6536636+0.350754+0+0+0+0+0+0.7304704+2.0702614+0.6285152+1.7018006+2.1160766+2.2281963+2.0913406+1.8825954</f>
        <v>41.7438833</v>
      </c>
      <c r="L16" s="10"/>
      <c r="M16" s="10">
        <f>(C15*K15+L15*D15)/1000</f>
        <v>1.8825954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0.0875+0.075+0.0875+0+0.1125+0.0375+0+0+0.025+0.075+0+0+0+0+0+0+0+0+0+0+0+0+0+0.075+0</f>
        <v>0.575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0+2+0+2+0+2+0+0+2+2+0+2+0+0+0+0+0+0+0+2+0+2+0+2+0</f>
        <v>18</v>
      </c>
      <c r="H19" s="22"/>
      <c r="I19" s="10">
        <f>G19/(G3*0.1865)</f>
        <v>0.483783184502812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0+2+0+2+0+2+0+0+2+2+0+2+0+0+0+0+0+0+0+2+0+2+0+2+0</f>
        <v>18</v>
      </c>
      <c r="H20" s="22"/>
      <c r="I20" s="10">
        <f>G20/(G3*0.1865)</f>
        <v>0.483783184502812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0</v>
      </c>
      <c r="E21" s="10">
        <f t="shared" si="1"/>
        <v>2</v>
      </c>
      <c r="F21" s="10" t="s">
        <v>38</v>
      </c>
      <c r="G21" s="10">
        <f>6+6+7+5+2+7+3+4+13+7+3+3+7+0+0+0+0+3+0+1+2+8+2+12+2</f>
        <v>103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586</v>
      </c>
      <c r="D22" s="7">
        <v>538</v>
      </c>
      <c r="E22" s="10">
        <f t="shared" si="1"/>
        <v>1124</v>
      </c>
      <c r="F22" s="10" t="s">
        <v>27</v>
      </c>
      <c r="G22" s="10">
        <f>1188+1059+1106+1089+1115+739+1190+1160+1118+1090+637+2+0+0+0+0+0+375+1236+504+1331+1272+1244+1170+1124</f>
        <v>19749</v>
      </c>
      <c r="H22" s="23"/>
      <c r="I22" s="10">
        <f>E22/M22</f>
        <v>46.8333333333333</v>
      </c>
      <c r="J22" s="19" t="s">
        <v>40</v>
      </c>
      <c r="K22" s="10">
        <f>24+24+24+24+24+10.5+24+24+24+24+13+0+0+0+0+0+0+5+24+7.5+24+24+24+24+24</f>
        <v>396</v>
      </c>
      <c r="L22" s="10">
        <f>G22/K22</f>
        <v>49.8712121212121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657</v>
      </c>
      <c r="D23" s="7">
        <v>646</v>
      </c>
      <c r="E23" s="10">
        <f t="shared" si="1"/>
        <v>1303</v>
      </c>
      <c r="F23" s="10" t="s">
        <v>27</v>
      </c>
      <c r="G23" s="10">
        <f>1569+1358+1338+1398+1471+952+1468+1460+1309+1386+760+0+0+0+0+0+0+480+1313+548+1591+1525+1527+1288+1303</f>
        <v>24044</v>
      </c>
      <c r="H23" s="22"/>
      <c r="I23" s="10">
        <f>E23/M22</f>
        <v>54.2916666666667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296</v>
      </c>
      <c r="D24" s="7">
        <v>103</v>
      </c>
      <c r="E24" s="10">
        <f t="shared" si="1"/>
        <v>399</v>
      </c>
      <c r="F24" s="10" t="s">
        <v>27</v>
      </c>
      <c r="G24" s="10">
        <f>0+462+214+388+399</f>
        <v>1463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30.92</v>
      </c>
      <c r="D25" s="7">
        <v>31.12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178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183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179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183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184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185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6.39</v>
      </c>
      <c r="D38" s="10">
        <v>6.35</v>
      </c>
      <c r="E38" s="10">
        <f t="shared" si="2"/>
        <v>12.74</v>
      </c>
      <c r="F38" s="10" t="s">
        <v>27</v>
      </c>
      <c r="G38" s="10">
        <f>12.61+12.57+12.61+12.64+12.73+13.08+6.35+12.54+12.61+6.39+0+0+0+0+0+0+0+10.33+12.75+12.74+12.78+12.66+6.31+12.45+12.74</f>
        <v>206.89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16</v>
      </c>
      <c r="D39" s="10">
        <v>12</v>
      </c>
      <c r="E39" s="10">
        <f t="shared" si="2"/>
        <v>28</v>
      </c>
      <c r="F39" s="10" t="s">
        <v>27</v>
      </c>
      <c r="G39" s="10">
        <f>14+32+21+38.65+18+15+0+43+25+27+20+12+64+0+46+0+0+54+28+30+40+18+35.32+0+28</f>
        <v>608.97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6.615+8.667+0+14.8095+0+16.0515+0+0+6.912+12.231+0+0+0+0+0+0+0+0+0+0+10.935+14.0265+0+8.748+0</f>
        <v>98.9955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74</v>
      </c>
      <c r="D42" s="10">
        <v>141</v>
      </c>
      <c r="E42" s="10">
        <f t="shared" si="2"/>
        <v>215</v>
      </c>
      <c r="F42" s="10" t="s">
        <v>27</v>
      </c>
      <c r="G42" s="10">
        <f>523+309+0+1+0+104+0+526+588+571+540+84+0+0+0+0+0+4+0+0+0+0+92+478+215</f>
        <v>4035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513</v>
      </c>
      <c r="D43" s="10">
        <v>513</v>
      </c>
      <c r="E43" s="10">
        <f t="shared" si="2"/>
        <v>1026</v>
      </c>
      <c r="F43" s="10" t="s">
        <v>27</v>
      </c>
      <c r="G43" s="10">
        <f>1033+1032+1024+1026+1022+1020+507+1031+1028+1029+1030+1027+488+0+524+0+0+507+1041+894+1030+1027+1034+1037+1026</f>
        <v>20417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</f>
        <v>0</v>
      </c>
      <c r="H44" s="22"/>
      <c r="I44" s="7">
        <v>285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</f>
        <v>0</v>
      </c>
      <c r="H45" s="22"/>
      <c r="I45" s="7">
        <v>70.3566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5</v>
      </c>
      <c r="D46" s="7">
        <v>6</v>
      </c>
      <c r="E46" s="10">
        <f>D46+C46</f>
        <v>11</v>
      </c>
      <c r="F46" s="10" t="s">
        <v>38</v>
      </c>
      <c r="G46" s="10">
        <f>7+7+5+6+5+6+2+4+5+2+0+0+0+0+0+0+0+3+5+5+5+6+6+11+11</f>
        <v>101</v>
      </c>
      <c r="H46" s="22"/>
      <c r="I46" s="10"/>
      <c r="J46" s="37"/>
      <c r="K46" s="25"/>
      <c r="L46" s="19" t="s">
        <v>70</v>
      </c>
      <c r="M46" s="7">
        <v>58</v>
      </c>
    </row>
    <row r="47" s="1" customFormat="1" ht="80" customHeight="1" spans="1:13">
      <c r="A47" s="7">
        <v>11</v>
      </c>
      <c r="B47" s="34" t="s">
        <v>71</v>
      </c>
      <c r="C47" s="25" t="s">
        <v>72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" sqref="P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186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</v>
      </c>
      <c r="D3" s="9">
        <v>1.5</v>
      </c>
      <c r="E3" s="10">
        <f t="shared" ref="E3:E13" si="0">C3+D3</f>
        <v>7.5</v>
      </c>
      <c r="F3" s="10" t="s">
        <v>14</v>
      </c>
      <c r="G3" s="10">
        <f>12+14+13.5+13+12+11.5+9+14.5+12+11.5+10.5+3+0+0+0+0+0+0+2+7.5+7.5+13+13.5+8.5+11+7.5</f>
        <v>207</v>
      </c>
      <c r="H3" s="10">
        <v>209</v>
      </c>
      <c r="I3" s="10">
        <f>H3-G3</f>
        <v>2</v>
      </c>
      <c r="J3" s="11"/>
      <c r="K3" s="10"/>
      <c r="L3" s="10"/>
      <c r="M3" s="10">
        <f>I3/5</f>
        <v>0.4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0+12+14+14+12+12+12+10+14+12+12+10+2+0+0+0+0+0+0+2+8+8+14+12+10+10</f>
        <v>200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14</v>
      </c>
      <c r="D5" s="10">
        <v>110</v>
      </c>
      <c r="E5" s="10">
        <f t="shared" si="0"/>
        <v>124</v>
      </c>
      <c r="F5" s="10" t="s">
        <v>14</v>
      </c>
      <c r="G5" s="10">
        <f>0+0+0+0+0+0+0+0+0+0+0+0+0+0+0+0+0+0+0+10+181+180+165+151+144+124</f>
        <v>955</v>
      </c>
      <c r="H5" s="10">
        <v>3120</v>
      </c>
      <c r="I5" s="10">
        <f>H5-G5-G7-G6</f>
        <v>290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0+0+0+1+0+0+0+0+0+0+1+0+0+0+0+0+0+0+123+2+1+4+2+1+0+0</f>
        <v>135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1</v>
      </c>
      <c r="D8" s="10">
        <v>0</v>
      </c>
      <c r="E8" s="10">
        <f t="shared" si="0"/>
        <v>1</v>
      </c>
      <c r="F8" s="10" t="s">
        <v>14</v>
      </c>
      <c r="G8" s="10">
        <f>0+0+0+0+0+0+0+0+0+2+0+0+0+0+0+0+0+0+3+0+0+0+0+0+0+1</f>
        <v>6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0+61.31+0+62.15+30.98+30.86+61.55+62.25+31.21+0+31.19+0+0+0+0+0+0+0+0+62.45+30.73+29.54+0+0+0+0</f>
        <v>494.22</v>
      </c>
      <c r="H10" s="13">
        <v>3.86</v>
      </c>
      <c r="I10" s="13">
        <f>H10-K11</f>
        <v>-0.582209</v>
      </c>
      <c r="J10" s="19" t="s">
        <v>22</v>
      </c>
      <c r="K10" s="10">
        <v>30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8.7345</v>
      </c>
      <c r="D11" s="10">
        <v>1.4175</v>
      </c>
      <c r="E11" s="10">
        <f t="shared" si="0"/>
        <v>10.152</v>
      </c>
      <c r="F11" s="10" t="s">
        <v>14</v>
      </c>
      <c r="G11" s="10">
        <f>10.5435+9.18+7.884+7.479+10.0305+5.373+10.6515+9.3555+6.588+9.72+5.8995+2.9835+0+0+0+0+0+2.916+2.862+5.859+4.1985+5.7645+8.883+5.9535+5.319+10.152</f>
        <v>147.5955</v>
      </c>
      <c r="H11" s="10"/>
      <c r="I11" s="10">
        <f>G11/(G3*0.1865)</f>
        <v>3.82317286397016</v>
      </c>
      <c r="J11" s="19" t="s">
        <v>24</v>
      </c>
      <c r="K11" s="20">
        <f>0+0.55179+0+0.565565+0.275722+0.274654+0.55395+0.56025+0.28089+0+0.274472+0+0+0+0+0+0+0+0+0.57454+0.270424+0.259952+0+0+0+0</f>
        <v>4.442209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11.868</v>
      </c>
      <c r="D12" s="10">
        <v>0</v>
      </c>
      <c r="E12" s="10">
        <f t="shared" si="0"/>
        <v>11.868</v>
      </c>
      <c r="F12" s="10" t="s">
        <v>14</v>
      </c>
      <c r="G12" s="10">
        <f>18.4368+10.1016+12.6224+15.64+16.744+13.8+11.0584+13.0824+16.5784+12.8432+13.9288+0+0+0+0+0+0+9.5128+5.6304+6.9552+5.8512+11.3344+15.456+11.2792+10.8192+11.868</f>
        <v>243.5424</v>
      </c>
      <c r="H12" s="10"/>
      <c r="I12" s="10">
        <f>G12/(G3*0.1865)</f>
        <v>6.30848972296693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154</v>
      </c>
      <c r="D13" s="10">
        <v>120</v>
      </c>
      <c r="E13" s="10">
        <f t="shared" si="0"/>
        <v>274</v>
      </c>
      <c r="F13" s="10" t="s">
        <v>27</v>
      </c>
      <c r="G13" s="10">
        <f>471+414+426+428+458+373+332+426+365+369+427+3+0+0+0+0+0+8+167+203+310+417+451+296+358+274</f>
        <v>6976</v>
      </c>
      <c r="H13" s="10">
        <f>G13*1.05</f>
        <v>7324.8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185</v>
      </c>
      <c r="D14" s="10">
        <v>88</v>
      </c>
      <c r="E14" s="10">
        <f t="shared" ref="E14:E24" si="1">D14+C14</f>
        <v>273</v>
      </c>
      <c r="F14" s="10" t="s">
        <v>27</v>
      </c>
      <c r="G14" s="10">
        <f>379+378+345+427+407+373+282+415+373+339+364+34+0+0+0+0+0+0+142+240+272+375+416+221+347+273</f>
        <v>6402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442.71</v>
      </c>
      <c r="D15" s="10">
        <v>395.83</v>
      </c>
      <c r="E15" s="10">
        <f t="shared" si="1"/>
        <v>838.54</v>
      </c>
      <c r="F15" s="10" t="s">
        <v>27</v>
      </c>
      <c r="G15" s="10">
        <f>759.56+799.43+811.69+866.88+886.17+680.76+886.98+870.58+848.77+897.24+520.02+110.3+0+0+0+0+0+260.46+713.93+266.32+835.78+857.22+880.71+897.42+797.79+838.54</f>
        <v>15286.55</v>
      </c>
      <c r="H15" s="10"/>
      <c r="I15" s="10"/>
      <c r="J15" s="19" t="s">
        <v>30</v>
      </c>
      <c r="K15" s="10">
        <v>2.68</v>
      </c>
      <c r="L15" s="10">
        <v>3.05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3</v>
      </c>
      <c r="E16" s="10">
        <f t="shared" si="1"/>
        <v>21</v>
      </c>
      <c r="F16" s="10" t="s">
        <v>14</v>
      </c>
      <c r="G16" s="10">
        <f>33+30+27+30+33+24+24+33+24+27+24+0+0+0+0+0+0+0+15+18+21+30+30+18+24+21</f>
        <v>486</v>
      </c>
      <c r="H16" s="10"/>
      <c r="I16" s="10">
        <f>G16/(G3*0.1865)</f>
        <v>12.5888798228232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2.2656512+2.7043886+2.7187124+2.838152+2.9641425+2.2756185+2.6876578+2.6498176+2.5338794+2.6521892+1.6536636+0.350754+0+0+0+0+0+0.7304704+2.0702614+0.6285152+1.7018006+2.1160766+2.2281963+2.0913406+1.8825954+2.3937443</f>
        <v>44.1376276</v>
      </c>
      <c r="L16" s="10"/>
      <c r="M16" s="10">
        <f>(C15*K15+L15*D15)/1000</f>
        <v>2.3937443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0.0875+0.075+0.0875+0+0.1125+0.0375+0+0+0.025+0.075+0+0+0+0+0+0+0+0+0+0+0+0+0+0.075+0+0</f>
        <v>0.575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0+2+0+2+0+2+0+0+2+2+0+2+0+0+0+0+0+0+0+2+0+2+0+2+0+2</f>
        <v>20</v>
      </c>
      <c r="H19" s="22"/>
      <c r="I19" s="10">
        <f>G19/(G3*0.1865)</f>
        <v>0.518060898058567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0+2+0+2+0+2+0+0+2+2+0+2+0+0+0+0+0+0+0+2+0+2+0+2+0+2</f>
        <v>20</v>
      </c>
      <c r="H20" s="22"/>
      <c r="I20" s="10">
        <f>G20/(G3*0.1865)</f>
        <v>0.518060898058567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7</v>
      </c>
      <c r="D21" s="7">
        <v>2</v>
      </c>
      <c r="E21" s="10">
        <f t="shared" si="1"/>
        <v>9</v>
      </c>
      <c r="F21" s="10" t="s">
        <v>38</v>
      </c>
      <c r="G21" s="10">
        <f>6+6+7+5+2+7+3+4+13+7+3+3+7+0+0+0+0+3+0+1+2+8+2+12+2+9</f>
        <v>112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240</v>
      </c>
      <c r="D22" s="7">
        <v>614</v>
      </c>
      <c r="E22" s="10">
        <f t="shared" si="1"/>
        <v>854</v>
      </c>
      <c r="F22" s="10" t="s">
        <v>27</v>
      </c>
      <c r="G22" s="10">
        <f>1188+1059+1106+1089+1115+739+1190+1160+1118+1090+637+2+0+0+0+0+0+375+1236+504+1331+1272+1244+1170+1124+854</f>
        <v>20603</v>
      </c>
      <c r="H22" s="23"/>
      <c r="I22" s="10">
        <f>E22/M22</f>
        <v>53.375</v>
      </c>
      <c r="J22" s="19" t="s">
        <v>40</v>
      </c>
      <c r="K22" s="10">
        <f>24+24+24+24+24+10.5+24+24+24+24+13+0+0+0+0+0+0+5+24+7.5+24+24+24+24+24+16</f>
        <v>412</v>
      </c>
      <c r="L22" s="10">
        <f>G22/K22</f>
        <v>50.0072815533981</v>
      </c>
      <c r="M22" s="10">
        <v>16</v>
      </c>
    </row>
    <row r="23" s="1" customFormat="1" ht="25" customHeight="1" spans="1:13">
      <c r="A23" s="12">
        <v>18</v>
      </c>
      <c r="B23" s="8" t="s">
        <v>41</v>
      </c>
      <c r="C23" s="7">
        <v>357</v>
      </c>
      <c r="D23" s="7">
        <v>685</v>
      </c>
      <c r="E23" s="10">
        <f t="shared" si="1"/>
        <v>1042</v>
      </c>
      <c r="F23" s="10" t="s">
        <v>27</v>
      </c>
      <c r="G23" s="10">
        <f>1569+1358+1338+1398+1471+952+1468+1460+1309+1386+760+0+0+0+0+0+0+480+1313+548+1591+1525+1527+1288+1303+1042</f>
        <v>25086</v>
      </c>
      <c r="H23" s="22"/>
      <c r="I23" s="10">
        <f>E23/M22</f>
        <v>65.125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143</v>
      </c>
      <c r="D24" s="7">
        <v>88</v>
      </c>
      <c r="E24" s="10">
        <f t="shared" si="1"/>
        <v>231</v>
      </c>
      <c r="F24" s="10" t="s">
        <v>27</v>
      </c>
      <c r="G24" s="10">
        <f>0+462+214+388+399+231</f>
        <v>1694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0</v>
      </c>
      <c r="D25" s="7">
        <v>0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183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187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183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188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189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190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8.7</v>
      </c>
      <c r="D38" s="10">
        <v>6.3</v>
      </c>
      <c r="E38" s="10">
        <f t="shared" si="2"/>
        <v>15</v>
      </c>
      <c r="F38" s="10" t="s">
        <v>27</v>
      </c>
      <c r="G38" s="10">
        <f>12.61+12.57+12.61+12.64+12.73+13.08+6.35+12.54+12.61+6.39+0+0+0+0+0+0+0+10.33+12.75+12.74+12.78+12.66+6.31+12.45+12.74+15</f>
        <v>221.89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19</v>
      </c>
      <c r="D39" s="10">
        <v>0</v>
      </c>
      <c r="E39" s="10">
        <f t="shared" si="2"/>
        <v>19</v>
      </c>
      <c r="F39" s="10" t="s">
        <v>27</v>
      </c>
      <c r="G39" s="10">
        <f>14+32+21+38.65+18+15+0+43+25+27+20+12+64+0+46+0+0+54+28+30+40+18+35.32+0+28+19</f>
        <v>627.97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6.615+8.667+0+14.8095+0+16.0515+0+0+6.912+12.231+0+0+0+0+0+0+0+0+0+0+10.935+14.0265+0+8.748+0+0</f>
        <v>98.9955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240</v>
      </c>
      <c r="D42" s="10">
        <v>98</v>
      </c>
      <c r="E42" s="10">
        <f t="shared" si="2"/>
        <v>338</v>
      </c>
      <c r="F42" s="10" t="s">
        <v>27</v>
      </c>
      <c r="G42" s="10">
        <f>523+309+0+1+0+104+0+526+588+571+540+84+0+0+0+0+0+4+0+0+0+0+92+478+215+338</f>
        <v>4373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510</v>
      </c>
      <c r="D43" s="10">
        <v>503</v>
      </c>
      <c r="E43" s="10">
        <f t="shared" si="2"/>
        <v>1013</v>
      </c>
      <c r="F43" s="10" t="s">
        <v>27</v>
      </c>
      <c r="G43" s="10">
        <f>1033+1032+1024+1026+1022+1020+507+1031+1028+1029+1030+1027+488+0+524+0+0+507+1041+894+1030+1027+1034+1037+1026+1013</f>
        <v>21430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</f>
        <v>0</v>
      </c>
      <c r="H44" s="22"/>
      <c r="I44" s="7">
        <v>292.5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</f>
        <v>0</v>
      </c>
      <c r="H45" s="22"/>
      <c r="I45" s="7">
        <v>68.6194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5</v>
      </c>
      <c r="D46" s="7">
        <v>6</v>
      </c>
      <c r="E46" s="10">
        <f>D46+C46</f>
        <v>11</v>
      </c>
      <c r="F46" s="10" t="s">
        <v>38</v>
      </c>
      <c r="G46" s="10">
        <f>7+7+5+6+5+6+2+4+5+2+0+0+0+0+0+0+0+3+5+5+5+6+6+11+11+11</f>
        <v>112</v>
      </c>
      <c r="H46" s="22"/>
      <c r="I46" s="10"/>
      <c r="J46" s="37"/>
      <c r="K46" s="25"/>
      <c r="L46" s="19" t="s">
        <v>70</v>
      </c>
      <c r="M46" s="7">
        <v>50</v>
      </c>
    </row>
    <row r="47" s="1" customFormat="1" ht="80" customHeight="1" spans="1:13">
      <c r="A47" s="7">
        <v>11</v>
      </c>
      <c r="B47" s="34" t="s">
        <v>71</v>
      </c>
      <c r="C47" s="25" t="s">
        <v>72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191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</v>
      </c>
      <c r="D3" s="9">
        <v>4</v>
      </c>
      <c r="E3" s="10">
        <f t="shared" ref="E3:E13" si="0">C3+D3</f>
        <v>9</v>
      </c>
      <c r="F3" s="10" t="s">
        <v>14</v>
      </c>
      <c r="G3" s="10">
        <f>12+14+13.5+13+12+11.5+9+14.5+12+11.5+10.5+3+0+0+0+0+0+0+2+7.5+7.5+13+13.5+8.5+11+7.5+9</f>
        <v>216</v>
      </c>
      <c r="H3" s="10">
        <v>209</v>
      </c>
      <c r="I3" s="10">
        <f>H3-G3</f>
        <v>-7</v>
      </c>
      <c r="J3" s="11"/>
      <c r="K3" s="10"/>
      <c r="L3" s="10"/>
      <c r="M3" s="10"/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0+12+14+14+12+12+12+10+14+12+12+10+2+0+0+0+0+0+0+2+8+8+14+12+10+10+8</f>
        <v>208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27</v>
      </c>
      <c r="D5" s="10">
        <v>0</v>
      </c>
      <c r="E5" s="10">
        <f t="shared" si="0"/>
        <v>27</v>
      </c>
      <c r="F5" s="10" t="s">
        <v>14</v>
      </c>
      <c r="G5" s="10">
        <f>0+0+0+0+0+0+0+0+0+0+0+0+0+0+0+0+0+0+0+10+181+180+165+151+144+124+27</f>
        <v>982</v>
      </c>
      <c r="H5" s="10">
        <v>3120</v>
      </c>
      <c r="I5" s="10">
        <f>H5-G5-G7-G6</f>
        <v>263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0+0+0+1+0+0+0+0+0+0+1+0+0+0+0+0+0+0+123+2+1+4+2+1+0+0+0</f>
        <v>135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0+0+0+0+0+0+0+0+0+2+0+0+0+0+0+0+0+0+3+0+0+0+0+0+0+1+0</f>
        <v>6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31.22</v>
      </c>
      <c r="D10" s="13"/>
      <c r="E10" s="10">
        <f t="shared" si="0"/>
        <v>31.22</v>
      </c>
      <c r="F10" s="13" t="s">
        <v>14</v>
      </c>
      <c r="G10" s="10">
        <f>0+61.31+0+62.15+30.98+30.86+61.55+62.25+31.21+0+31.19+0+0+0+0+0+0+0+0+62.45+30.73+29.54+0+0+0+0+31.22</f>
        <v>525.44</v>
      </c>
      <c r="H10" s="13">
        <v>3.86</v>
      </c>
      <c r="I10" s="13">
        <f>H10-K11</f>
        <v>-0.850701</v>
      </c>
      <c r="J10" s="19" t="s">
        <v>22</v>
      </c>
      <c r="K10" s="10">
        <v>90</v>
      </c>
      <c r="L10" s="10">
        <v>0.86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5.67</v>
      </c>
      <c r="D11" s="10">
        <v>0</v>
      </c>
      <c r="E11" s="10">
        <f t="shared" si="0"/>
        <v>5.67</v>
      </c>
      <c r="F11" s="10" t="s">
        <v>14</v>
      </c>
      <c r="G11" s="10">
        <f>10.5435+9.18+7.884+7.479+10.0305+5.373+10.6515+9.3555+6.588+9.72+5.8995+2.9835+0+0+0+0+0+2.916+2.862+5.859+4.1985+5.7645+8.883+5.9535+5.319+10.152+5.67</f>
        <v>153.2655</v>
      </c>
      <c r="H11" s="10"/>
      <c r="I11" s="10">
        <f>G11/(G3*0.1865)</f>
        <v>3.80462466487935</v>
      </c>
      <c r="J11" s="19" t="s">
        <v>24</v>
      </c>
      <c r="K11" s="20">
        <f>0+0.55179+0+0.565565+0.275722+0.274654+0.55395+0.56025+0.28089+0+0.274472+0+0+0+0+0+0+0+0+0.57454+0.270424+0.259952+0+0+0+0+0.268492</f>
        <v>4.710701</v>
      </c>
      <c r="L11" s="10"/>
      <c r="M11" s="10">
        <f>C10*L10/100</f>
        <v>0.268492</v>
      </c>
    </row>
    <row r="12" s="1" customFormat="1" ht="25" customHeight="1" spans="1:13">
      <c r="A12" s="12">
        <v>7</v>
      </c>
      <c r="B12" s="8" t="s">
        <v>25</v>
      </c>
      <c r="C12" s="10">
        <v>11.0032</v>
      </c>
      <c r="D12" s="10">
        <v>0</v>
      </c>
      <c r="E12" s="10">
        <f t="shared" si="0"/>
        <v>11.0032</v>
      </c>
      <c r="F12" s="10" t="s">
        <v>14</v>
      </c>
      <c r="G12" s="10">
        <f>18.4368+10.1016+12.6224+15.64+16.744+13.8+11.0584+13.0824+16.5784+12.8432+13.9288+0+0+0+0+0+0+9.5128+5.6304+6.9552+5.8512+11.3344+15.456+11.2792+10.8192+11.868+11.0032</f>
        <v>254.5456</v>
      </c>
      <c r="H12" s="10"/>
      <c r="I12" s="10">
        <f>G12/(G3*0.1865)</f>
        <v>6.31877668553272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259</v>
      </c>
      <c r="D13" s="10">
        <v>8</v>
      </c>
      <c r="E13" s="10">
        <f t="shared" si="0"/>
        <v>267</v>
      </c>
      <c r="F13" s="10" t="s">
        <v>27</v>
      </c>
      <c r="G13" s="10">
        <f>471+414+426+428+458+373+332+426+365+369+427+3+0+0+0+0+0+8+167+203+310+417+451+296+358+274+267</f>
        <v>7243</v>
      </c>
      <c r="H13" s="10">
        <f>G13*1.05</f>
        <v>7605.15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150</v>
      </c>
      <c r="D14" s="10">
        <v>97</v>
      </c>
      <c r="E14" s="10">
        <f t="shared" ref="E14:E24" si="1">D14+C14</f>
        <v>247</v>
      </c>
      <c r="F14" s="10" t="s">
        <v>27</v>
      </c>
      <c r="G14" s="10">
        <f>379+378+345+427+407+373+282+415+373+339+364+34+0+0+0+0+0+0+142+240+272+375+416+221+347+273+247</f>
        <v>6649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170.2</v>
      </c>
      <c r="D15" s="10">
        <v>124.8</v>
      </c>
      <c r="E15" s="10">
        <f t="shared" si="1"/>
        <v>295</v>
      </c>
      <c r="F15" s="10" t="s">
        <v>27</v>
      </c>
      <c r="G15" s="10">
        <f>759.56+799.43+811.69+866.88+886.17+680.76+886.98+870.58+848.77+897.24+520.02+110.3+0+0+0+0+0+260.46+713.93+266.32+835.78+857.22+880.71+897.42+797.79+838.54+295</f>
        <v>15581.55</v>
      </c>
      <c r="H15" s="10"/>
      <c r="I15" s="10"/>
      <c r="J15" s="19" t="s">
        <v>30</v>
      </c>
      <c r="K15" s="10">
        <v>2.84</v>
      </c>
      <c r="L15" s="10">
        <v>2.65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9</v>
      </c>
      <c r="E16" s="10">
        <f t="shared" si="1"/>
        <v>21</v>
      </c>
      <c r="F16" s="10" t="s">
        <v>14</v>
      </c>
      <c r="G16" s="10">
        <f>33+30+27+30+33+24+24+33+24+27+24+0+0+0+0+0+0+0+15+18+21+30+30+18+24+21+21</f>
        <v>507</v>
      </c>
      <c r="H16" s="10"/>
      <c r="I16" s="10">
        <f>G16/(G3*0.1865)</f>
        <v>12.5856419422103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2.2656512+2.7043886+2.7187124+2.838152+2.9641425+2.2756185+2.6876578+2.6498176+2.5338794+2.6521892+1.6536636+0.350754+0+0+0+0+0+0.7304704+2.0702614+0.6285152+1.7018006+2.1160766+2.2281963+2.0913406+1.8825954+2.3937443+0.814088</f>
        <v>44.9517156</v>
      </c>
      <c r="L16" s="10"/>
      <c r="M16" s="10">
        <f>(C15*K15+L15*D15)/1000</f>
        <v>0.814088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0.0875+0.075+0.0875+0+0.1125+0.0375+0+0+0.025+0.075+0+0+0+0+0+0+0+0+0+0+0+0+0+0.075+0+0+0</f>
        <v>0.575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0+2+0+2+0+2+0+0+2+2+0+2+0+0+0+0+0+0+0+2+0+2+0+2+0+2+0</f>
        <v>20</v>
      </c>
      <c r="H19" s="22"/>
      <c r="I19" s="10">
        <f>G19/(G3*0.1865)</f>
        <v>0.496475027306127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0+2+0+2+0+2+0+0+2+2+0+2+0+0+0+0+0+0+0+2+0+2+0+2+0+2+0</f>
        <v>20</v>
      </c>
      <c r="H20" s="22"/>
      <c r="I20" s="10">
        <f>G20/(G3*0.1865)</f>
        <v>0.496475027306127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6+6+7+5+2+7+3+4+13+7+3+3+7+0+0+0+0+3+0+1+2+8+2+12+2+9+0</f>
        <v>112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199</v>
      </c>
      <c r="D22" s="7">
        <v>74</v>
      </c>
      <c r="E22" s="10">
        <f t="shared" si="1"/>
        <v>273</v>
      </c>
      <c r="F22" s="10" t="s">
        <v>27</v>
      </c>
      <c r="G22" s="10">
        <f>1188+1059+1106+1089+1115+739+1190+1160+1118+1090+637+2+0+0+0+0+0+375+1236+504+1331+1272+1244+1170+1124+854+273</f>
        <v>20876</v>
      </c>
      <c r="H22" s="23"/>
      <c r="I22" s="10">
        <f>E22/M22</f>
        <v>91</v>
      </c>
      <c r="J22" s="19" t="s">
        <v>40</v>
      </c>
      <c r="K22" s="10">
        <f>24+24+24+24+24+10.5+24+24+24+24+13+0+0+0+0+0+0+5+24+7.5+24+24+24+24+24+16+3</f>
        <v>415</v>
      </c>
      <c r="L22" s="10">
        <f>G22/K22</f>
        <v>50.3036144578313</v>
      </c>
      <c r="M22" s="10">
        <v>3</v>
      </c>
    </row>
    <row r="23" s="1" customFormat="1" ht="25" customHeight="1" spans="1:13">
      <c r="A23" s="12">
        <v>18</v>
      </c>
      <c r="B23" s="8" t="s">
        <v>41</v>
      </c>
      <c r="C23" s="7">
        <v>404</v>
      </c>
      <c r="D23" s="7">
        <v>16</v>
      </c>
      <c r="E23" s="10">
        <f t="shared" si="1"/>
        <v>420</v>
      </c>
      <c r="F23" s="10" t="s">
        <v>27</v>
      </c>
      <c r="G23" s="10">
        <f>1569+1358+1338+1398+1471+952+1468+1460+1309+1386+760+0+0+0+0+0+0+480+1313+548+1591+1525+1527+1288+1303+1042+420</f>
        <v>25506</v>
      </c>
      <c r="H23" s="22"/>
      <c r="I23" s="10">
        <f>E23/M22</f>
        <v>140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233</v>
      </c>
      <c r="D24" s="7">
        <v>84</v>
      </c>
      <c r="E24" s="10">
        <f t="shared" si="1"/>
        <v>317</v>
      </c>
      <c r="F24" s="10" t="s">
        <v>27</v>
      </c>
      <c r="G24" s="10">
        <f>0+462+214+388+399+231+317</f>
        <v>2011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35.22</v>
      </c>
      <c r="D25" s="7">
        <v>0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187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192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188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193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194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195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6.38</v>
      </c>
      <c r="D38" s="10">
        <v>6.36</v>
      </c>
      <c r="E38" s="10">
        <f t="shared" si="2"/>
        <v>12.74</v>
      </c>
      <c r="F38" s="10" t="s">
        <v>27</v>
      </c>
      <c r="G38" s="10">
        <f>12.61+12.57+12.61+12.64+12.73+13.08+6.35+12.54+12.61+6.39+0+0+0+0+0+0+0+10.33+12.75+12.74+12.78+12.66+6.31+12.45+12.74+15+12.74</f>
        <v>234.63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23</v>
      </c>
      <c r="D39" s="10">
        <v>14</v>
      </c>
      <c r="E39" s="10">
        <f t="shared" si="2"/>
        <v>37</v>
      </c>
      <c r="F39" s="10" t="s">
        <v>27</v>
      </c>
      <c r="G39" s="10">
        <f>14+32+21+38.65+18+15+0+43+25+27+20+12+64+0+46+0+0+54+28+30+40+18+35.32+0+28+19+37</f>
        <v>664.97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6.615+8.667+0+14.8095+0+16.0515+0+0+6.912+12.231+0+0+0+0+0+0+0+0+0+0+10.935+14.0265+0+8.748+0+0+0</f>
        <v>98.9955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237</v>
      </c>
      <c r="D42" s="10">
        <v>128</v>
      </c>
      <c r="E42" s="10">
        <f t="shared" si="2"/>
        <v>365</v>
      </c>
      <c r="F42" s="10" t="s">
        <v>27</v>
      </c>
      <c r="G42" s="10">
        <f>523+309+0+1+0+104+0+526+588+571+540+84+0+0+0+0+0+4+0+0+0+0+92+478+215+338+365</f>
        <v>4738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500</v>
      </c>
      <c r="D43" s="10">
        <v>493</v>
      </c>
      <c r="E43" s="10">
        <f t="shared" si="2"/>
        <v>993</v>
      </c>
      <c r="F43" s="10" t="s">
        <v>27</v>
      </c>
      <c r="G43" s="10">
        <f>1033+1032+1024+1026+1022+1020+507+1031+1028+1029+1030+1027+488+0+524+0+0+507+1041+894+1030+1027+1034+1037+1026+1013+993</f>
        <v>22423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</f>
        <v>0</v>
      </c>
      <c r="H44" s="22"/>
      <c r="I44" s="7">
        <v>45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</f>
        <v>0</v>
      </c>
      <c r="H45" s="22"/>
      <c r="I45" s="7">
        <v>68.6194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5</v>
      </c>
      <c r="D46" s="7">
        <v>5</v>
      </c>
      <c r="E46" s="10">
        <f>D46+C46</f>
        <v>10</v>
      </c>
      <c r="F46" s="10" t="s">
        <v>38</v>
      </c>
      <c r="G46" s="10">
        <f>7+7+5+6+5+6+2+4+5+2+0+0+0+0+0+0+0+3+5+5+5+6+6+11+11+11+10</f>
        <v>122</v>
      </c>
      <c r="H46" s="22"/>
      <c r="I46" s="10"/>
      <c r="J46" s="37"/>
      <c r="K46" s="25"/>
      <c r="L46" s="19" t="s">
        <v>70</v>
      </c>
      <c r="M46" s="7">
        <v>40</v>
      </c>
    </row>
    <row r="47" s="1" customFormat="1" ht="80" customHeight="1" spans="1:13">
      <c r="A47" s="7">
        <v>11</v>
      </c>
      <c r="B47" s="34" t="s">
        <v>71</v>
      </c>
      <c r="C47" s="25" t="s">
        <v>196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197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3</v>
      </c>
      <c r="E3" s="10">
        <f t="shared" ref="E3:E13" si="0">C3+D3</f>
        <v>3</v>
      </c>
      <c r="F3" s="10" t="s">
        <v>14</v>
      </c>
      <c r="G3" s="10">
        <f>12+14+13.5+13+12+11.5+9+14.5+12+11.5+10.5+3+0+0+0+0+0+0+2+7.5+7.5+13+13.5+8.5+11+7.5+9+3</f>
        <v>219</v>
      </c>
      <c r="H3" s="10">
        <v>209</v>
      </c>
      <c r="I3" s="10">
        <f>H3-G3</f>
        <v>-10</v>
      </c>
      <c r="J3" s="11"/>
      <c r="K3" s="10"/>
      <c r="L3" s="10"/>
      <c r="M3" s="10"/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0+12+14+14+12+12+12+10+14+12+12+10+2+0+0+0+0+0+0+2+8+8+14+12+10+10+8+8</f>
        <v>216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83</v>
      </c>
      <c r="E5" s="10">
        <f t="shared" si="0"/>
        <v>83</v>
      </c>
      <c r="F5" s="10" t="s">
        <v>14</v>
      </c>
      <c r="G5" s="10">
        <f>0+0+0+0+0+0+0+0+0+0+0+0+0+0+0+0+0+0+0+10+181+180+165+151+144+124+27+83</f>
        <v>1065</v>
      </c>
      <c r="H5" s="10">
        <v>3120</v>
      </c>
      <c r="I5" s="10">
        <f>H5-G5-G7-G6</f>
        <v>107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72</v>
      </c>
      <c r="D7" s="10">
        <v>1</v>
      </c>
      <c r="E7" s="10">
        <f t="shared" si="0"/>
        <v>73</v>
      </c>
      <c r="F7" s="10" t="s">
        <v>14</v>
      </c>
      <c r="G7" s="10">
        <f>0+0+0+1+0+0+0+0+0+0+1+0+0+0+0+0+0+0+123+2+1+4+2+1+0+0+0+73</f>
        <v>208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0+0+0+0+0+0+0+0+0+2+0+0+0+0+0+0+0+0+3+0+0+0+0+0+0+1+0+0</f>
        <v>6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0+61.31+0+62.15+30.98+30.86+61.55+62.25+31.21+0+31.19+0+0+0+0+0+0+0+0+62.45+30.73+29.54+0+0+0+0+31.22+0</f>
        <v>525.44</v>
      </c>
      <c r="H10" s="13">
        <v>3.86</v>
      </c>
      <c r="I10" s="13">
        <f>H10-K11</f>
        <v>-0.850701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4.428</v>
      </c>
      <c r="D11" s="10">
        <v>0</v>
      </c>
      <c r="E11" s="10">
        <f t="shared" si="0"/>
        <v>4.428</v>
      </c>
      <c r="F11" s="10" t="s">
        <v>14</v>
      </c>
      <c r="G11" s="10">
        <f>10.5435+9.18+7.884+7.479+10.0305+5.373+10.6515+9.3555+6.588+9.72+5.8995+2.9835+0+0+0+0+0+2.916+2.862+5.859+4.1985+5.7645+8.883+5.9535+5.319+10.152+5.67+4.428</f>
        <v>157.6935</v>
      </c>
      <c r="H11" s="10"/>
      <c r="I11" s="10">
        <f>G11/(G3*0.1865)</f>
        <v>3.86092034228212</v>
      </c>
      <c r="J11" s="19" t="s">
        <v>24</v>
      </c>
      <c r="K11" s="20">
        <f>0+0.55179+0+0.565565+0.275722+0.274654+0.55395+0.56025+0.28089+0+0.274472+0+0+0+0+0+0+0+0+0.57454+0.270424+0.259952+0+0+0+0+0.268492+0</f>
        <v>4.710701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7.8752</v>
      </c>
      <c r="D12" s="10">
        <v>0</v>
      </c>
      <c r="E12" s="10">
        <f t="shared" si="0"/>
        <v>7.8752</v>
      </c>
      <c r="F12" s="10" t="s">
        <v>14</v>
      </c>
      <c r="G12" s="10">
        <f>18.4368+10.1016+12.6224+15.64+16.744+13.8+11.0584+13.0824+16.5784+12.8432+13.9288+0+0+0+0+0+0+9.5128+5.6304+6.9552+5.8512+11.3344+15.456+11.2792+10.8192+11.868+11.0032+7.8752</f>
        <v>262.4208</v>
      </c>
      <c r="H12" s="10"/>
      <c r="I12" s="10">
        <f>G12/(G3*0.1865)</f>
        <v>6.42503213485622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15</v>
      </c>
      <c r="D13" s="10">
        <v>296</v>
      </c>
      <c r="E13" s="10">
        <f t="shared" si="0"/>
        <v>311</v>
      </c>
      <c r="F13" s="10" t="s">
        <v>27</v>
      </c>
      <c r="G13" s="10">
        <f>471+414+426+428+458+373+332+426+365+369+427+3+0+0+0+0+0+8+167+203+310+417+451+296+358+274+267+311</f>
        <v>7554</v>
      </c>
      <c r="H13" s="10">
        <f>G13*1.05</f>
        <v>7931.7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180</v>
      </c>
      <c r="E14" s="10">
        <f t="shared" ref="E14:E24" si="1">D14+C14</f>
        <v>180</v>
      </c>
      <c r="F14" s="10" t="s">
        <v>27</v>
      </c>
      <c r="G14" s="10">
        <f>379+378+345+427+407+373+282+415+373+339+364+34+0+0+0+0+0+0+142+240+272+375+416+221+347+273+247+180</f>
        <v>6829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350.93</v>
      </c>
      <c r="D15" s="10">
        <v>473.77</v>
      </c>
      <c r="E15" s="10">
        <f t="shared" si="1"/>
        <v>824.7</v>
      </c>
      <c r="F15" s="10" t="s">
        <v>27</v>
      </c>
      <c r="G15" s="10">
        <f>759.56+799.43+811.69+866.88+886.17+680.76+886.98+870.58+848.77+897.24+520.02+110.3+0+0+0+0+0+260.46+713.93+266.32+835.78+857.22+880.71+897.42+797.79+838.54+295+824.7</f>
        <v>16406.25</v>
      </c>
      <c r="H15" s="10"/>
      <c r="I15" s="10"/>
      <c r="J15" s="19" t="s">
        <v>30</v>
      </c>
      <c r="K15" s="10">
        <v>2.48</v>
      </c>
      <c r="L15" s="10">
        <v>2.6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9</v>
      </c>
      <c r="E16" s="10">
        <f t="shared" si="1"/>
        <v>9</v>
      </c>
      <c r="F16" s="10" t="s">
        <v>14</v>
      </c>
      <c r="G16" s="10">
        <f>33+30+27+30+33+24+24+33+24+27+24+0+0+0+0+0+0+0+15+18+21+30+30+18+24+21+21+9</f>
        <v>516</v>
      </c>
      <c r="H16" s="10"/>
      <c r="I16" s="10">
        <f>G16/(G3*0.1865)</f>
        <v>12.6335891879981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2.2656512+2.7043886+2.7187124+2.838152+2.9641425+2.2756185+2.6876578+2.6498176+2.5338794+2.6521892+1.6536636+0.350754+0+0+0+0+0+0.7304704+2.0702614+0.6285152+1.7018006+2.1160766+2.2281963+2.0913406+1.8825954+2.3937443+0.814088+2.1021084</f>
        <v>47.053824</v>
      </c>
      <c r="L16" s="10"/>
      <c r="M16" s="10">
        <f>(C15*K15+L15*D15)/1000</f>
        <v>2.1021084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0.0875+0.075+0.0875+0+0.1125+0.0375+0+0+0.025+0.075+0+0+0+0+0+0+0+0+0+0+0+0+0+0.075+0+0+0+0</f>
        <v>0.575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0+2+0+2+0+2+0+0+2+2+0+2+0+0+0+0+0+0+0+2+0+2+0+2+0+2+0+0</f>
        <v>20</v>
      </c>
      <c r="H19" s="22"/>
      <c r="I19" s="10">
        <f>G19/(G3*0.1865)</f>
        <v>0.48967399953481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0+2+0+2+0+2+0+0+2+2+0+2+0+0+0+0+0+0+0+2+0+2+0+2+0+2+0+0</f>
        <v>20</v>
      </c>
      <c r="H20" s="22"/>
      <c r="I20" s="10">
        <f>G20/(G3*0.1865)</f>
        <v>0.48967399953481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1</v>
      </c>
      <c r="D21" s="7">
        <v>7</v>
      </c>
      <c r="E21" s="10">
        <f t="shared" si="1"/>
        <v>8</v>
      </c>
      <c r="F21" s="10" t="s">
        <v>38</v>
      </c>
      <c r="G21" s="10">
        <f>6+6+7+5+2+7+3+4+13+7+3+3+7+0+0+0+0+3+0+1+2+8+2+12+2+9+0+8</f>
        <v>120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619</v>
      </c>
      <c r="D22" s="7">
        <v>552</v>
      </c>
      <c r="E22" s="10">
        <f t="shared" si="1"/>
        <v>1171</v>
      </c>
      <c r="F22" s="10" t="s">
        <v>27</v>
      </c>
      <c r="G22" s="10">
        <f>1188+1059+1106+1089+1115+739+1190+1160+1118+1090+637+2+0+0+0+0+0+375+1236+504+1331+1272+1244+1170+1124+854+273+1171</f>
        <v>22047</v>
      </c>
      <c r="H22" s="23"/>
      <c r="I22" s="10">
        <f>E22/M22</f>
        <v>55.7619047619048</v>
      </c>
      <c r="J22" s="19" t="s">
        <v>40</v>
      </c>
      <c r="K22" s="10">
        <f>24+24+24+24+24+10.5+24+24+24+24+13+0+0+0+0+0+0+5+24+7.5+24+24+24+24+24+16+3+21</f>
        <v>436</v>
      </c>
      <c r="L22" s="10">
        <f>G22/K22</f>
        <v>50.5665137614679</v>
      </c>
      <c r="M22" s="10">
        <v>21</v>
      </c>
    </row>
    <row r="23" s="1" customFormat="1" ht="25" customHeight="1" spans="1:13">
      <c r="A23" s="12">
        <v>18</v>
      </c>
      <c r="B23" s="8" t="s">
        <v>41</v>
      </c>
      <c r="C23" s="7">
        <v>598</v>
      </c>
      <c r="D23" s="7">
        <v>696</v>
      </c>
      <c r="E23" s="10">
        <f t="shared" si="1"/>
        <v>1294</v>
      </c>
      <c r="F23" s="10" t="s">
        <v>27</v>
      </c>
      <c r="G23" s="10">
        <f>1569+1358+1338+1398+1471+952+1468+1460+1309+1386+760+0+0+0+0+0+0+480+1313+548+1591+1525+1527+1288+1303+1042+420+1294</f>
        <v>26800</v>
      </c>
      <c r="H23" s="22"/>
      <c r="I23" s="10">
        <f>E23/M22</f>
        <v>61.6190476190476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190</v>
      </c>
      <c r="D24" s="7">
        <v>133</v>
      </c>
      <c r="E24" s="10">
        <f t="shared" si="1"/>
        <v>323</v>
      </c>
      <c r="F24" s="10" t="s">
        <v>27</v>
      </c>
      <c r="G24" s="10">
        <f>0+462+214+388+399+231+317+323</f>
        <v>2334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0</v>
      </c>
      <c r="D25" s="7">
        <v>32.73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192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198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193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199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200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201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6.34</v>
      </c>
      <c r="D38" s="10">
        <v>6.35</v>
      </c>
      <c r="E38" s="10">
        <f t="shared" si="2"/>
        <v>12.69</v>
      </c>
      <c r="F38" s="10" t="s">
        <v>27</v>
      </c>
      <c r="G38" s="10">
        <f>12.61+12.57+12.61+12.64+12.73+13.08+6.35+12.54+12.61+6.39+0+0+0+0+0+0+0+10.33+12.75+12.74+12.78+12.66+6.31+12.45+12.74+15+12.74+12.69</f>
        <v>247.32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5</v>
      </c>
      <c r="D39" s="10">
        <v>10</v>
      </c>
      <c r="E39" s="10">
        <f t="shared" si="2"/>
        <v>15</v>
      </c>
      <c r="F39" s="10" t="s">
        <v>27</v>
      </c>
      <c r="G39" s="10">
        <f>14+32+21+38.65+18+15+0+43+25+27+20+12+64+0+46+0+0+54+28+30+40+18+35.32+0+28+19+37+15</f>
        <v>679.97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13.8375</v>
      </c>
      <c r="D40" s="10">
        <v>0</v>
      </c>
      <c r="E40" s="10">
        <f t="shared" si="2"/>
        <v>13.8375</v>
      </c>
      <c r="F40" s="10" t="s">
        <v>14</v>
      </c>
      <c r="G40" s="10">
        <f>6.615+8.667+0+14.8095+0+16.0515+0+0+6.912+12.231+0+0+0+0+0+0+0+0+0+0+10.935+14.0265+0+8.748+0+0+0+13.8375</f>
        <v>112.833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214</v>
      </c>
      <c r="D42" s="10">
        <v>55</v>
      </c>
      <c r="E42" s="10">
        <f t="shared" si="2"/>
        <v>269</v>
      </c>
      <c r="F42" s="10" t="s">
        <v>27</v>
      </c>
      <c r="G42" s="10">
        <f>523+309+0+1+0+104+0+526+588+571+540+84+0+0+0+0+0+4+0+0+0+0+92+478+215+338+365+269</f>
        <v>5007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491</v>
      </c>
      <c r="D43" s="10">
        <v>493</v>
      </c>
      <c r="E43" s="10">
        <f t="shared" si="2"/>
        <v>984</v>
      </c>
      <c r="F43" s="10" t="s">
        <v>27</v>
      </c>
      <c r="G43" s="10">
        <f>1033+1032+1024+1026+1022+1020+507+1031+1028+1029+1030+1027+488+0+524+0+0+507+1041+894+1030+1027+1034+1037+1026+1013+993+984</f>
        <v>23407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0+0+0+0+0+0+0+0+0+0+0+0+0+0+0+0+0+0+0+0+0+0+0+0+0+0+0+0</f>
        <v>0</v>
      </c>
      <c r="H44" s="22"/>
      <c r="I44" s="7">
        <v>502.5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0+0+0+0+0+0+0+0+0+0+0+0+0+0+0+0+0+0+0+0+0+0+0+0+0+0+0+0</f>
        <v>0</v>
      </c>
      <c r="H45" s="22"/>
      <c r="I45" s="7">
        <v>70.3566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5</v>
      </c>
      <c r="D46" s="7">
        <v>4</v>
      </c>
      <c r="E46" s="10">
        <f>D46+C46</f>
        <v>9</v>
      </c>
      <c r="F46" s="10" t="s">
        <v>38</v>
      </c>
      <c r="G46" s="10">
        <f>7+7+5+6+5+6+2+4+5+2+0+0+0+0+0+0+0+3+5+5+5+6+6+11+11+11+10+9</f>
        <v>131</v>
      </c>
      <c r="H46" s="22"/>
      <c r="I46" s="10"/>
      <c r="J46" s="37"/>
      <c r="K46" s="25"/>
      <c r="L46" s="19" t="s">
        <v>70</v>
      </c>
      <c r="M46" s="7">
        <v>45</v>
      </c>
    </row>
    <row r="47" s="1" customFormat="1" ht="80" customHeight="1" spans="1:13">
      <c r="A47" s="7">
        <v>11</v>
      </c>
      <c r="B47" s="34" t="s">
        <v>71</v>
      </c>
      <c r="C47" s="25" t="s">
        <v>196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202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</v>
      </c>
      <c r="D3" s="9">
        <v>2</v>
      </c>
      <c r="E3" s="10">
        <f t="shared" ref="E3:E13" si="0">C3+D3</f>
        <v>9</v>
      </c>
      <c r="F3" s="10" t="s">
        <v>14</v>
      </c>
      <c r="G3" s="10">
        <f>12+14+13.5+13+12+11.5+9+14.5+12+11.5+10.5+3+0+0+0+0+0+0+2+7.5+7.5+13+13.5+8.5+11+7.5+9+3+9</f>
        <v>228</v>
      </c>
      <c r="H3" s="10">
        <v>209</v>
      </c>
      <c r="I3" s="10">
        <f>H3-G3</f>
        <v>-19</v>
      </c>
      <c r="J3" s="11"/>
      <c r="K3" s="10"/>
      <c r="L3" s="10"/>
      <c r="M3" s="10"/>
    </row>
    <row r="4" s="1" customFormat="1" ht="35" customHeight="1" spans="1:13">
      <c r="A4" s="12">
        <v>2</v>
      </c>
      <c r="B4" s="8" t="s">
        <v>15</v>
      </c>
      <c r="C4" s="9">
        <v>4</v>
      </c>
      <c r="D4" s="9"/>
      <c r="E4" s="10">
        <f t="shared" si="0"/>
        <v>4</v>
      </c>
      <c r="F4" s="10" t="s">
        <v>14</v>
      </c>
      <c r="G4" s="10">
        <f>0+12+14+14+12+12+12+10+14+12+12+10+2+0+0+0+0+0+0+2+8+8+14+12+10+10+8+8+4</f>
        <v>220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74</v>
      </c>
      <c r="E5" s="10">
        <f t="shared" si="0"/>
        <v>74</v>
      </c>
      <c r="F5" s="10" t="s">
        <v>14</v>
      </c>
      <c r="G5" s="10">
        <f>0+0+0+0+0+0+0+0+0+0+0+0+0+0+0+0+0+0+0+10+181+180+165+151+144+124+27+83+74</f>
        <v>1139</v>
      </c>
      <c r="H5" s="10">
        <v>3120</v>
      </c>
      <c r="I5" s="10">
        <f>H5-G5-G7-G6</f>
        <v>33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0+0+0+1+0+0+0+0+0+0+1+0+0+0+0+0+0+0+123+2+1+4+2+1+0+0+0+73+0</f>
        <v>208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0+0+0+0+0+0+0+0+0+2+0+0+0+0+0+0+0+0+3+0+0+0+0+0+0+1+0+0+0</f>
        <v>6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30.43</v>
      </c>
      <c r="D10" s="13"/>
      <c r="E10" s="10">
        <f t="shared" si="0"/>
        <v>30.43</v>
      </c>
      <c r="F10" s="13" t="s">
        <v>14</v>
      </c>
      <c r="G10" s="10">
        <f>0+61.31+0+62.15+30.98+30.86+61.55+62.25+31.21+0+31.19+0+0+0+0+0+0+0+0+62.45+30.73+29.54+0+0+0+0+31.22+0+30.43</f>
        <v>555.87</v>
      </c>
      <c r="H10" s="13">
        <v>3.86</v>
      </c>
      <c r="I10" s="13">
        <f>H10-K11</f>
        <v>-1.124571</v>
      </c>
      <c r="J10" s="19" t="s">
        <v>22</v>
      </c>
      <c r="K10" s="10">
        <v>90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7.0065</v>
      </c>
      <c r="D11" s="10">
        <v>0</v>
      </c>
      <c r="E11" s="10">
        <f t="shared" si="0"/>
        <v>7.0065</v>
      </c>
      <c r="F11" s="10" t="s">
        <v>14</v>
      </c>
      <c r="G11" s="10">
        <f>10.5435+9.18+7.884+7.479+10.0305+5.373+10.6515+9.3555+6.588+9.72+5.8995+2.9835+0+0+0+0+0+2.916+2.862+5.859+4.1985+5.7645+8.883+5.9535+5.319+10.152+5.67+4.428+7.0065</f>
        <v>164.7</v>
      </c>
      <c r="H11" s="10"/>
      <c r="I11" s="10">
        <f>G11/(G3*0.1865)</f>
        <v>3.87328912092564</v>
      </c>
      <c r="J11" s="19" t="s">
        <v>24</v>
      </c>
      <c r="K11" s="20">
        <f>0+0.55179+0+0.565565+0.275722+0.274654+0.55395+0.56025+0.28089+0+0.274472+0+0+0+0+0+0+0+0+0.57454+0.270424+0.259952+0+0+0+0+0.268492+0+0.27387</f>
        <v>4.984571</v>
      </c>
      <c r="L11" s="10"/>
      <c r="M11" s="10">
        <f>C10*L10/100</f>
        <v>0.27387</v>
      </c>
    </row>
    <row r="12" s="1" customFormat="1" ht="25" customHeight="1" spans="1:13">
      <c r="A12" s="12">
        <v>7</v>
      </c>
      <c r="B12" s="8" t="s">
        <v>25</v>
      </c>
      <c r="C12" s="10">
        <v>8.7584</v>
      </c>
      <c r="D12" s="10">
        <v>0</v>
      </c>
      <c r="E12" s="10">
        <f t="shared" si="0"/>
        <v>8.7584</v>
      </c>
      <c r="F12" s="10" t="s">
        <v>14</v>
      </c>
      <c r="G12" s="10">
        <f>18.4368+10.1016+12.6224+15.64+16.744+13.8+11.0584+13.0824+16.5784+12.8432+13.9288+0+0+0+0+0+0+9.5128+5.6304+6.9552+5.8512+11.3344+15.456+11.2792+10.8192+11.868+11.0032+7.8752+8.7584</f>
        <v>271.1792</v>
      </c>
      <c r="H12" s="10"/>
      <c r="I12" s="10">
        <f>G12/(G3*0.1865)</f>
        <v>6.37738582380885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40</v>
      </c>
      <c r="D13" s="10">
        <v>18</v>
      </c>
      <c r="E13" s="10">
        <f t="shared" si="0"/>
        <v>58</v>
      </c>
      <c r="F13" s="10" t="s">
        <v>27</v>
      </c>
      <c r="G13" s="10">
        <f>471+414+426+428+458+373+332+426+365+369+427+3+0+0+0+0+0+8+167+203+310+417+451+296+358+274+267+311+58</f>
        <v>7612</v>
      </c>
      <c r="H13" s="10">
        <f>G13*1.05</f>
        <v>7992.6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149</v>
      </c>
      <c r="D14" s="10">
        <v>3</v>
      </c>
      <c r="E14" s="10">
        <f t="shared" ref="E14:E24" si="1">D14+C14</f>
        <v>152</v>
      </c>
      <c r="F14" s="10" t="s">
        <v>27</v>
      </c>
      <c r="G14" s="10">
        <f>379+378+345+427+407+373+282+415+373+339+364+34+0+0+0+0+0+0+142+240+272+375+416+221+347+273+247+180+152</f>
        <v>6981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383.48</v>
      </c>
      <c r="D15" s="10">
        <v>436.31</v>
      </c>
      <c r="E15" s="10">
        <f t="shared" si="1"/>
        <v>819.79</v>
      </c>
      <c r="F15" s="10" t="s">
        <v>27</v>
      </c>
      <c r="G15" s="10">
        <f>759.56+799.43+811.69+866.88+886.17+680.76+886.98+870.58+848.77+897.24+520.02+110.3+0+0+0+0+0+260.46+713.93+266.32+835.78+857.22+880.71+897.42+797.79+838.54+295+824.7+819.79</f>
        <v>17226.04</v>
      </c>
      <c r="H15" s="10"/>
      <c r="I15" s="10"/>
      <c r="J15" s="19" t="s">
        <v>30</v>
      </c>
      <c r="K15" s="10">
        <v>3.19</v>
      </c>
      <c r="L15" s="10">
        <v>3.74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9</v>
      </c>
      <c r="D16" s="10">
        <v>3</v>
      </c>
      <c r="E16" s="10">
        <f t="shared" si="1"/>
        <v>12</v>
      </c>
      <c r="F16" s="10" t="s">
        <v>14</v>
      </c>
      <c r="G16" s="10">
        <f>33+30+27+30+33+24+24+33+24+27+24+0+0+0+0+0+0+0+15+18+21+30+30+18+24+21+21+9+12</f>
        <v>528</v>
      </c>
      <c r="H16" s="10"/>
      <c r="I16" s="10">
        <f>G16/(G3*0.1865)</f>
        <v>12.4171017355722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2.2656512+2.7043886+2.7187124+2.838152+2.9641425+2.2756185+2.6876578+2.6498176+2.5338794+2.6521892+1.6536636+0.350754+0+0+0+0+0+0.7304704+2.0702614+0.6285152+1.7018006+2.1160766+2.2281963+2.0913406+1.8825954+2.3937443+0.814088+2.1021084+2.8551006</f>
        <v>49.9089246</v>
      </c>
      <c r="L16" s="10"/>
      <c r="M16" s="10">
        <f>(C15*K15+L15*D15)/1000</f>
        <v>2.8551006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0.0875+0.075+0.0875+0+0.1125+0.0375+0+0+0.025+0.075+0+0+0+0+0+0+0+0+0+0+0+0+0+0.075+0+0+0+0+0</f>
        <v>0.575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0+2+0+2+0+2+0+0+2+2+0+2+0+0+0+0+0+0+0+2+0+2+0+2+0+2+0+0+2</f>
        <v>22</v>
      </c>
      <c r="H19" s="22"/>
      <c r="I19" s="10">
        <f>G19/(G3*0.1865)</f>
        <v>0.517379238982174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0+2+0+2+0+2+0+0+2+2+0+2+0+0+0+0+0+0+0+2+0+2+0+2+0+2+0+0+2</f>
        <v>22</v>
      </c>
      <c r="H20" s="22"/>
      <c r="I20" s="10">
        <f>G20/(G3*0.1865)</f>
        <v>0.517379238982174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1</v>
      </c>
      <c r="D21" s="7">
        <v>2</v>
      </c>
      <c r="E21" s="10">
        <f t="shared" si="1"/>
        <v>3</v>
      </c>
      <c r="F21" s="10" t="s">
        <v>38</v>
      </c>
      <c r="G21" s="10">
        <f>6+6+7+5+2+7+3+4+13+7+3+3+7+0+0+0+0+3+0+1+2+8+2+12+2+9+0+8+3</f>
        <v>123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79</v>
      </c>
      <c r="D22" s="7">
        <v>573</v>
      </c>
      <c r="E22" s="10">
        <f t="shared" si="1"/>
        <v>652</v>
      </c>
      <c r="F22" s="10" t="s">
        <v>27</v>
      </c>
      <c r="G22" s="10">
        <f>1188+1059+1106+1089+1115+739+1190+1160+1118+1090+637+2+0+0+0+0+0+375+1236+504+1331+1272+1244+1170+1124+854+273+1171+652</f>
        <v>22699</v>
      </c>
      <c r="H22" s="23"/>
      <c r="I22" s="10">
        <f>E22/M22</f>
        <v>62.0952380952381</v>
      </c>
      <c r="J22" s="19" t="s">
        <v>40</v>
      </c>
      <c r="K22" s="10">
        <f>24+24+24+24+24+10.5+24+24+24+24+13+0+0+0+0+0+0+5+24+7.5+24+24+24+24+24+16+3+21+10.5</f>
        <v>446.5</v>
      </c>
      <c r="L22" s="10">
        <f>G22/K22</f>
        <v>50.8376259798432</v>
      </c>
      <c r="M22" s="10">
        <v>10.5</v>
      </c>
    </row>
    <row r="23" s="1" customFormat="1" ht="25" customHeight="1" spans="1:13">
      <c r="A23" s="12">
        <v>18</v>
      </c>
      <c r="B23" s="8" t="s">
        <v>41</v>
      </c>
      <c r="C23" s="7">
        <v>369</v>
      </c>
      <c r="D23" s="7">
        <v>581</v>
      </c>
      <c r="E23" s="10">
        <f t="shared" si="1"/>
        <v>950</v>
      </c>
      <c r="F23" s="10" t="s">
        <v>27</v>
      </c>
      <c r="G23" s="10">
        <f>1569+1358+1338+1398+1471+952+1468+1460+1309+1386+760+0+0+0+0+0+0+480+1313+548+1591+1525+1527+1288+1303+1042+420+1294+950</f>
        <v>27750</v>
      </c>
      <c r="H23" s="22"/>
      <c r="I23" s="10">
        <f>E23/M22</f>
        <v>90.4761904761905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192</v>
      </c>
      <c r="D24" s="7">
        <v>263</v>
      </c>
      <c r="E24" s="10">
        <f t="shared" si="1"/>
        <v>455</v>
      </c>
      <c r="F24" s="10" t="s">
        <v>27</v>
      </c>
      <c r="G24" s="10">
        <f>0+462+214+388+399+231+317+323+455</f>
        <v>2789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0</v>
      </c>
      <c r="D25" s="7">
        <v>0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198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203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199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204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205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206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6.32</v>
      </c>
      <c r="D38" s="10">
        <v>6.35</v>
      </c>
      <c r="E38" s="10">
        <f t="shared" si="2"/>
        <v>12.67</v>
      </c>
      <c r="F38" s="10" t="s">
        <v>27</v>
      </c>
      <c r="G38" s="10">
        <f>12.61+12.57+12.61+12.64+12.73+13.08+6.35+12.54+12.61+6.39+0+0+0+0+0+0+0+10.33+12.75+12.74+12.78+12.66+6.31+12.45+12.74+15+12.74+12.69+12.67</f>
        <v>259.99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8</v>
      </c>
      <c r="D39" s="10">
        <v>10</v>
      </c>
      <c r="E39" s="10">
        <f t="shared" si="2"/>
        <v>18</v>
      </c>
      <c r="F39" s="10" t="s">
        <v>27</v>
      </c>
      <c r="G39" s="10">
        <f>14+32+21+38.65+18+15+0+43+25+27+20+12+64+0+46+0+0+54+28+30+40+18+35.32+0+28+19+37+15+18</f>
        <v>697.97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6.615+8.667+0+14.8095+0+16.0515+0+0+6.912+12.231+0+0+0+0+0+0+0+0+0+0+10.935+14.0265+0+8.748+0+0+0+13.8375+0</f>
        <v>112.833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83</v>
      </c>
      <c r="D42" s="10">
        <v>218</v>
      </c>
      <c r="E42" s="10">
        <f t="shared" si="2"/>
        <v>301</v>
      </c>
      <c r="F42" s="10" t="s">
        <v>27</v>
      </c>
      <c r="G42" s="10">
        <f>523+309+0+1+0+104+0+526+588+571+540+84+0+0+0+0+0+4+0+0+0+0+92+478+215+338+365+269+301</f>
        <v>5308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496</v>
      </c>
      <c r="D43" s="10">
        <v>495</v>
      </c>
      <c r="E43" s="10">
        <f t="shared" si="2"/>
        <v>991</v>
      </c>
      <c r="F43" s="10" t="s">
        <v>27</v>
      </c>
      <c r="G43" s="10">
        <f>1033+1032+1024+1026+1022+1020+507+1031+1028+1029+1030+1027+488+0+524+0+0+507+1041+894+1030+1027+1034+1037+1026+1013+993+984+991</f>
        <v>24398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0+0+0+0+0+0+0+0+0+0+0+0+0+0+0+0+0+0+0+0+0+0+0+0+0+0+0+0+0</f>
        <v>0</v>
      </c>
      <c r="H44" s="22"/>
      <c r="I44" s="7">
        <v>225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0+0+0+0+0+0+0+0+0+0+0+0+0+0+0+0+0+0+0+0+0+0+0+0+0+0+0+0+0</f>
        <v>0</v>
      </c>
      <c r="H45" s="22"/>
      <c r="I45" s="7">
        <v>72.0938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4</v>
      </c>
      <c r="D46" s="7">
        <v>4</v>
      </c>
      <c r="E46" s="10">
        <f>D46+C46</f>
        <v>8</v>
      </c>
      <c r="F46" s="10" t="s">
        <v>38</v>
      </c>
      <c r="G46" s="10">
        <f>7+7+5+6+5+6+2+4+5+2+0+0+0+0+0+0+0+3+5+5+5+6+6+11+11+11+10+9+8</f>
        <v>139</v>
      </c>
      <c r="H46" s="22"/>
      <c r="I46" s="10"/>
      <c r="J46" s="37"/>
      <c r="K46" s="25"/>
      <c r="L46" s="19" t="s">
        <v>70</v>
      </c>
      <c r="M46" s="7">
        <v>33</v>
      </c>
    </row>
    <row r="47" s="1" customFormat="1" ht="80" customHeight="1" spans="1:13">
      <c r="A47" s="7">
        <v>11</v>
      </c>
      <c r="B47" s="34" t="s">
        <v>71</v>
      </c>
      <c r="C47" s="25" t="s">
        <v>196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207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8</v>
      </c>
      <c r="E3" s="10">
        <f t="shared" ref="E3:E13" si="0">C3+D3</f>
        <v>12.5</v>
      </c>
      <c r="F3" s="10" t="s">
        <v>14</v>
      </c>
      <c r="G3" s="10">
        <f>12+14+13.5+13+12+11.5+9+14.5+12+11.5+10.5+3+0+0+0+0+0+0+2+7.5+7.5+13+13.5+8.5+11+7.5+9+3+9+12.5</f>
        <v>240.5</v>
      </c>
      <c r="H3" s="10">
        <v>209</v>
      </c>
      <c r="I3" s="10">
        <f>H3-G3</f>
        <v>-31.5</v>
      </c>
      <c r="J3" s="11"/>
      <c r="K3" s="10"/>
      <c r="L3" s="10"/>
      <c r="M3" s="10"/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0+12+14+14+12+12+12+10+14+12+12+10+2+0+0+0+0+0+0+2+8+8+14+12+10+10+8+8+4+8</f>
        <v>228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87</v>
      </c>
      <c r="D5" s="10">
        <v>87</v>
      </c>
      <c r="E5" s="10">
        <f t="shared" si="0"/>
        <v>174</v>
      </c>
      <c r="F5" s="10" t="s">
        <v>14</v>
      </c>
      <c r="G5" s="10">
        <f>0+0+0+0+0+0+0+0+0+0+0+0+0+0+0+0+0+0+0+10+181+180+165+151+144+124+27+83+74+174</f>
        <v>1313</v>
      </c>
      <c r="H5" s="10">
        <v>3120</v>
      </c>
      <c r="I5" s="10">
        <f>H5-G5-G7-G6</f>
        <v>-142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0+0+0+1+0+0+0+0+0+0+1+0+0+0+0+0+0+0+123+2+1+4+2+1+0+0+0+73+0+1</f>
        <v>209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0+0+0+0+0+0+0+0+0+2+0+0+0+0+0+0+0+0+3+0+0+0+0+0+0+1+0+0+0+0</f>
        <v>6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0+61.31+0+62.15+30.98+30.86+61.55+62.25+31.21+0+31.19+0+0+0+0+0+0+0+0+62.45+30.73+29.54+0+0+0+0+31.22+0+30.43+0</f>
        <v>555.87</v>
      </c>
      <c r="H10" s="13">
        <v>3.86</v>
      </c>
      <c r="I10" s="13">
        <f>H10-K11</f>
        <v>-1.124571</v>
      </c>
      <c r="J10" s="19" t="s">
        <v>22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5.454</v>
      </c>
      <c r="D11" s="10">
        <v>0</v>
      </c>
      <c r="E11" s="10">
        <f t="shared" si="0"/>
        <v>5.454</v>
      </c>
      <c r="F11" s="10" t="s">
        <v>14</v>
      </c>
      <c r="G11" s="10">
        <f>10.5435+9.18+7.884+7.479+10.0305+5.373+10.6515+9.3555+6.588+9.72+5.8995+2.9835+0+0+0+0+0+2.916+2.862+5.859+4.1985+5.7645+8.883+5.9535+5.319+10.152+5.67+4.428+7.0065+5.454</f>
        <v>170.154</v>
      </c>
      <c r="H11" s="10"/>
      <c r="I11" s="10">
        <f>G11/(G3*0.1865)</f>
        <v>3.79357125737823</v>
      </c>
      <c r="J11" s="19" t="s">
        <v>24</v>
      </c>
      <c r="K11" s="20">
        <f>0+0.55179+0+0.565565+0.275722+0.274654+0.55395+0.56025+0.28089+0+0.274472+0+0+0+0+0+0+0+0+0.57454+0.270424+0.259952+0+0+0+0+0.268492+0+0.27387+0</f>
        <v>4.984571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7.5072</v>
      </c>
      <c r="D12" s="10">
        <v>0</v>
      </c>
      <c r="E12" s="10">
        <f t="shared" si="0"/>
        <v>7.5072</v>
      </c>
      <c r="F12" s="10" t="s">
        <v>14</v>
      </c>
      <c r="G12" s="10">
        <f>18.4368+10.1016+12.6224+15.64+16.744+13.8+11.0584+13.0824+16.5784+12.8432+13.9288+0+0+0+0+0+0+9.5128+5.6304+6.9552+5.8512+11.3344+15.456+11.2792+10.8192+11.868+11.0032+7.8752+8.7584+7.5072</f>
        <v>278.6864</v>
      </c>
      <c r="H12" s="10"/>
      <c r="I12" s="10">
        <f>G12/(G3*0.1865)</f>
        <v>6.21329335109496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229</v>
      </c>
      <c r="D13" s="10">
        <v>227</v>
      </c>
      <c r="E13" s="10">
        <f t="shared" si="0"/>
        <v>456</v>
      </c>
      <c r="F13" s="10" t="s">
        <v>27</v>
      </c>
      <c r="G13" s="10">
        <f>471+414+426+428+458+373+332+426+365+369+427+3+0+0+0+0+0+8+167+203+310+417+451+296+358+274+267+311+58+456</f>
        <v>8068</v>
      </c>
      <c r="H13" s="10">
        <f>G13*1.05</f>
        <v>8471.4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181</v>
      </c>
      <c r="D14" s="10">
        <v>230</v>
      </c>
      <c r="E14" s="10">
        <f t="shared" ref="E14:E24" si="1">D14+C14</f>
        <v>411</v>
      </c>
      <c r="F14" s="10" t="s">
        <v>27</v>
      </c>
      <c r="G14" s="10">
        <f>379+378+345+427+407+373+282+415+373+339+364+34+0+0+0+0+0+0+142+240+272+375+416+221+347+273+247+180+152+411</f>
        <v>7392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541.57</v>
      </c>
      <c r="D15" s="10">
        <v>440.57</v>
      </c>
      <c r="E15" s="10">
        <f t="shared" si="1"/>
        <v>982.14</v>
      </c>
      <c r="F15" s="10" t="s">
        <v>27</v>
      </c>
      <c r="G15" s="10">
        <f>759.56+799.43+811.69+866.88+886.17+680.76+886.98+870.58+848.77+897.24+520.02+110.3+0+0+0+0+0+260.46+713.93+266.32+835.78+857.22+880.71+897.42+797.79+838.54+295+824.7+819.79+982.14</f>
        <v>18208.18</v>
      </c>
      <c r="H15" s="10"/>
      <c r="I15" s="10"/>
      <c r="J15" s="19" t="s">
        <v>30</v>
      </c>
      <c r="K15" s="10">
        <v>3.53</v>
      </c>
      <c r="L15" s="10">
        <v>2.92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15</v>
      </c>
      <c r="E16" s="10">
        <f t="shared" si="1"/>
        <v>30</v>
      </c>
      <c r="F16" s="10" t="s">
        <v>14</v>
      </c>
      <c r="G16" s="10">
        <f>33+30+27+30+33+24+24+33+24+27+24+0+0+0+0+0+0+0+15+18+21+30+30+18+24+21+21+9+12+30</f>
        <v>558</v>
      </c>
      <c r="H16" s="10"/>
      <c r="I16" s="10">
        <f>G16/(G3*0.1865)</f>
        <v>12.4405700813208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2.2656512+2.7043886+2.7187124+2.838152+2.9641425+2.2756185+2.6876578+2.6498176+2.5338794+2.6521892+1.6536636+0.350754+0+0+0+0+0+0.7304704+2.0702614+0.6285152+1.7018006+2.1160766+2.2281963+2.0913406+1.8825954+2.3937443+0.814088+2.1021084+2.8551006+3.1982065</f>
        <v>53.1071311</v>
      </c>
      <c r="L16" s="10"/>
      <c r="M16" s="10">
        <f>(C15*K15+L15*D15)/1000</f>
        <v>3.1982065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0.0875+0.075+0.0875+0+0.1125+0.0375+0+0+0.025+0.075+0+0+0+0+0+0+0+0+0+0+0+0+0+0.075+0+0+0+0+0+0</f>
        <v>0.575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0+2+0+2+0+2+0+0+2+2+0+2+0+0+0+0+0+0+0+2+0+2+0+2+0+2+0+0+2+2</f>
        <v>24</v>
      </c>
      <c r="H19" s="22"/>
      <c r="I19" s="10">
        <f>G19/(G3*0.1865)</f>
        <v>0.535078283067559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0+2+0+2+0+2+0+0+2+2+0+2+0+0+0+0+0+0+0+2+0+2+0+2+0+2+0+0+2+2</f>
        <v>24</v>
      </c>
      <c r="H20" s="22"/>
      <c r="I20" s="10">
        <f>G20/(G3*0.1865)</f>
        <v>0.535078283067559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3</v>
      </c>
      <c r="D21" s="7">
        <v>7</v>
      </c>
      <c r="E21" s="10">
        <f t="shared" si="1"/>
        <v>10</v>
      </c>
      <c r="F21" s="10" t="s">
        <v>38</v>
      </c>
      <c r="G21" s="10">
        <f>6+6+7+5+2+7+3+4+13+7+3+3+7+0+0+0+0+3+0+1+2+8+2+12+2+9+0+8+3+10</f>
        <v>133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692</v>
      </c>
      <c r="D22" s="7">
        <v>688</v>
      </c>
      <c r="E22" s="10">
        <f t="shared" si="1"/>
        <v>1380</v>
      </c>
      <c r="F22" s="10" t="s">
        <v>27</v>
      </c>
      <c r="G22" s="10">
        <f>1188+1059+1106+1089+1115+739+1190+1160+1118+1090+637+2+0+0+0+0+0+375+1236+504+1331+1272+1244+1170+1124+854+273+1171+652+1380</f>
        <v>24079</v>
      </c>
      <c r="H22" s="23"/>
      <c r="I22" s="10">
        <f>E22/M22</f>
        <v>57.5</v>
      </c>
      <c r="J22" s="19" t="s">
        <v>40</v>
      </c>
      <c r="K22" s="10">
        <f>24+24+24+24+24+10.5+24+24+24+24+13+0+0+0+0+0+0+5+24+7.5+24+24+24+24+24+16+3+21+10.5+24</f>
        <v>470.5</v>
      </c>
      <c r="L22" s="10">
        <f>G22/K22</f>
        <v>51.1774707757705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882</v>
      </c>
      <c r="D23" s="7">
        <v>815</v>
      </c>
      <c r="E23" s="10">
        <f t="shared" si="1"/>
        <v>1697</v>
      </c>
      <c r="F23" s="10" t="s">
        <v>27</v>
      </c>
      <c r="G23" s="10">
        <f>1569+1358+1338+1398+1471+952+1468+1460+1309+1386+760+0+0+0+0+0+0+480+1313+548+1591+1525+1527+1288+1303+1042+420+1294+950+1697</f>
        <v>29447</v>
      </c>
      <c r="H23" s="22"/>
      <c r="I23" s="10">
        <f>E23/M22</f>
        <v>70.7083333333333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320</v>
      </c>
      <c r="D24" s="7">
        <v>5</v>
      </c>
      <c r="E24" s="10">
        <f t="shared" si="1"/>
        <v>325</v>
      </c>
      <c r="F24" s="10" t="s">
        <v>27</v>
      </c>
      <c r="G24" s="10">
        <f>0+462+214+388+399+231+317+323+455+325</f>
        <v>3114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27.95</v>
      </c>
      <c r="D25" s="7">
        <v>25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203</v>
      </c>
      <c r="D31" s="29"/>
      <c r="E31" s="29"/>
      <c r="F31" s="29"/>
      <c r="G31" s="29"/>
      <c r="H31" s="30"/>
      <c r="I31" s="27" t="s">
        <v>46</v>
      </c>
      <c r="J31" s="28" t="s">
        <v>47</v>
      </c>
      <c r="K31" s="25" t="s">
        <v>208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204</v>
      </c>
      <c r="D32" s="29"/>
      <c r="E32" s="29"/>
      <c r="F32" s="29"/>
      <c r="G32" s="29"/>
      <c r="H32" s="30"/>
      <c r="I32" s="27" t="s">
        <v>46</v>
      </c>
      <c r="J32" s="28" t="s">
        <v>52</v>
      </c>
      <c r="K32" s="25" t="s">
        <v>208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209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210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6.39</v>
      </c>
      <c r="D38" s="10">
        <v>6.23</v>
      </c>
      <c r="E38" s="10">
        <f t="shared" si="2"/>
        <v>12.62</v>
      </c>
      <c r="F38" s="10" t="s">
        <v>27</v>
      </c>
      <c r="G38" s="10">
        <f>12.61+12.57+12.61+12.64+12.73+13.08+6.35+12.54+12.61+6.39+0+0+0+0+0+0+0+10.33+12.75+12.74+12.78+12.66+6.31+12.45+12.74+15+12.74+12.69+12.67+12.62</f>
        <v>272.61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0</v>
      </c>
      <c r="D39" s="10">
        <v>13</v>
      </c>
      <c r="E39" s="10">
        <f t="shared" si="2"/>
        <v>13</v>
      </c>
      <c r="F39" s="10" t="s">
        <v>27</v>
      </c>
      <c r="G39" s="10">
        <f>14+32+21+38.65+18+15+0+43+25+27+20+12+64+0+46+0+0+54+28+30+40+18+35.32+0+28+19+37+15+18+13</f>
        <v>710.97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5.8455</v>
      </c>
      <c r="D40" s="10">
        <v>0</v>
      </c>
      <c r="E40" s="10">
        <f t="shared" si="2"/>
        <v>5.8455</v>
      </c>
      <c r="F40" s="10" t="s">
        <v>14</v>
      </c>
      <c r="G40" s="10">
        <f>6.615+8.667+0+14.8095+0+16.0515+0+0+6.912+12.231+0+0+0+0+0+0+0+0+0+0+10.935+14.0265+0+8.748+0+0+0+13.8375+0+5.8455</f>
        <v>118.6785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151</v>
      </c>
      <c r="D42" s="10">
        <v>283</v>
      </c>
      <c r="E42" s="10">
        <f t="shared" si="2"/>
        <v>434</v>
      </c>
      <c r="F42" s="10" t="s">
        <v>27</v>
      </c>
      <c r="G42" s="10">
        <f>523+309+0+1+0+104+0+526+588+571+540+84+0+0+0+0+0+4+0+0+0+0+92+478+215+338+365+269+301+434</f>
        <v>5742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498</v>
      </c>
      <c r="D43" s="10">
        <v>496</v>
      </c>
      <c r="E43" s="10">
        <f t="shared" si="2"/>
        <v>994</v>
      </c>
      <c r="F43" s="10" t="s">
        <v>27</v>
      </c>
      <c r="G43" s="10">
        <f>1033+1032+1024+1026+1022+1020+507+1031+1028+1029+1030+1027+488+0+524+0+0+507+1041+894+1030+1027+1034+1037+1026+1013+993+984+991+994</f>
        <v>25392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0+0+0+0+0+0+0+0+0+0+0+0+0+0+0+0+0+0+0+0+0+0+0+0+0+0+0+0+0+0</f>
        <v>0</v>
      </c>
      <c r="H44" s="22"/>
      <c r="I44" s="7">
        <v>277.5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0+0+0+0+0+0+0+0+0+0+0+0+0+0+0+0+0+0+0+0+0+0+0+0+0+0+0+0+0+0</f>
        <v>0</v>
      </c>
      <c r="H45" s="22"/>
      <c r="I45" s="7">
        <v>70.3566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2</v>
      </c>
      <c r="D46" s="7">
        <v>3</v>
      </c>
      <c r="E46" s="10">
        <f>D46+C46</f>
        <v>5</v>
      </c>
      <c r="F46" s="10" t="s">
        <v>38</v>
      </c>
      <c r="G46" s="10">
        <f>7+7+5+6+5+6+2+4+5+2+0+0+0+0+0+0+0+3+5+5+5+6+6+11+11+11+10+9+8+5</f>
        <v>144</v>
      </c>
      <c r="H46" s="22"/>
      <c r="I46" s="10"/>
      <c r="J46" s="37"/>
      <c r="K46" s="25"/>
      <c r="L46" s="19" t="s">
        <v>70</v>
      </c>
      <c r="M46" s="7">
        <v>18</v>
      </c>
    </row>
    <row r="47" s="1" customFormat="1" ht="80" customHeight="1" spans="1:13">
      <c r="A47" s="7">
        <v>11</v>
      </c>
      <c r="B47" s="34" t="s">
        <v>71</v>
      </c>
      <c r="C47" s="25" t="s">
        <v>196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tabSelected="1" zoomScale="85" zoomScaleNormal="85" workbookViewId="0">
      <selection activeCell="G5" sqref="G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211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</v>
      </c>
      <c r="D3" s="9">
        <v>5</v>
      </c>
      <c r="E3" s="10">
        <f t="shared" ref="E3:E13" si="0">C3+D3</f>
        <v>12</v>
      </c>
      <c r="F3" s="10" t="s">
        <v>14</v>
      </c>
      <c r="G3" s="10">
        <f>12+14+13.5+13+12+11.5+9+14.5+12+11.5+10.5+3+0+0+0+0+0+0+2+7.5+7.5+13+13.5+8.5+11+7.5+9+3+9+12.5+12</f>
        <v>252.5</v>
      </c>
      <c r="H3" s="10">
        <v>209</v>
      </c>
      <c r="I3" s="10">
        <f>H3-G3</f>
        <v>-43.5</v>
      </c>
      <c r="J3" s="11"/>
      <c r="K3" s="10"/>
      <c r="L3" s="10"/>
      <c r="M3" s="10"/>
    </row>
    <row r="4" s="1" customFormat="1" ht="35" customHeight="1" spans="1:13">
      <c r="A4" s="12">
        <v>2</v>
      </c>
      <c r="B4" s="8" t="s">
        <v>15</v>
      </c>
      <c r="C4" s="9">
        <v>24</v>
      </c>
      <c r="D4" s="9"/>
      <c r="E4" s="10">
        <f t="shared" si="0"/>
        <v>24</v>
      </c>
      <c r="F4" s="10" t="s">
        <v>14</v>
      </c>
      <c r="G4" s="10">
        <f>0+12+14+14+12+12+12+10+14+12+12+10+2+0+0+0+0+0+0+2+8+8+14+12+10+10+8+8+4+8+24</f>
        <v>252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98</v>
      </c>
      <c r="D5" s="10">
        <v>0</v>
      </c>
      <c r="E5" s="10">
        <f t="shared" si="0"/>
        <v>98</v>
      </c>
      <c r="F5" s="10" t="s">
        <v>14</v>
      </c>
      <c r="G5" s="10">
        <f>0+0+0+0+0+0+0+0+0+0+0+0+0+0+0+0+0+0+0+10+181+180+165+151+144+124+27+83+74+174+98</f>
        <v>1411</v>
      </c>
      <c r="H5" s="10">
        <v>3120</v>
      </c>
      <c r="I5" s="10">
        <f>H5-G5-G7-G6</f>
        <v>-240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181+170+147+169+186+76+196+179+154+173+109+0+0+0+0+0+0+0+0+0+0+0+0+0+0+0+0+0+0+0+0</f>
        <v>1740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0+0+0+1+0+0+0+0+0+0+1+0+0+0+0+0+0+0+123+2+1+4+2+1+0+0+0+73+0+1+0</f>
        <v>209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0+0+0+0+0+0+0+0+0+2+0+0+0+0+0+0+0+0+3+0+0+0+0+0+0+1+0+0+0+0+0</f>
        <v>6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0+61.31+0+62.15+30.98+30.86+61.55+62.25+31.21+0+31.19+0+0+0+0+0+0+0+0+62.45+30.73+29.54+0+0+0+0+31.22+0+30.43+0+0</f>
        <v>555.87</v>
      </c>
      <c r="H10" s="13">
        <v>3.86</v>
      </c>
      <c r="I10" s="13">
        <f>H10-K11</f>
        <v>-1.124571</v>
      </c>
      <c r="J10" s="19" t="s">
        <v>22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5.454</v>
      </c>
      <c r="D11" s="10">
        <v>0</v>
      </c>
      <c r="E11" s="10">
        <f t="shared" si="0"/>
        <v>5.454</v>
      </c>
      <c r="F11" s="10" t="s">
        <v>14</v>
      </c>
      <c r="G11" s="10">
        <f>10.5435+9.18+7.884+7.479+10.0305+5.373+10.6515+9.3555+6.588+9.72+5.8995+2.9835+0+0+0+0+0+2.916+2.862+5.859+4.1985+5.7645+8.883+5.9535+5.319+10.152+5.67+4.428+7.0065+5.454+5.454</f>
        <v>175.608</v>
      </c>
      <c r="H11" s="10"/>
      <c r="I11" s="10">
        <f>G11/(G3*0.1865)</f>
        <v>3.72910041674409</v>
      </c>
      <c r="J11" s="19" t="s">
        <v>24</v>
      </c>
      <c r="K11" s="20">
        <f>0+0.55179+0+0.565565+0.275722+0.274654+0.55395+0.56025+0.28089+0+0.274472+0+0+0+0+0+0+0+0+0.57454+0.270424+0.259952+0+0+0+0+0.268492+0+0.27387+0+0</f>
        <v>4.984571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8.556</v>
      </c>
      <c r="D12" s="10">
        <v>0</v>
      </c>
      <c r="E12" s="10">
        <f t="shared" si="0"/>
        <v>8.556</v>
      </c>
      <c r="F12" s="10" t="s">
        <v>14</v>
      </c>
      <c r="G12" s="10">
        <f>18.4368+10.1016+12.6224+15.64+16.744+13.8+11.0584+13.0824+16.5784+12.8432+13.9288+0+0+0+0+0+0+9.5128+5.6304+6.9552+5.8512+11.3344+15.456+11.2792+10.8192+11.868+11.0032+7.8752+8.7584+7.5072+8.556</f>
        <v>287.2424</v>
      </c>
      <c r="H12" s="10"/>
      <c r="I12" s="10">
        <f>G12/(G3*0.1865)</f>
        <v>6.09969792689725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240</v>
      </c>
      <c r="D13" s="10">
        <v>154</v>
      </c>
      <c r="E13" s="10">
        <f t="shared" si="0"/>
        <v>394</v>
      </c>
      <c r="F13" s="10" t="s">
        <v>27</v>
      </c>
      <c r="G13" s="10">
        <f>471+414+426+428+458+373+332+426+365+369+427+3+0+0+0+0+0+8+167+203+310+417+451+296+358+274+267+311+58+456+394</f>
        <v>8462</v>
      </c>
      <c r="H13" s="10">
        <f>G13*1.05</f>
        <v>8885.1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28</v>
      </c>
      <c r="C14" s="10">
        <v>209</v>
      </c>
      <c r="D14" s="10">
        <v>150</v>
      </c>
      <c r="E14" s="10">
        <f t="shared" ref="E14:E24" si="1">D14+C14</f>
        <v>359</v>
      </c>
      <c r="F14" s="10" t="s">
        <v>27</v>
      </c>
      <c r="G14" s="10">
        <f>379+378+345+427+407+373+282+415+373+339+364+34+0+0+0+0+0+0+142+240+272+375+416+221+347+273+247+180+152+411+359</f>
        <v>7751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441.53</v>
      </c>
      <c r="D15" s="10">
        <v>258.41</v>
      </c>
      <c r="E15" s="10">
        <f t="shared" si="1"/>
        <v>699.94</v>
      </c>
      <c r="F15" s="10" t="s">
        <v>27</v>
      </c>
      <c r="G15" s="10">
        <f>759.56+799.43+811.69+866.88+886.17+680.76+886.98+870.58+848.77+897.24+520.02+110.3+0+0+0+0+0+260.46+713.93+266.32+835.78+857.22+880.71+897.42+797.79+838.54+295+824.7+819.79+982.14+699.94</f>
        <v>18908.12</v>
      </c>
      <c r="H15" s="10"/>
      <c r="I15" s="10"/>
      <c r="J15" s="19" t="s">
        <v>30</v>
      </c>
      <c r="K15" s="10">
        <v>2.78</v>
      </c>
      <c r="L15" s="10">
        <v>3.08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9</v>
      </c>
      <c r="E16" s="10">
        <f t="shared" si="1"/>
        <v>27</v>
      </c>
      <c r="F16" s="10" t="s">
        <v>14</v>
      </c>
      <c r="G16" s="10">
        <f>33+30+27+30+33+24+24+33+24+27+24+0+0+0+0+0+0+0+15+18+21+30+30+18+24+21+21+9+12+30+27</f>
        <v>585</v>
      </c>
      <c r="H16" s="10"/>
      <c r="I16" s="10">
        <f>G16/(G3*0.1865)</f>
        <v>12.4226899901786</v>
      </c>
      <c r="J16" s="19" t="s">
        <v>32</v>
      </c>
      <c r="K16" s="20">
        <f>2.2656512+2.7043886+2.7187124+2.838152+2.9641425+2.2756185+2.6876578+2.6498176+2.5338794+2.6521892+1.6536636+0.350754+0+0+0+0+0+0.7304704+2.0702614+0.6285152+1.7018006+2.1160766+2.2281963+2.0913406+1.8825954+2.3937443+0.814088+2.1021084+2.8551006+3.1982065+2.0233562</f>
        <v>55.1304873</v>
      </c>
      <c r="L16" s="10"/>
      <c r="M16" s="10">
        <f>(C15*K15+L15*D15)/1000</f>
        <v>2.0233562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0.0875+0.075+0.0875+0+0.1125+0.0375+0+0+0.025+0.075+0+0+0+0+0+0+0+0+0+0+0+0+0+0.075+0+0+0+0+0+0+0</f>
        <v>0.575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1.6+0+0+0+0+0+0+0+0+0+0+0+0+0+0+0+0+0+0+0+0+0+0+0+0+0+0+0+0+0+0</f>
        <v>1.6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0+2+0+2+0+2+0+0+2+2+0+2+0+0+0+0+0+0+0+2+0+2+0+2+0+2+0+0+2+2+0</f>
        <v>24</v>
      </c>
      <c r="H19" s="22"/>
      <c r="I19" s="10">
        <f>G19/(G3*0.1865)</f>
        <v>0.509648820109893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0+2+0+2+0+2+0+0+2+2+0+2+0+0+0+0+0+0+0+2+0+2+0+2+0+2+0+0+2+2+0</f>
        <v>24</v>
      </c>
      <c r="H20" s="22"/>
      <c r="I20" s="10">
        <f>G20/(G3*0.1865)</f>
        <v>0.509648820109893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6+6+7+5+2+7+3+4+13+7+3+3+7+0+0+0+0+3+0+1+2+8+2+12+2+9+0+8+3+10+0</f>
        <v>133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39</v>
      </c>
      <c r="C22" s="7">
        <v>555</v>
      </c>
      <c r="D22" s="7">
        <v>66</v>
      </c>
      <c r="E22" s="10">
        <f t="shared" si="1"/>
        <v>621</v>
      </c>
      <c r="F22" s="10" t="s">
        <v>27</v>
      </c>
      <c r="G22" s="10">
        <f>1188+1059+1106+1089+1115+739+1190+1160+1118+1090+637+2+0+0+0+0+0+375+1236+504+1331+1272+1244+1170+1124+854+273+1171+652+1380+621</f>
        <v>24700</v>
      </c>
      <c r="H22" s="23"/>
      <c r="I22" s="10">
        <f>E22/M22</f>
        <v>65.3684210526316</v>
      </c>
      <c r="J22" s="19" t="s">
        <v>40</v>
      </c>
      <c r="K22" s="10">
        <f>24+24+24+24+24+10.5+24+24+24+24+13+0+0+0+0+0+0+5+24+7.5+24+24+24+24+24+16+3+21+10.5+24+9.5</f>
        <v>480</v>
      </c>
      <c r="L22" s="10">
        <f>G22/K22</f>
        <v>51.4583333333333</v>
      </c>
      <c r="M22" s="10">
        <v>9.5</v>
      </c>
    </row>
    <row r="23" s="1" customFormat="1" ht="25" customHeight="1" spans="1:13">
      <c r="A23" s="12">
        <v>18</v>
      </c>
      <c r="B23" s="8" t="s">
        <v>41</v>
      </c>
      <c r="C23" s="7">
        <v>678</v>
      </c>
      <c r="D23" s="7">
        <v>182</v>
      </c>
      <c r="E23" s="10">
        <f t="shared" si="1"/>
        <v>860</v>
      </c>
      <c r="F23" s="10" t="s">
        <v>27</v>
      </c>
      <c r="G23" s="10">
        <f>1569+1358+1338+1398+1471+952+1468+1460+1309+1386+760+0+0+0+0+0+0+480+1313+548+1591+1525+1527+1288+1303+1042+420+1294+950+1697+860</f>
        <v>30307</v>
      </c>
      <c r="H23" s="22"/>
      <c r="I23" s="10">
        <f>E23/M22</f>
        <v>90.5263157894737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168</v>
      </c>
      <c r="C24" s="7">
        <v>197</v>
      </c>
      <c r="D24" s="7">
        <v>200</v>
      </c>
      <c r="E24" s="10">
        <f t="shared" si="1"/>
        <v>397</v>
      </c>
      <c r="F24" s="10" t="s">
        <v>27</v>
      </c>
      <c r="G24" s="10">
        <f>0+462+214+388+399+231+317+323+455+325+397</f>
        <v>3511</v>
      </c>
      <c r="H24" s="22"/>
      <c r="I24" s="10"/>
      <c r="J24" s="11"/>
      <c r="K24" s="22"/>
      <c r="L24" s="22"/>
      <c r="M24" s="10"/>
    </row>
    <row r="25" s="1" customFormat="1" ht="25" customHeight="1" spans="1:13">
      <c r="A25" s="12">
        <v>20</v>
      </c>
      <c r="B25" s="8" t="s">
        <v>42</v>
      </c>
      <c r="C25" s="7">
        <v>25</v>
      </c>
      <c r="D25" s="7">
        <v>26.82</v>
      </c>
      <c r="E25" s="10"/>
      <c r="F25" s="10" t="s">
        <v>43</v>
      </c>
      <c r="G25" s="10"/>
      <c r="H25" s="22"/>
      <c r="I25" s="22"/>
      <c r="J25" s="11"/>
      <c r="K25" s="22"/>
      <c r="L25" s="22"/>
      <c r="M25" s="10"/>
    </row>
    <row r="26" s="1" customFormat="1" ht="32" hidden="1" customHeight="1" spans="1:13">
      <c r="A26" s="7"/>
      <c r="B26" s="24"/>
      <c r="C26" s="25"/>
      <c r="D26" s="26"/>
      <c r="E26" s="26"/>
      <c r="F26" s="26"/>
      <c r="G26" s="26"/>
      <c r="H26" s="26"/>
      <c r="I26" s="27"/>
      <c r="J26" s="24"/>
      <c r="K26" s="25"/>
      <c r="L26" s="26"/>
      <c r="M26" s="26"/>
    </row>
    <row r="27" s="1" customFormat="1" ht="32" hidden="1" customHeight="1" spans="1:13">
      <c r="A27" s="7"/>
      <c r="B27" s="24"/>
      <c r="C27" s="25"/>
      <c r="D27" s="26"/>
      <c r="E27" s="26"/>
      <c r="F27" s="26"/>
      <c r="G27" s="26"/>
      <c r="H27" s="26"/>
      <c r="I27" s="27"/>
      <c r="J27" s="24"/>
      <c r="K27" s="25"/>
      <c r="L27" s="26"/>
      <c r="M27" s="26"/>
    </row>
    <row r="28" s="1" customFormat="1" ht="32" hidden="1" customHeight="1" spans="1:13">
      <c r="A28" s="7"/>
      <c r="B28" s="24"/>
      <c r="C28" s="25"/>
      <c r="D28" s="26"/>
      <c r="E28" s="26"/>
      <c r="F28" s="26"/>
      <c r="G28" s="26"/>
      <c r="H28" s="26"/>
      <c r="I28" s="27"/>
      <c r="J28" s="24"/>
      <c r="K28" s="25"/>
      <c r="L28" s="26"/>
      <c r="M28" s="26"/>
    </row>
    <row r="29" s="1" customFormat="1" ht="32" hidden="1" customHeight="1" spans="1:13">
      <c r="A29" s="7"/>
      <c r="B29" s="24"/>
      <c r="C29" s="25"/>
      <c r="D29" s="26"/>
      <c r="E29" s="26"/>
      <c r="F29" s="26"/>
      <c r="G29" s="26"/>
      <c r="H29" s="26"/>
      <c r="I29" s="27"/>
      <c r="J29" s="24"/>
      <c r="K29" s="25"/>
      <c r="L29" s="26"/>
      <c r="M29" s="26"/>
    </row>
    <row r="30" s="1" customFormat="1" ht="32" hidden="1" customHeight="1" spans="1:13">
      <c r="A30" s="7"/>
      <c r="B30" s="24"/>
      <c r="C30" s="25"/>
      <c r="D30" s="26"/>
      <c r="E30" s="26"/>
      <c r="F30" s="26"/>
      <c r="G30" s="26"/>
      <c r="H30" s="26"/>
      <c r="I30" s="27"/>
      <c r="J30" s="24"/>
      <c r="K30" s="25"/>
      <c r="L30" s="26"/>
      <c r="M30" s="26"/>
    </row>
    <row r="31" s="1" customFormat="1" ht="32" customHeight="1" spans="1:13">
      <c r="A31" s="12">
        <v>21</v>
      </c>
      <c r="B31" s="28" t="s">
        <v>44</v>
      </c>
      <c r="C31" s="25" t="s">
        <v>208</v>
      </c>
      <c r="D31" s="29"/>
      <c r="E31" s="29"/>
      <c r="F31" s="29"/>
      <c r="G31" s="29"/>
      <c r="H31" s="30"/>
      <c r="I31" s="27" t="s">
        <v>51</v>
      </c>
      <c r="J31" s="28" t="s">
        <v>47</v>
      </c>
      <c r="K31" s="25" t="s">
        <v>212</v>
      </c>
      <c r="L31" s="29"/>
      <c r="M31" s="30"/>
    </row>
    <row r="32" s="1" customFormat="1" ht="32" customHeight="1" spans="1:13">
      <c r="A32" s="12">
        <v>22</v>
      </c>
      <c r="B32" s="28" t="s">
        <v>49</v>
      </c>
      <c r="C32" s="25" t="s">
        <v>208</v>
      </c>
      <c r="D32" s="29"/>
      <c r="E32" s="29"/>
      <c r="F32" s="29"/>
      <c r="G32" s="29"/>
      <c r="H32" s="30"/>
      <c r="I32" s="27" t="s">
        <v>51</v>
      </c>
      <c r="J32" s="28" t="s">
        <v>52</v>
      </c>
      <c r="K32" s="25" t="s">
        <v>213</v>
      </c>
      <c r="L32" s="29"/>
      <c r="M32" s="30"/>
    </row>
    <row r="33" s="1" customFormat="1" ht="80" customHeight="1" spans="1:13">
      <c r="A33" s="7">
        <v>23</v>
      </c>
      <c r="B33" s="24" t="s">
        <v>54</v>
      </c>
      <c r="C33" s="31" t="s">
        <v>214</v>
      </c>
      <c r="D33" s="32"/>
      <c r="E33" s="32"/>
      <c r="F33" s="32"/>
      <c r="G33" s="32"/>
      <c r="H33" s="32"/>
      <c r="I33" s="33"/>
      <c r="J33" s="34" t="s">
        <v>56</v>
      </c>
      <c r="K33" s="25"/>
      <c r="L33" s="29"/>
      <c r="M33" s="30"/>
    </row>
    <row r="34" s="1" customFormat="1" ht="14" customHeight="1" spans="1:13">
      <c r="C34" s="35"/>
      <c r="D34" s="35"/>
      <c r="J34" s="36"/>
    </row>
    <row r="35" s="1" customFormat="1" ht="45" customHeight="1" spans="1:13">
      <c r="A35" s="5" t="s">
        <v>215</v>
      </c>
    </row>
    <row r="36" s="1" customFormat="1" ht="30" customHeight="1" spans="1:13">
      <c r="A36" s="6" t="s">
        <v>59</v>
      </c>
      <c r="B36" s="6" t="s">
        <v>60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61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0+0+0+0+0+0+0+0+0+0+0+0+0+0+0+0+0+0+0+0+0+0+0+0+0+0+0+0+0+0+0</f>
        <v>0</v>
      </c>
      <c r="H37" s="10"/>
      <c r="I37" s="10"/>
      <c r="J37" s="11"/>
      <c r="K37" s="22"/>
      <c r="L37" s="22"/>
      <c r="M37" s="10"/>
    </row>
    <row r="38" s="1" customFormat="1" ht="25" customHeight="1" spans="1:13">
      <c r="A38" s="7">
        <v>2</v>
      </c>
      <c r="B38" s="8" t="s">
        <v>62</v>
      </c>
      <c r="C38" s="10">
        <v>6.38</v>
      </c>
      <c r="D38" s="10">
        <v>6.34</v>
      </c>
      <c r="E38" s="10">
        <f t="shared" si="2"/>
        <v>12.72</v>
      </c>
      <c r="F38" s="10" t="s">
        <v>27</v>
      </c>
      <c r="G38" s="10">
        <f>12.61+12.57+12.61+12.64+12.73+13.08+6.35+12.54+12.61+6.39+0+0+0+0+0+0+0+10.33+12.75+12.74+12.78+12.66+6.31+12.45+12.74+15+12.74+12.69+12.67+12.62+12.72</f>
        <v>285.33</v>
      </c>
      <c r="H38" s="10"/>
      <c r="I38" s="10"/>
      <c r="J38" s="11"/>
      <c r="K38" s="22"/>
      <c r="L38" s="22"/>
      <c r="M38" s="21"/>
    </row>
    <row r="39" s="1" customFormat="1" ht="25" customHeight="1" spans="1:13">
      <c r="A39" s="7">
        <v>3</v>
      </c>
      <c r="B39" s="8" t="s">
        <v>63</v>
      </c>
      <c r="C39" s="10">
        <v>25</v>
      </c>
      <c r="D39" s="10">
        <v>13</v>
      </c>
      <c r="E39" s="10">
        <f t="shared" si="2"/>
        <v>38</v>
      </c>
      <c r="F39" s="10" t="s">
        <v>27</v>
      </c>
      <c r="G39" s="10">
        <f>14+32+21+38.65+18+15+0+43+25+27+20+12+64+0+46+0+0+54+28+30+40+18+35.32+0+28+19+37+15+18+13+38</f>
        <v>748.97</v>
      </c>
      <c r="H39" s="10"/>
      <c r="I39" s="10"/>
      <c r="J39" s="11"/>
      <c r="K39" s="22"/>
      <c r="L39" s="22"/>
      <c r="M39" s="21"/>
    </row>
    <row r="40" s="1" customFormat="1" ht="25" customHeight="1" spans="1:13">
      <c r="A40" s="7">
        <v>4</v>
      </c>
      <c r="B40" s="8" t="s">
        <v>23</v>
      </c>
      <c r="C40" s="10">
        <v>8.991</v>
      </c>
      <c r="D40" s="10">
        <v>0</v>
      </c>
      <c r="E40" s="10">
        <f t="shared" si="2"/>
        <v>8.991</v>
      </c>
      <c r="F40" s="10" t="s">
        <v>14</v>
      </c>
      <c r="G40" s="10">
        <f>6.615+8.667+0+14.8095+0+16.0515+0+0+6.912+12.231+0+0+0+0+0+0+0+0+0+0+10.935+14.0265+0+8.748+0+0+0+13.8375+0+5.8455+8.991</f>
        <v>127.6695</v>
      </c>
      <c r="H40" s="10"/>
      <c r="J40" s="11"/>
      <c r="K40" s="22"/>
      <c r="L40" s="22"/>
      <c r="M40" s="22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0+0+0+0+0+0+0+0+0+0+0+0+0+0+0+0+0+0+0+0+0+0+0+0+0+0+0+0+0+0+0</f>
        <v>0</v>
      </c>
      <c r="H41" s="10"/>
      <c r="I41" s="10"/>
      <c r="J41" s="14"/>
      <c r="K41" s="22"/>
      <c r="L41" s="22"/>
      <c r="M41" s="22"/>
    </row>
    <row r="42" s="1" customFormat="1" ht="25" customHeight="1" spans="1:13">
      <c r="A42" s="7">
        <v>6</v>
      </c>
      <c r="B42" s="8" t="s">
        <v>64</v>
      </c>
      <c r="C42" s="10">
        <v>217</v>
      </c>
      <c r="D42" s="10">
        <v>227</v>
      </c>
      <c r="E42" s="10">
        <f t="shared" si="2"/>
        <v>444</v>
      </c>
      <c r="F42" s="10" t="s">
        <v>27</v>
      </c>
      <c r="G42" s="10">
        <f>523+309+0+1+0+104+0+526+588+571+540+84+0+0+0+0+0+4+0+0+0+0+92+478+215+338+365+269+301+434+444</f>
        <v>6186</v>
      </c>
      <c r="H42" s="10"/>
      <c r="I42" s="10"/>
      <c r="J42" s="37"/>
      <c r="K42" s="22"/>
      <c r="L42" s="10"/>
      <c r="M42" s="22"/>
    </row>
    <row r="43" s="1" customFormat="1" ht="25" customHeight="1" spans="1:13">
      <c r="A43" s="7">
        <v>7</v>
      </c>
      <c r="B43" s="8" t="s">
        <v>65</v>
      </c>
      <c r="C43" s="10">
        <v>496</v>
      </c>
      <c r="D43" s="10">
        <v>495</v>
      </c>
      <c r="E43" s="10">
        <f t="shared" si="2"/>
        <v>991</v>
      </c>
      <c r="F43" s="10" t="s">
        <v>27</v>
      </c>
      <c r="G43" s="10">
        <f>1033+1032+1024+1026+1022+1020+507+1031+1028+1029+1030+1027+488+0+524+0+0+507+1041+894+1030+1027+1034+1037+1026+1013+993+984+991+994+991</f>
        <v>26383</v>
      </c>
      <c r="H43" s="10"/>
      <c r="I43" s="10"/>
      <c r="J43" s="38"/>
      <c r="K43" s="22"/>
      <c r="L43" s="10"/>
      <c r="M43" s="22"/>
    </row>
    <row r="44" s="1" customFormat="1" ht="25" customHeight="1" spans="1:13">
      <c r="A44" s="7">
        <v>8</v>
      </c>
      <c r="B44" s="8" t="s">
        <v>66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0+0+0+0+0+0+0+0+0+0+0+0+0+0+0+0+0+0+0+0+0+0+0+0+0+0+0+0+0+0+0</f>
        <v>0</v>
      </c>
      <c r="H44" s="22"/>
      <c r="I44" s="7">
        <v>382.5</v>
      </c>
      <c r="J44" s="14"/>
      <c r="K44" s="39"/>
      <c r="L44" s="25"/>
      <c r="M44" s="40"/>
    </row>
    <row r="45" s="1" customFormat="1" ht="25" customHeight="1" spans="1:13">
      <c r="A45" s="7">
        <v>9</v>
      </c>
      <c r="B45" s="8" t="s">
        <v>67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0+0+0+0+0+0+0+0+0+0+0+0+0+0+0+0+0+0+0+0+0+0+0+0+0+0+0+0+0+0+0</f>
        <v>0</v>
      </c>
      <c r="H45" s="22"/>
      <c r="I45" s="7">
        <v>71.2252</v>
      </c>
      <c r="J45" s="37"/>
      <c r="K45" s="39"/>
      <c r="L45" s="19" t="s">
        <v>68</v>
      </c>
      <c r="M45" s="7">
        <v>22</v>
      </c>
    </row>
    <row r="46" s="1" customFormat="1" ht="25" customHeight="1" spans="1:13">
      <c r="A46" s="7">
        <v>10</v>
      </c>
      <c r="B46" s="8" t="s">
        <v>69</v>
      </c>
      <c r="C46" s="7">
        <v>3</v>
      </c>
      <c r="D46" s="7">
        <v>2</v>
      </c>
      <c r="E46" s="10">
        <f>D46+C46</f>
        <v>5</v>
      </c>
      <c r="F46" s="10" t="s">
        <v>38</v>
      </c>
      <c r="G46" s="10">
        <f>7+7+5+6+5+6+2+4+5+2+0+0+0+0+0+0+0+3+5+5+5+6+6+11+11+11+10+9+8+5+5</f>
        <v>149</v>
      </c>
      <c r="H46" s="22"/>
      <c r="I46" s="10"/>
      <c r="J46" s="37"/>
      <c r="K46" s="25"/>
      <c r="L46" s="19" t="s">
        <v>70</v>
      </c>
      <c r="M46" s="7">
        <v>18</v>
      </c>
    </row>
    <row r="47" s="1" customFormat="1" ht="80" customHeight="1" spans="1:13">
      <c r="A47" s="7">
        <v>11</v>
      </c>
      <c r="B47" s="34" t="s">
        <v>71</v>
      </c>
      <c r="C47" s="25" t="s">
        <v>196</v>
      </c>
      <c r="D47" s="29"/>
      <c r="E47" s="29"/>
      <c r="F47" s="29"/>
      <c r="G47" s="29"/>
      <c r="H47" s="29"/>
      <c r="I47" s="29"/>
      <c r="J47" s="29"/>
      <c r="K47" s="29"/>
      <c r="L47" s="29"/>
      <c r="M47" s="30"/>
    </row>
    <row r="55" s="1" customFormat="1" spans="3:12">
      <c r="C55" s="35"/>
      <c r="D55" s="35"/>
      <c r="J55" s="36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7.31</vt:lpstr>
      <vt:lpstr>8.1</vt:lpstr>
      <vt:lpstr>8.2</vt:lpstr>
      <vt:lpstr>8.3</vt:lpstr>
      <vt:lpstr>8.4</vt:lpstr>
      <vt:lpstr>8.5</vt:lpstr>
      <vt:lpstr>8.6</vt:lpstr>
      <vt:lpstr>8.7</vt:lpstr>
      <vt:lpstr>8.8</vt:lpstr>
      <vt:lpstr>8.9</vt:lpstr>
      <vt:lpstr>8.10</vt:lpstr>
      <vt:lpstr>8.11</vt:lpstr>
      <vt:lpstr>8.12</vt:lpstr>
      <vt:lpstr>8.13</vt:lpstr>
      <vt:lpstr>8.14</vt:lpstr>
      <vt:lpstr>8.15</vt:lpstr>
      <vt:lpstr>8.16</vt:lpstr>
      <vt:lpstr>8.17</vt:lpstr>
      <vt:lpstr>8.18</vt:lpstr>
      <vt:lpstr>8.19</vt:lpstr>
      <vt:lpstr>8.20</vt:lpstr>
      <vt:lpstr>8.21</vt:lpstr>
      <vt:lpstr>8.22</vt:lpstr>
      <vt:lpstr>8.23</vt:lpstr>
      <vt:lpstr>8.24</vt:lpstr>
      <vt:lpstr>8.25</vt:lpstr>
      <vt:lpstr>8.26</vt:lpstr>
      <vt:lpstr>8.27</vt:lpstr>
      <vt:lpstr>8.28</vt:lpstr>
      <vt:lpstr>8.29</vt:lpstr>
      <vt:lpstr>8.30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2025-12-26T07:02:00Z</dcterms:created>
  <dcterms:modified xsi:type="dcterms:W3CDTF">2026-09-01T00:24:25Z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6E995CD7B9B24244BC1A0464D54EA695_13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